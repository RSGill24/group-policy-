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yfedex-my.sharepoint.com/personal/rajinder_gill_fedex_com/Documents/Documents/"/>
    </mc:Choice>
  </mc:AlternateContent>
  <xr:revisionPtr revIDLastSave="0" documentId="8_{22600600-CBAA-48B5-8595-F27A5B68FBE9}" xr6:coauthVersionLast="47" xr6:coauthVersionMax="47" xr10:uidLastSave="{00000000-0000-0000-0000-000000000000}"/>
  <bookViews>
    <workbookView xWindow="-108" yWindow="-108" windowWidth="23256" windowHeight="13896" firstSheet="3" activeTab="3" xr2:uid="{00000000-000D-0000-FFFF-FFFF00000000}"/>
  </bookViews>
  <sheets>
    <sheet name="ReadME" sheetId="18" r:id="rId1"/>
    <sheet name="Config_Strategic_Program" sheetId="2" r:id="rId2"/>
    <sheet name="View - Attributes by Screen" sheetId="16" r:id="rId3"/>
    <sheet name="Config_Tech_Enabled" sheetId="3" r:id="rId4"/>
    <sheet name="VALUES_DropDowns_Mappings_2026" sheetId="15" r:id="rId5"/>
    <sheet name="VALUES_DropDowns_Mappings_2024" sheetId="14" state="hidden" r:id="rId6"/>
    <sheet name="Reference_Strategic_Program" sheetId="4" r:id="rId7"/>
    <sheet name="Reference_Tech_Enabled" sheetId="5" state="hidden" r:id="rId8"/>
    <sheet name="Ref_nonabrid_Tech_Enabled" sheetId="17" state="hidden" r:id="rId9"/>
    <sheet name="Entity_Mapping" sheetId="6" r:id="rId10"/>
    <sheet name="Business_Rules" sheetId="8" r:id="rId11"/>
    <sheet name="Lifecycle_Step_Index" sheetId="9" r:id="rId12"/>
    <sheet name="Prod Fields" sheetId="12" r:id="rId13"/>
    <sheet name="new instance fields" sheetId="13" r:id="rId14"/>
  </sheets>
  <externalReferences>
    <externalReference r:id="rId15"/>
  </externalReferences>
  <definedNames>
    <definedName name="_xlnm._FilterDatabase" localSheetId="10" hidden="1">Business_Rules!$A$1:$L$46</definedName>
    <definedName name="_xlnm._FilterDatabase" localSheetId="1" hidden="1">Config_Strategic_Program!$A$1:$M$207</definedName>
    <definedName name="_xlnm._FilterDatabase" localSheetId="3" hidden="1">Config_Tech_Enabled!$A$2:$AL$160</definedName>
    <definedName name="_xlnm._FilterDatabase" localSheetId="9" hidden="1">Entity_Mapping!$A$1:$I$12</definedName>
    <definedName name="_xlnm._FilterDatabase" localSheetId="11" hidden="1">Lifecycle_Step_Index!$A$1:$F$74</definedName>
    <definedName name="_xlnm._FilterDatabase" localSheetId="6" hidden="1">Reference_Strategic_Program!$A$1:$AB$207</definedName>
    <definedName name="_xlnm._FilterDatabase" localSheetId="7" hidden="1">Reference_Tech_Enabled!$A$1:$AB$128</definedName>
    <definedName name="_xlnm._FilterDatabase" localSheetId="5" hidden="1">VALUES_DropDowns_Mappings_2024!$DE$5:$DE$19</definedName>
    <definedName name="Approval_ApproversSL4_SL5">'[1]Strategy Attributes'!#REF!</definedName>
    <definedName name="AttributeRange">[1]!Input_Requirements[[#All],[Attribute]]</definedName>
    <definedName name="HeaderRange" localSheetId="13">'new instance fields'!$A$1:$L$1</definedName>
    <definedName name="HeaderRange" localSheetId="12">'Prod Fields'!$A$1:$N$1</definedName>
    <definedName name="VAL_DeferedRisk">VAL_RiskLevel[]</definedName>
    <definedName name="VAL_DefferedRisk">VAL_RiskLevel[]</definedName>
    <definedName name="VAL_ValueFramework">VAL_ValueFramework1[]</definedName>
  </definedNames>
  <calcPr calcId="191029"/>
  <pivotCaches>
    <pivotCache cacheId="1"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9" i="3" l="1"/>
  <c r="L146" i="3"/>
  <c r="L147" i="3"/>
  <c r="L148" i="3"/>
  <c r="W146" i="3"/>
  <c r="W147" i="3"/>
  <c r="W148" i="3"/>
  <c r="X146" i="3"/>
  <c r="Z146" i="3" s="1"/>
  <c r="X147" i="3"/>
  <c r="Z147" i="3" s="1"/>
  <c r="X148" i="3"/>
  <c r="Z148" i="3" s="1"/>
  <c r="Y146" i="3"/>
  <c r="Y147" i="3"/>
  <c r="Y148" i="3"/>
  <c r="L145" i="3"/>
  <c r="W145" i="3"/>
  <c r="X145" i="3"/>
  <c r="Z145" i="3" s="1"/>
  <c r="L159" i="3"/>
  <c r="W159" i="3"/>
  <c r="X159" i="3"/>
  <c r="Z159" i="3" s="1"/>
  <c r="L158" i="3"/>
  <c r="W158" i="3"/>
  <c r="X158" i="3"/>
  <c r="Z158" i="3" s="1"/>
  <c r="L156" i="3"/>
  <c r="W156" i="3"/>
  <c r="X156" i="3"/>
  <c r="Z156" i="3" s="1"/>
  <c r="L150" i="3"/>
  <c r="W150" i="3"/>
  <c r="X150" i="3"/>
  <c r="Z150" i="3" s="1"/>
  <c r="L143" i="3"/>
  <c r="L144" i="3"/>
  <c r="L149" i="3"/>
  <c r="L151" i="3"/>
  <c r="L152" i="3"/>
  <c r="L153" i="3"/>
  <c r="L154" i="3"/>
  <c r="L155" i="3"/>
  <c r="L157" i="3"/>
  <c r="L160" i="3"/>
  <c r="W144" i="3"/>
  <c r="W149" i="3"/>
  <c r="W151" i="3"/>
  <c r="W152" i="3"/>
  <c r="W153" i="3"/>
  <c r="W154" i="3"/>
  <c r="W155" i="3"/>
  <c r="W157" i="3"/>
  <c r="W160" i="3"/>
  <c r="X143" i="3"/>
  <c r="Z143" i="3" s="1"/>
  <c r="X144" i="3"/>
  <c r="Z144" i="3" s="1"/>
  <c r="X149" i="3"/>
  <c r="Z149" i="3" s="1"/>
  <c r="X151" i="3"/>
  <c r="X152" i="3"/>
  <c r="Z152" i="3" s="1"/>
  <c r="X153" i="3"/>
  <c r="Z153" i="3" s="1"/>
  <c r="X154" i="3"/>
  <c r="Z154" i="3" s="1"/>
  <c r="X155" i="3"/>
  <c r="X157" i="3"/>
  <c r="X160" i="3"/>
  <c r="Z160" i="3" s="1"/>
  <c r="L142" i="3"/>
  <c r="W142" i="3"/>
  <c r="X142" i="3"/>
  <c r="Z142" i="3" s="1"/>
  <c r="Y145" i="3" l="1"/>
  <c r="Y159" i="3"/>
  <c r="Y158" i="3"/>
  <c r="Y156" i="3"/>
  <c r="Y150" i="3"/>
  <c r="Y157" i="3"/>
  <c r="Y151" i="3"/>
  <c r="Y152" i="3"/>
  <c r="Y155" i="3"/>
  <c r="Y154" i="3"/>
  <c r="Y153" i="3"/>
  <c r="Y143" i="3"/>
  <c r="Z157" i="3"/>
  <c r="Z151" i="3"/>
  <c r="Z155" i="3"/>
  <c r="Y144" i="3"/>
  <c r="Y160" i="3"/>
  <c r="Y149" i="3"/>
  <c r="Y142" i="3"/>
  <c r="X7" i="3" l="1"/>
  <c r="Z7" i="3" s="1"/>
  <c r="AE7" i="3"/>
  <c r="W7" i="3"/>
  <c r="L7" i="3"/>
  <c r="AE33" i="3"/>
  <c r="AE138" i="3"/>
  <c r="AE136" i="3"/>
  <c r="AE132" i="3"/>
  <c r="AE128" i="3"/>
  <c r="AE127" i="3"/>
  <c r="AE125" i="3"/>
  <c r="AE124" i="3"/>
  <c r="AE118" i="3"/>
  <c r="L133" i="3"/>
  <c r="W133" i="3"/>
  <c r="X133" i="3"/>
  <c r="Z133" i="3" s="1"/>
  <c r="L130" i="3"/>
  <c r="L131" i="3"/>
  <c r="W130" i="3"/>
  <c r="W131" i="3"/>
  <c r="X130" i="3"/>
  <c r="Z130" i="3" s="1"/>
  <c r="X131" i="3"/>
  <c r="Z131" i="3" s="1"/>
  <c r="L110" i="3"/>
  <c r="W110" i="3"/>
  <c r="X110" i="3"/>
  <c r="Z110" i="3" s="1"/>
  <c r="AE109" i="3"/>
  <c r="AE106" i="3"/>
  <c r="AE93" i="3"/>
  <c r="AE91" i="3"/>
  <c r="AE84" i="3"/>
  <c r="AE82" i="3"/>
  <c r="AE80" i="3"/>
  <c r="AE79" i="3"/>
  <c r="AE78" i="3"/>
  <c r="AE77" i="3"/>
  <c r="AE76" i="3"/>
  <c r="AE74" i="3"/>
  <c r="AE73" i="3"/>
  <c r="AE65" i="3"/>
  <c r="AE63" i="3"/>
  <c r="AE94" i="3"/>
  <c r="AE95" i="3"/>
  <c r="AE139" i="3"/>
  <c r="AE134" i="3"/>
  <c r="AE88" i="3"/>
  <c r="AE61" i="3"/>
  <c r="AE86" i="3"/>
  <c r="AE59" i="3"/>
  <c r="AE87" i="3"/>
  <c r="AE60" i="3"/>
  <c r="AE85" i="3"/>
  <c r="AE58" i="3"/>
  <c r="AE92" i="3"/>
  <c r="AE100" i="3"/>
  <c r="AE99" i="3"/>
  <c r="AE62" i="3"/>
  <c r="AE75" i="3"/>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L3" i="3"/>
  <c r="L4" i="3"/>
  <c r="L5" i="3"/>
  <c r="L6"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140" i="3"/>
  <c r="L141"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1" i="3"/>
  <c r="L112" i="3"/>
  <c r="L113" i="3"/>
  <c r="L114" i="3"/>
  <c r="L115" i="3"/>
  <c r="L116" i="3"/>
  <c r="L117" i="3"/>
  <c r="L118" i="3"/>
  <c r="L119" i="3"/>
  <c r="L120" i="3"/>
  <c r="L121" i="3"/>
  <c r="L122" i="3"/>
  <c r="L123" i="3"/>
  <c r="L124" i="3"/>
  <c r="L125" i="3"/>
  <c r="L126" i="3"/>
  <c r="L127" i="3"/>
  <c r="L128" i="3"/>
  <c r="L129" i="3"/>
  <c r="L132" i="3"/>
  <c r="L134" i="3"/>
  <c r="L135" i="3"/>
  <c r="L136" i="3"/>
  <c r="L137" i="3"/>
  <c r="L138" i="3"/>
  <c r="L139" i="3"/>
  <c r="AE57" i="3"/>
  <c r="W140" i="3"/>
  <c r="W141" i="3"/>
  <c r="X140" i="3"/>
  <c r="Z140" i="3" s="1"/>
  <c r="X141" i="3"/>
  <c r="Z141" i="3" s="1"/>
  <c r="AE51" i="3"/>
  <c r="AE46" i="3"/>
  <c r="AE45" i="3"/>
  <c r="AE44" i="3"/>
  <c r="AE43" i="3"/>
  <c r="AE42" i="3"/>
  <c r="AE41" i="3"/>
  <c r="AE39" i="3"/>
  <c r="AE40" i="3"/>
  <c r="AE38" i="3"/>
  <c r="AE37" i="3"/>
  <c r="AE36" i="3"/>
  <c r="AE35" i="3"/>
  <c r="W35" i="3"/>
  <c r="X35" i="3"/>
  <c r="Z35" i="3" s="1"/>
  <c r="W33" i="3"/>
  <c r="W34" i="3"/>
  <c r="X33" i="3"/>
  <c r="Z33" i="3" s="1"/>
  <c r="X34" i="3"/>
  <c r="Z34" i="3" s="1"/>
  <c r="AE32" i="3"/>
  <c r="AE24" i="3"/>
  <c r="AE22" i="3"/>
  <c r="W19" i="3"/>
  <c r="AE18" i="3"/>
  <c r="AE17" i="3"/>
  <c r="AE16" i="3"/>
  <c r="AE15" i="3"/>
  <c r="AE14" i="3"/>
  <c r="AE13" i="3"/>
  <c r="AE10" i="3"/>
  <c r="AE12" i="3"/>
  <c r="W11" i="3"/>
  <c r="X11" i="3"/>
  <c r="Z11" i="3" s="1"/>
  <c r="Y7" i="3" l="1"/>
  <c r="Y133" i="3"/>
  <c r="Y131" i="3"/>
  <c r="Y130" i="3"/>
  <c r="Y110" i="3"/>
  <c r="Y140" i="3"/>
  <c r="Y141" i="3"/>
  <c r="Y35" i="3"/>
  <c r="Y34" i="3"/>
  <c r="Y33" i="3"/>
  <c r="Y11" i="3"/>
  <c r="AE8" i="3"/>
  <c r="AE6" i="3"/>
  <c r="AE9" i="3"/>
  <c r="HE37" i="14"/>
  <c r="HE36" i="14"/>
  <c r="HE35" i="14"/>
  <c r="HE34" i="14"/>
  <c r="HE33" i="14"/>
  <c r="BB33" i="14"/>
  <c r="AX33" i="14"/>
  <c r="HE32" i="14"/>
  <c r="AX32" i="14"/>
  <c r="HE31" i="14"/>
  <c r="AX31" i="14"/>
  <c r="HE30" i="14"/>
  <c r="BB30" i="14"/>
  <c r="AX30" i="14"/>
  <c r="HE29" i="14"/>
  <c r="BB29" i="14"/>
  <c r="HE28" i="14"/>
  <c r="HE27" i="14"/>
  <c r="AT27" i="14"/>
  <c r="HE26" i="14"/>
  <c r="HE25" i="14"/>
  <c r="BB25" i="14"/>
  <c r="HE24" i="14"/>
  <c r="HE23" i="14"/>
  <c r="HE22" i="14"/>
  <c r="HE21" i="14"/>
  <c r="HE20" i="14"/>
  <c r="HE19" i="14"/>
  <c r="HE18" i="14"/>
  <c r="AY18" i="14"/>
  <c r="HE17" i="14"/>
  <c r="GT17" i="14"/>
  <c r="AY17" i="14"/>
  <c r="HE16" i="14"/>
  <c r="GT16" i="14"/>
  <c r="AY16" i="14"/>
  <c r="HE15" i="14"/>
  <c r="GT15" i="14"/>
  <c r="AY15" i="14"/>
  <c r="HE14" i="14"/>
  <c r="GT14" i="14"/>
  <c r="HE13" i="14"/>
  <c r="GT13" i="14"/>
  <c r="AU13" i="14"/>
  <c r="HE12" i="14"/>
  <c r="GT12" i="14"/>
  <c r="AU12" i="14"/>
  <c r="HE11" i="14"/>
  <c r="GT11" i="14"/>
  <c r="AY11" i="14"/>
  <c r="AU11" i="14"/>
  <c r="HE10" i="14"/>
  <c r="GT10" i="14"/>
  <c r="AU10" i="14"/>
  <c r="HE9" i="14"/>
  <c r="GT9" i="14"/>
  <c r="AY9" i="14"/>
  <c r="AU9" i="14"/>
  <c r="HE8" i="14"/>
  <c r="GT8" i="14"/>
  <c r="AY8" i="14"/>
  <c r="AU8" i="14"/>
  <c r="HE7" i="14"/>
  <c r="BE7" i="14"/>
  <c r="AY7" i="14"/>
  <c r="AU7" i="14"/>
  <c r="HE6" i="14"/>
  <c r="GT6" i="14"/>
  <c r="BE6" i="14"/>
  <c r="AY6" i="14"/>
  <c r="AU6" i="14"/>
  <c r="W49" i="3" l="1"/>
  <c r="W50" i="3"/>
  <c r="X49" i="3"/>
  <c r="Z49" i="3" s="1"/>
  <c r="X50" i="3"/>
  <c r="Z50" i="3" s="1"/>
  <c r="X3" i="3"/>
  <c r="Z3" i="3" s="1"/>
  <c r="X4" i="3"/>
  <c r="Z4" i="3" s="1"/>
  <c r="X5" i="3"/>
  <c r="Z5" i="3" s="1"/>
  <c r="X6" i="3"/>
  <c r="Z6" i="3" s="1"/>
  <c r="X8" i="3"/>
  <c r="Z8" i="3" s="1"/>
  <c r="X9" i="3"/>
  <c r="Z9" i="3" s="1"/>
  <c r="X10" i="3"/>
  <c r="Z10" i="3" s="1"/>
  <c r="X12" i="3"/>
  <c r="Z12" i="3" s="1"/>
  <c r="X13" i="3"/>
  <c r="Z13" i="3" s="1"/>
  <c r="X14" i="3"/>
  <c r="Z14" i="3" s="1"/>
  <c r="X15" i="3"/>
  <c r="Z15" i="3" s="1"/>
  <c r="X16" i="3"/>
  <c r="Z16" i="3" s="1"/>
  <c r="X17" i="3"/>
  <c r="Z17" i="3" s="1"/>
  <c r="X18" i="3"/>
  <c r="Z18" i="3" s="1"/>
  <c r="X19" i="3"/>
  <c r="Z19" i="3" s="1"/>
  <c r="X20" i="3"/>
  <c r="Z20" i="3" s="1"/>
  <c r="X21" i="3"/>
  <c r="Z21" i="3" s="1"/>
  <c r="X22" i="3"/>
  <c r="Z22" i="3" s="1"/>
  <c r="X23" i="3"/>
  <c r="Z23" i="3" s="1"/>
  <c r="X24" i="3"/>
  <c r="Z24" i="3" s="1"/>
  <c r="X25" i="3"/>
  <c r="Z25" i="3" s="1"/>
  <c r="X26" i="3"/>
  <c r="Z26" i="3" s="1"/>
  <c r="X27" i="3"/>
  <c r="Z27" i="3" s="1"/>
  <c r="X28" i="3"/>
  <c r="Z28" i="3" s="1"/>
  <c r="X29" i="3"/>
  <c r="Z29" i="3" s="1"/>
  <c r="X30" i="3"/>
  <c r="Z30" i="3" s="1"/>
  <c r="X31" i="3"/>
  <c r="Z31" i="3" s="1"/>
  <c r="X32" i="3"/>
  <c r="Z32" i="3" s="1"/>
  <c r="X36" i="3"/>
  <c r="Z36" i="3" s="1"/>
  <c r="X37" i="3"/>
  <c r="Z37" i="3" s="1"/>
  <c r="X38" i="3"/>
  <c r="Z38" i="3" s="1"/>
  <c r="X39" i="3"/>
  <c r="Z39" i="3" s="1"/>
  <c r="X40" i="3"/>
  <c r="Z40" i="3" s="1"/>
  <c r="X41" i="3"/>
  <c r="Z41" i="3" s="1"/>
  <c r="X42" i="3"/>
  <c r="Z42" i="3" s="1"/>
  <c r="X43" i="3"/>
  <c r="Z43" i="3" s="1"/>
  <c r="X44" i="3"/>
  <c r="Z44" i="3" s="1"/>
  <c r="X45" i="3"/>
  <c r="Z45" i="3" s="1"/>
  <c r="X46" i="3"/>
  <c r="Z46" i="3" s="1"/>
  <c r="X47" i="3"/>
  <c r="Z47" i="3" s="1"/>
  <c r="X48" i="3"/>
  <c r="Z48" i="3" s="1"/>
  <c r="X53" i="3"/>
  <c r="Z53" i="3" s="1"/>
  <c r="X54" i="3"/>
  <c r="Z54" i="3" s="1"/>
  <c r="X55" i="3"/>
  <c r="Z55" i="3" s="1"/>
  <c r="X56" i="3"/>
  <c r="Z56" i="3" s="1"/>
  <c r="X51" i="3"/>
  <c r="Z51" i="3" s="1"/>
  <c r="X52" i="3"/>
  <c r="Z52" i="3" s="1"/>
  <c r="X57" i="3"/>
  <c r="Z57" i="3" s="1"/>
  <c r="X58" i="3"/>
  <c r="Z58" i="3" s="1"/>
  <c r="X59" i="3"/>
  <c r="Z59" i="3" s="1"/>
  <c r="X60" i="3"/>
  <c r="Z60" i="3" s="1"/>
  <c r="X61" i="3"/>
  <c r="Z61" i="3" s="1"/>
  <c r="X62" i="3"/>
  <c r="Z62" i="3" s="1"/>
  <c r="X63" i="3"/>
  <c r="Z63" i="3" s="1"/>
  <c r="X64" i="3"/>
  <c r="Z64" i="3" s="1"/>
  <c r="X65" i="3"/>
  <c r="Z65" i="3" s="1"/>
  <c r="X66" i="3"/>
  <c r="Z66" i="3" s="1"/>
  <c r="X67" i="3"/>
  <c r="Z67" i="3" s="1"/>
  <c r="X68" i="3"/>
  <c r="Z68" i="3" s="1"/>
  <c r="X69" i="3"/>
  <c r="Z69" i="3" s="1"/>
  <c r="X70" i="3"/>
  <c r="Z70" i="3" s="1"/>
  <c r="X71" i="3"/>
  <c r="Z71" i="3" s="1"/>
  <c r="X72" i="3"/>
  <c r="Z72" i="3" s="1"/>
  <c r="X73" i="3"/>
  <c r="Z73" i="3" s="1"/>
  <c r="X74" i="3"/>
  <c r="Z74" i="3" s="1"/>
  <c r="X75" i="3"/>
  <c r="Z75" i="3" s="1"/>
  <c r="X76" i="3"/>
  <c r="Z76" i="3" s="1"/>
  <c r="X77" i="3"/>
  <c r="Z77" i="3" s="1"/>
  <c r="X78" i="3"/>
  <c r="Z78" i="3" s="1"/>
  <c r="X79" i="3"/>
  <c r="Z79" i="3" s="1"/>
  <c r="X80" i="3"/>
  <c r="Z80" i="3" s="1"/>
  <c r="X81" i="3"/>
  <c r="Z81" i="3" s="1"/>
  <c r="X82" i="3"/>
  <c r="Z82" i="3" s="1"/>
  <c r="X83" i="3"/>
  <c r="Z83" i="3" s="1"/>
  <c r="X84" i="3"/>
  <c r="Z84" i="3" s="1"/>
  <c r="X85" i="3"/>
  <c r="Z85" i="3" s="1"/>
  <c r="X86" i="3"/>
  <c r="Z86" i="3" s="1"/>
  <c r="X87" i="3"/>
  <c r="Z87" i="3" s="1"/>
  <c r="X88" i="3"/>
  <c r="Z88" i="3" s="1"/>
  <c r="X89" i="3"/>
  <c r="Z89" i="3" s="1"/>
  <c r="X90" i="3"/>
  <c r="Z90" i="3" s="1"/>
  <c r="X91" i="3"/>
  <c r="Z91" i="3" s="1"/>
  <c r="X92" i="3"/>
  <c r="Z92" i="3" s="1"/>
  <c r="X93" i="3"/>
  <c r="Z93" i="3" s="1"/>
  <c r="X94" i="3"/>
  <c r="Z94" i="3" s="1"/>
  <c r="X95" i="3"/>
  <c r="Z95" i="3" s="1"/>
  <c r="X96" i="3"/>
  <c r="Z96" i="3" s="1"/>
  <c r="X97" i="3"/>
  <c r="Z97" i="3" s="1"/>
  <c r="X98" i="3"/>
  <c r="Z98" i="3" s="1"/>
  <c r="X99" i="3"/>
  <c r="Z99" i="3" s="1"/>
  <c r="X100" i="3"/>
  <c r="Z100" i="3" s="1"/>
  <c r="X101" i="3"/>
  <c r="Z101" i="3" s="1"/>
  <c r="X102" i="3"/>
  <c r="Z102" i="3" s="1"/>
  <c r="X103" i="3"/>
  <c r="Z103" i="3" s="1"/>
  <c r="X104" i="3"/>
  <c r="Z104" i="3" s="1"/>
  <c r="X105" i="3"/>
  <c r="Z105" i="3" s="1"/>
  <c r="X106" i="3"/>
  <c r="Z106" i="3" s="1"/>
  <c r="X107" i="3"/>
  <c r="Z107" i="3" s="1"/>
  <c r="X108" i="3"/>
  <c r="Z108" i="3" s="1"/>
  <c r="X109" i="3"/>
  <c r="Z109" i="3" s="1"/>
  <c r="X111" i="3"/>
  <c r="Z111" i="3" s="1"/>
  <c r="X112" i="3"/>
  <c r="Z112" i="3" s="1"/>
  <c r="X113" i="3"/>
  <c r="Z113" i="3" s="1"/>
  <c r="X114" i="3"/>
  <c r="Z114" i="3" s="1"/>
  <c r="X115" i="3"/>
  <c r="Z115" i="3" s="1"/>
  <c r="X116" i="3"/>
  <c r="Z116" i="3" s="1"/>
  <c r="X117" i="3"/>
  <c r="Z117" i="3" s="1"/>
  <c r="X118" i="3"/>
  <c r="Z118" i="3" s="1"/>
  <c r="X119" i="3"/>
  <c r="Z119" i="3" s="1"/>
  <c r="X120" i="3"/>
  <c r="Z120" i="3" s="1"/>
  <c r="X121" i="3"/>
  <c r="Z121" i="3" s="1"/>
  <c r="X122" i="3"/>
  <c r="Z122" i="3" s="1"/>
  <c r="X123" i="3"/>
  <c r="Z123" i="3" s="1"/>
  <c r="X124" i="3"/>
  <c r="Z124" i="3" s="1"/>
  <c r="X125" i="3"/>
  <c r="Z125" i="3" s="1"/>
  <c r="X126" i="3"/>
  <c r="Z126" i="3" s="1"/>
  <c r="X127" i="3"/>
  <c r="Z127" i="3" s="1"/>
  <c r="X128" i="3"/>
  <c r="Z128" i="3" s="1"/>
  <c r="X129" i="3"/>
  <c r="Z129" i="3" s="1"/>
  <c r="X132" i="3"/>
  <c r="Z132" i="3" s="1"/>
  <c r="X134" i="3"/>
  <c r="Z134" i="3" s="1"/>
  <c r="X135" i="3"/>
  <c r="Z135" i="3" s="1"/>
  <c r="X136" i="3"/>
  <c r="Z136" i="3" s="1"/>
  <c r="X137" i="3"/>
  <c r="Z137" i="3" s="1"/>
  <c r="X138" i="3"/>
  <c r="Z138" i="3" s="1"/>
  <c r="X139" i="3"/>
  <c r="Z139" i="3" s="1"/>
  <c r="W3" i="3"/>
  <c r="W4" i="3"/>
  <c r="W5" i="3"/>
  <c r="W6" i="3"/>
  <c r="W8" i="3"/>
  <c r="W9" i="3"/>
  <c r="W10" i="3"/>
  <c r="W12" i="3"/>
  <c r="W13" i="3"/>
  <c r="W14" i="3"/>
  <c r="W15" i="3"/>
  <c r="W16" i="3"/>
  <c r="Y16" i="3" s="1"/>
  <c r="W17" i="3"/>
  <c r="W18" i="3"/>
  <c r="W20" i="3"/>
  <c r="W21" i="3"/>
  <c r="W22" i="3"/>
  <c r="W23" i="3"/>
  <c r="W24" i="3"/>
  <c r="W25" i="3"/>
  <c r="W26" i="3"/>
  <c r="W27" i="3"/>
  <c r="W28" i="3"/>
  <c r="W29" i="3"/>
  <c r="W30" i="3"/>
  <c r="W31" i="3"/>
  <c r="W32" i="3"/>
  <c r="W36" i="3"/>
  <c r="W37" i="3"/>
  <c r="W38" i="3"/>
  <c r="W39" i="3"/>
  <c r="W40" i="3"/>
  <c r="W41" i="3"/>
  <c r="W42" i="3"/>
  <c r="W43" i="3"/>
  <c r="W44" i="3"/>
  <c r="W45" i="3"/>
  <c r="W46" i="3"/>
  <c r="W47" i="3"/>
  <c r="W48" i="3"/>
  <c r="W53" i="3"/>
  <c r="W54" i="3"/>
  <c r="W55" i="3"/>
  <c r="W56" i="3"/>
  <c r="W51" i="3"/>
  <c r="W52"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1" i="3"/>
  <c r="W112" i="3"/>
  <c r="W113" i="3"/>
  <c r="W114" i="3"/>
  <c r="W115" i="3"/>
  <c r="W116" i="3"/>
  <c r="W117" i="3"/>
  <c r="W118" i="3"/>
  <c r="W119" i="3"/>
  <c r="W120" i="3"/>
  <c r="W121" i="3"/>
  <c r="W122" i="3"/>
  <c r="W123" i="3"/>
  <c r="W124" i="3"/>
  <c r="W125" i="3"/>
  <c r="W126" i="3"/>
  <c r="W127" i="3"/>
  <c r="W128" i="3"/>
  <c r="W129" i="3"/>
  <c r="W132" i="3"/>
  <c r="W134" i="3"/>
  <c r="W135" i="3"/>
  <c r="W136" i="3"/>
  <c r="W137" i="3"/>
  <c r="W138" i="3"/>
  <c r="W139" i="3"/>
  <c r="Y93" i="3" l="1"/>
  <c r="Y63" i="3"/>
  <c r="Y120" i="3"/>
  <c r="Y30" i="3"/>
  <c r="Y47" i="3"/>
  <c r="Y77" i="3"/>
  <c r="Y91" i="3"/>
  <c r="Y79" i="3"/>
  <c r="Y14" i="3"/>
  <c r="Y46" i="3"/>
  <c r="Y104" i="3"/>
  <c r="Y90" i="3"/>
  <c r="Y76" i="3"/>
  <c r="Y29" i="3"/>
  <c r="Y75" i="3"/>
  <c r="Y118" i="3"/>
  <c r="Y61" i="3"/>
  <c r="Y45" i="3"/>
  <c r="Y37" i="3"/>
  <c r="Y66" i="3"/>
  <c r="Y54" i="3"/>
  <c r="Y60" i="3"/>
  <c r="Y74" i="3"/>
  <c r="Y44" i="3"/>
  <c r="Y31" i="3"/>
  <c r="Y80" i="3"/>
  <c r="Y89" i="3"/>
  <c r="Y103" i="3"/>
  <c r="Y65" i="3"/>
  <c r="Y17" i="3"/>
  <c r="Y15" i="3"/>
  <c r="Y62" i="3"/>
  <c r="Y36" i="3"/>
  <c r="Y119" i="3"/>
  <c r="Y107" i="3"/>
  <c r="Y53" i="3"/>
  <c r="Y117" i="3"/>
  <c r="Y102" i="3"/>
  <c r="Y88" i="3"/>
  <c r="Y3" i="3"/>
  <c r="Y19" i="3"/>
  <c r="Y136" i="3"/>
  <c r="Y122" i="3"/>
  <c r="Y112" i="3"/>
  <c r="Y83" i="3"/>
  <c r="Y69" i="3"/>
  <c r="Y51" i="3"/>
  <c r="Y40" i="3"/>
  <c r="Y23" i="3"/>
  <c r="Y8" i="3"/>
  <c r="Y20" i="3"/>
  <c r="Y4" i="3"/>
  <c r="Y82" i="3"/>
  <c r="Y68" i="3"/>
  <c r="Y56" i="3"/>
  <c r="Y39" i="3"/>
  <c r="Y22" i="3"/>
  <c r="Y6" i="3"/>
  <c r="Y123" i="3"/>
  <c r="Y108" i="3"/>
  <c r="Y94" i="3"/>
  <c r="Y139" i="3"/>
  <c r="Y128" i="3"/>
  <c r="Y114" i="3"/>
  <c r="Y99" i="3"/>
  <c r="Y85" i="3"/>
  <c r="Y71" i="3"/>
  <c r="Y57" i="3"/>
  <c r="Y41" i="3"/>
  <c r="Y25" i="3"/>
  <c r="Y10" i="3"/>
  <c r="Y97" i="3"/>
  <c r="Y126" i="3"/>
  <c r="Y111" i="3"/>
  <c r="Y96" i="3"/>
  <c r="Y81" i="3"/>
  <c r="Y67" i="3"/>
  <c r="Y55" i="3"/>
  <c r="Y5" i="3"/>
  <c r="Y137" i="3"/>
  <c r="Y105" i="3"/>
  <c r="Y135" i="3"/>
  <c r="Y132" i="3"/>
  <c r="Y116" i="3"/>
  <c r="Y101" i="3"/>
  <c r="Y87" i="3"/>
  <c r="Y73" i="3"/>
  <c r="Y59" i="3"/>
  <c r="Y43" i="3"/>
  <c r="Y13" i="3"/>
  <c r="Y109" i="3"/>
  <c r="Y27" i="3"/>
  <c r="Y134" i="3"/>
  <c r="Y28" i="3"/>
  <c r="Y38" i="3"/>
  <c r="Y21" i="3"/>
  <c r="Y124" i="3"/>
  <c r="Y95" i="3"/>
  <c r="Y50" i="3"/>
  <c r="Y49" i="3"/>
  <c r="Y129" i="3"/>
  <c r="Y115" i="3"/>
  <c r="Y100" i="3"/>
  <c r="Y86" i="3"/>
  <c r="Y72" i="3"/>
  <c r="Y58" i="3"/>
  <c r="Y42" i="3"/>
  <c r="Y26" i="3"/>
  <c r="Y12" i="3"/>
  <c r="Y125" i="3"/>
  <c r="Y138" i="3"/>
  <c r="Y121" i="3"/>
  <c r="Y106" i="3"/>
  <c r="Y92" i="3"/>
  <c r="Y78" i="3"/>
  <c r="Y64" i="3"/>
  <c r="Y48" i="3"/>
  <c r="Y32" i="3"/>
  <c r="Y18" i="3"/>
  <c r="Y127" i="3"/>
  <c r="Y113" i="3"/>
  <c r="Y98" i="3"/>
  <c r="Y84" i="3"/>
  <c r="Y70" i="3"/>
  <c r="Y52" i="3"/>
  <c r="Y24" i="3"/>
  <c r="Y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tc={76107E25-F3EE-4165-BC19-DFC68E7167A7}</author>
    <author>tc={43F5FEBC-7AE2-440D-BC2C-DDDA26778077}</author>
    <author>tc={68142293-26C0-4D8F-8D6E-5A31E86DD2D4}</author>
    <author>tc={337015FA-0D54-48D2-8E62-5695A7657647}</author>
    <author>tc={0CE71956-26E0-4EF0-BCC7-0A690307A175}</author>
    <author>tc={EAF1C009-35F3-496B-A3D9-19125D36C4B2}</author>
    <author>tc={9483B36C-3184-4CED-B477-E9BC4CDB4E96}</author>
    <author>tc={E29E22F2-9420-41FC-9CCE-045E5521C495}</author>
    <author>tc={144EEE66-1E03-4F9E-AE20-6F6338AE1C9F}</author>
    <author>tc={5457EC7A-0F1B-48C5-AF86-9C74FA7CDC0E}</author>
    <author>tc={6E9A33AD-DBDF-4E36-8C77-7A7CE719BC5C}</author>
    <author>tc={4199F04A-1C9F-4DB1-AF54-8C9496DC389F}</author>
    <author>tc={4A5FCD30-18CA-4676-B427-7D8018AF5213}</author>
    <author>tc={8388F3E4-1BD6-4C94-82D7-A3D95FD3BECB}</author>
    <author>tc={40EEC0D9-043C-4751-A532-40DE94BE80E6}</author>
    <author>tc={1A64C916-286A-4331-9CC4-B68850021753}</author>
    <author>tc={EB371DB5-69C9-4F4D-A2A1-F852E2C725FF}</author>
    <author>tc={860A62C9-60BF-4A07-8BEA-B0F82309504F}</author>
    <author>tc={3C7B7F9D-3309-47FD-92B5-487CA3899A95}</author>
    <author>tc={56630D11-050C-485C-9CD1-D242ACC724D7}</author>
    <author>tc={C8C3F258-CD46-4D7A-9139-EAD6F6C448F0}</author>
    <author>tc={01A1EAA8-3FEA-4688-976C-FB0BBBE19184}</author>
    <author>tc={3358B61C-2257-4E51-A46E-667A347831EA}</author>
    <author>tc={E5A6ADFC-A9E3-4124-A146-38EF107D8314}</author>
    <author>tc={735DC4BB-47B4-49AB-B200-A980ABEF71C7}</author>
    <author>tc={845B82CE-016A-4494-8671-F7E5C09E4811}</author>
    <author>tc={27F7B144-B22C-4B53-B295-C3E58942BE8A}</author>
  </authors>
  <commentList>
    <comment ref="V8" authorId="0" shapeId="0" xr:uid="{76107E25-F3EE-4165-BC19-DFC68E7167A7}">
      <text>
        <t>[Threaded comment]
Your version of Excel allows you to read this threaded comment; however, any edits to it will get removed if the file is opened in a newer version of Excel. Learn more: https://go.microsoft.com/fwlink/?linkid=870924
Comment:
    @BIBHUSHA KUNWAR  Why is wbs156 crossed out in your golden copy? Note it has been configured in new instance
Reply:
    It was removed later to be replaced by a different question. I will ask Cynthia to start adding zz to these kind of fields. These are very recent changes (like 2 days ago).</t>
      </text>
    </comment>
    <comment ref="O11" authorId="1" shapeId="0" xr:uid="{43F5FEBC-7AE2-440D-BC2C-DDDA26778077}">
      <text>
        <t>[Threaded comment]
Your version of Excel allows you to read this threaded comment; however, any edits to it will get removed if the file is opened in a newer version of Excel. Learn more: https://go.microsoft.com/fwlink/?linkid=870924
Comment:
    @Max Weiss (OSV) I confirm it was removed to be replaced by “Does this work support either of these type of Programs?”. This attribute was in the gold copy file (which I had added the day I sent the email to Padma copying you last week._ Before this consolidated file was ready. I don’t see that attribute on this file.
Reply:
    @BIBHUSHA KUNWAR Sorry to ask, but can you add that field back to this consolidated file. Just add a new row. I apologize for the miss. Hopefully we can avoid those things moving forward now that we’re on a one working file</t>
      </text>
    </comment>
    <comment ref="O25" authorId="2" shapeId="0" xr:uid="{68142293-26C0-4D8F-8D6E-5A31E86DD2D4}">
      <text>
        <t>[Threaded comment]
Your version of Excel allows you to read this threaded comment; however, any edits to it will get removed if the file is opened in a newer version of Excel. Learn more: https://go.microsoft.com/fwlink/?linkid=870924
Comment:
    @Cynthia Propst (OSV) Can you please review for the correct field name
Reply:
    Done
Reply:
    @BIBHUSHA KUNWAR and @Cynthia Propst (OSV) - I will change the configuration status to “Attribute Created”. The target field name in this file will be updated to a match next time I do a download</t>
      </text>
    </comment>
    <comment ref="S26" authorId="3" shapeId="0" xr:uid="{337015FA-0D54-48D2-8E62-5695A765764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@BIBHUSHA KUNWAR and @Cynthia Propst (OSV)  Is it okay to remove this W2 mapping? For all intensive purposes, WR2 data cannot map. Only the name of the field presides
Reply:
    @Max Weiss (OSV) This would need to be checked by Jill as well. This attributed is already well embedded in the Server3 DEV SB config.
@Jill Bourgeois (OSV)  Please advise.
Reply:
    @Max Weiss (OSV) I agree that the new Demand Type values are completely different. But the old Demand Type attribute is part of the logic defining the new demand type values, in addition to other attributes like ESI, etc. So it is up to you how you want to show the mapping.
Reply:
    @BIBHUSHA KUNWAR covered my question well. I’m going to suggest that I add a text to it to indicate that WR2 is not a direct map, so that we don’t use automation to cause an issue. Thank you for the responses.
@Cynthia Propst (OSV) I was only thinking about the data migration. The intent is to use this source prod ID as a data migration mechanism, not a attribute requirements mechanism.</t>
      </text>
    </comment>
    <comment ref="V27" authorId="4" shapeId="0" xr:uid="{0CE71956-26E0-4EF0-BCC7-0A690307A175}">
      <text>
        <t>[Threaded comment]
Your version of Excel allows you to read this threaded comment; however, any edits to it will get removed if the file is opened in a newer version of Excel. Learn more: https://go.microsoft.com/fwlink/?linkid=870924
Comment:
    @Padma Andhe  Please review why this row was deleted in your version vs the golden copy</t>
      </text>
    </comment>
    <comment ref="O33" authorId="5" shapeId="0" xr:uid="{EAF1C009-35F3-496B-A3D9-19125D36C4B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@Padma Andhe Please review why this was removed from your version but was in the golden copy without strikethrough
Reply:
    @Cynthia Propst (OSV) Why is unknown crossed out but still configured? Also keep in mind that orphans the data from prod
Reply:
    @Max Weiss (OSV)  Please know that the gold copies when on SharePoint were still being changed by committee without notification. This is resulting in some of your findings. I will review and adjust as needed.
Reply:
    @Cynthia Propst (OSV)  Understood. This is why hopefully the new methodology for marking the configuration status then also updating comments here and then also adding in the validation tabs will be much more transparent
Reply:
    I removed the Unknown option from dev environment.
Reply:
    @BIBHUSHA KUNWAR Our approach to this field is to nullify any instance of “1: Unknown” during the migration based on this guidance. Should this not be correct, please notify me. Else no need to respond
Reply:
    @Max Weiss (OSV) - we updated the dropdown values to the following. I was going to update it in column AE but you have formulas there so I didn’t want to mess it up.
1: Low = &lt; $1M
2: Medium = $1M &lt; Value &lt; $10M
3: High = &gt; $10M
Reply:
    @BIBHUSHA KUNWAR  This is a perfect opportunity to explain how this works. Your intuition is correct… never override a formula.
Step 1: In Change Control Comments, write “Values are changing. It should be easy enough for you to do a mapping. I have directly updated the entries in the worksheet “VALUES_DropDowns_Mappings_2026” for this field. In addition, I have updated the mapping columns which were next to it. Note, this field is very important for your data migration, so I suggest you add a comment on the data migration tab”
Reply:
    Step 2: Go to columns AV-AY (I like to search for the code in row 2 for navigation) and directly update the values. Blue tables are the validation options. Orange are the mapping. You’ll need to update both
Reply:
    As you can see in AV-AY, Unknown was removed from the drop down options, but the numbering is offset by 1. Can you please correct it? I also suggest you add a comment to let us know it changed.</t>
      </text>
    </comment>
    <comment ref="O34" authorId="6" shapeId="0" xr:uid="{9483B36C-3184-4CED-B477-E9BC4CDB4E96}">
      <text>
        <t>[Threaded comment]
Your version of Excel allows you to read this threaded comment; however, any edits to it will get removed if the file is opened in a newer version of Excel. Learn more: https://go.microsoft.com/fwlink/?linkid=870924
Comment:
    @Padma Andhe Please review why this was removed from your version but was in the golden copy without strikethrough</t>
      </text>
    </comment>
    <comment ref="O35" authorId="7" shapeId="0" xr:uid="{E29E22F2-9420-41FC-9CCE-045E5521C495}">
      <text>
        <t>[Threaded comment]
Your version of Excel allows you to read this threaded comment; however, any edits to it will get removed if the file is opened in a newer version of Excel. Learn more: https://go.microsoft.com/fwlink/?linkid=870924
Comment:
    @Padma Andhe Please review why this was removed from your version but was in the golden copy without strikethrough</t>
      </text>
    </comment>
    <comment ref="O36" authorId="8" shapeId="0" xr:uid="{144EEE66-1E03-4F9E-AE20-6F6338AE1C9F}">
      <text>
        <t>[Threaded comment]
Your version of Excel allows you to read this threaded comment; however, any edits to it will get removed if the file is opened in a newer version of Excel. Learn more: https://go.microsoft.com/fwlink/?linkid=870924
Comment:
    @Cynthia Propst (OSV) Please review comments
Reply:
    The field name should be the way it is configured - just “Primary Type of Value Impact”
Reply:
    @BIBHUSHA KUNWAR Feel free to change the field name in column M then the Status in Column N. I updated this time</t>
      </text>
    </comment>
    <comment ref="V37" authorId="9" shapeId="0" xr:uid="{5457EC7A-0F1B-48C5-AF86-9C74FA7CDC0E}">
      <text>
        <t>[Threaded comment]
Your version of Excel allows you to read this threaded comment; however, any edits to it will get removed if the file is opened in a newer version of Excel. Learn more: https://go.microsoft.com/fwlink/?linkid=870924
Comment:
    Maybe source from “Home Domain/Portfolio”</t>
      </text>
    </comment>
    <comment ref="O40" authorId="10" shapeId="0" xr:uid="{6E9A33AD-DBDF-4E36-8C77-7A7CE719BC5C}">
      <text>
        <t>[Threaded comment]
Your version of Excel allows you to read this threaded comment; however, any edits to it will get removed if the file is opened in a newer version of Excel. Learn more: https://go.microsoft.com/fwlink/?linkid=870924
Comment:
    @Cynthia Propst (OSV) Please review the expected field name
Reply:
    I removed the ? here
Reply:
    @BIBHUSHA KUNWAR  There in addition to the ?, one says Submit To Triage and the other is Submit for Triage. Can you resolve in the requirements or the config? Once done, just update columns M and N as needed. Leave Column X alone, it will get resolved if we choose to make a config change</t>
      </text>
    </comment>
    <comment ref="O44" authorId="11" shapeId="0" xr:uid="{4199F04A-1C9F-4DB1-AF54-8C9496DC389F}">
      <text>
        <t>[Threaded comment]
Your version of Excel allows you to read this threaded comment; however, any edits to it will get removed if the file is opened in a newer version of Excel. Learn more: https://go.microsoft.com/fwlink/?linkid=870924
Comment:
    @Cynthia Propst (OSV) Please review the expected field name</t>
      </text>
    </comment>
    <comment ref="O49" authorId="12" shapeId="0" xr:uid="{4A5FCD30-18CA-4676-B427-7D8018AF5213}">
      <text>
        <t>[Threaded comment]
Your version of Excel allows you to read this threaded comment; however, any edits to it will get removed if the file is opened in a newer version of Excel. Learn more: https://go.microsoft.com/fwlink/?linkid=870924
Comment:
    @Cynthia Propst (OSV) Please review</t>
      </text>
    </comment>
    <comment ref="O50" authorId="13" shapeId="0" xr:uid="{8388F3E4-1BD6-4C94-82D7-A3D95FD3BECB}">
      <text>
        <t>[Threaded comment]
Your version of Excel allows you to read this threaded comment; however, any edits to it will get removed if the file is opened in a newer version of Excel. Learn more: https://go.microsoft.com/fwlink/?linkid=870924
Comment:
    @Cynthia Propst (OSV) Please review</t>
      </text>
    </comment>
    <comment ref="O57" authorId="14" shapeId="0" xr:uid="{40EEC0D9-043C-4751-A532-40DE94BE80E6}">
      <text>
        <t>[Threaded comment]
Your version of Excel allows you to read this threaded comment; however, any edits to it will get removed if the file is opened in a newer version of Excel. Learn more: https://go.microsoft.com/fwlink/?linkid=870924
Comment:
    @Cynthia Propst (OSV) Please review</t>
      </text>
    </comment>
    <comment ref="O66" authorId="15" shapeId="0" xr:uid="{1A64C916-286A-4331-9CC4-B68850021753}">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t>
      </text>
    </comment>
    <comment ref="O67" authorId="16" shapeId="0" xr:uid="{EB371DB5-69C9-4F4D-A2A1-F852E2C725FF}">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t>
      </text>
    </comment>
    <comment ref="O68" authorId="17" shapeId="0" xr:uid="{860A62C9-60BF-4A07-8BEA-B0F82309504F}">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t>
      </text>
    </comment>
    <comment ref="O69" authorId="18" shapeId="0" xr:uid="{3C7B7F9D-3309-47FD-92B5-487CA3899A95}">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t>
      </text>
    </comment>
    <comment ref="O71" authorId="19" shapeId="0" xr:uid="{56630D11-050C-485C-9CD1-D242ACC724D7}">
      <text>
        <t>[Threaded comment]
Your version of Excel allows you to read this threaded comment; however, any edits to it will get removed if the file is opened in a newer version of Excel. Learn more: https://go.microsoft.com/fwlink/?linkid=870924
Comment:
    @Cynthia Propst (OSV)  Please determine if we need to copy the row</t>
      </text>
    </comment>
    <comment ref="O75" authorId="20" shapeId="0" xr:uid="{C8C3F258-CD46-4D7A-9139-EAD6F6C448F0}">
      <text>
        <t>[Threaded comment]
Your version of Excel allows you to read this threaded comment; however, any edits to it will get removed if the file is opened in a newer version of Excel. Learn more: https://go.microsoft.com/fwlink/?linkid=870924
Comment:
    @Cynthia Propst (OSV) Please review comments</t>
      </text>
    </comment>
    <comment ref="O93" authorId="21" shapeId="0" xr:uid="{01A1EAA8-3FEA-4688-976C-FB0BBBE19184}">
      <text>
        <t>[Threaded comment]
Your version of Excel allows you to read this threaded comment; however, any edits to it will get removed if the file is opened in a newer version of Excel. Learn more: https://go.microsoft.com/fwlink/?linkid=870924
Comment:
    @Cynthia Propst (OSV) Please review, likely no action</t>
      </text>
    </comment>
    <comment ref="O97" authorId="22" shapeId="0" xr:uid="{3358B61C-2257-4E51-A46E-667A347831EA}">
      <text>
        <t>[Threaded comment]
Your version of Excel allows you to read this threaded comment; however, any edits to it will get removed if the file is opened in a newer version of Excel. Learn more: https://go.microsoft.com/fwlink/?linkid=870924
Comment:
    @Cynthia Propst (OSV) Please provide advice</t>
      </text>
    </comment>
    <comment ref="V106" authorId="23" shapeId="0" xr:uid="{E5A6ADFC-A9E3-4124-A146-38EF107D8314}">
      <text>
        <t>[Threaded comment]
Your version of Excel allows you to read this threaded comment; however, any edits to it will get removed if the file is opened in a newer version of Excel. Learn more: https://go.microsoft.com/fwlink/?linkid=870924
Comment:
    @Bert Jansen (OSV) I’ll need some advice on our approach to migrating the product structure as well</t>
      </text>
    </comment>
    <comment ref="O130" authorId="24" shapeId="0" xr:uid="{735DC4BB-47B4-49AB-B200-A980ABEF71C7}">
      <text>
        <t xml:space="preserve">[Threaded comment]
Your version of Excel allows you to read this threaded comment; however, any edits to it will get removed if the file is opened in a newer version of Excel. Learn more: https://go.microsoft.com/fwlink/?linkid=870924
Comment:
    @Padma Andhe </t>
      </text>
    </comment>
    <comment ref="O131" authorId="25" shapeId="0" xr:uid="{845B82CE-016A-4494-8671-F7E5C09E4811}">
      <text>
        <t xml:space="preserve">[Threaded comment]
Your version of Excel allows you to read this threaded comment; however, any edits to it will get removed if the file is opened in a newer version of Excel. Learn more: https://go.microsoft.com/fwlink/?linkid=870924
Comment:
    @Padma Andhe </t>
      </text>
    </comment>
    <comment ref="O133" authorId="26" shapeId="0" xr:uid="{27F7B144-B22C-4B53-B295-C3E58942BE8A}">
      <text>
        <t xml:space="preserve">[Threaded comment]
Your version of Excel allows you to read this threaded comment; however, any edits to it will get removed if the file is opened in a newer version of Excel. Learn more: https://go.microsoft.com/fwlink/?linkid=870924
Comment:
    @Padma Andhe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tc={149BD5AF-20D4-4819-8DAF-302FC2E04C97}</author>
    <author>tc={1AE70875-F211-45A9-84FA-DB17BAAF37EE}</author>
    <author>tc={E9DEAB02-16FE-4851-907B-2947E145D30B}</author>
  </authors>
  <commentList>
    <comment ref="E4" authorId="0" shapeId="0" xr:uid="{149BD5AF-20D4-4819-8DAF-302FC2E04C97}">
      <text>
        <t>[Threaded comment]
Your version of Excel allows you to read this threaded comment; however, any edits to it will get removed if the file is opened in a newer version of Excel. Learn more: https://go.microsoft.com/fwlink/?linkid=870924
Comment:
    @Padma Andhe  Is this just part of the business rules tab? There’s no one field to fill in the new work type?</t>
      </text>
    </comment>
    <comment ref="J4" authorId="1" shapeId="0" xr:uid="{1AE70875-F211-45A9-84FA-DB17BAAF37EE}">
      <text>
        <t>[Threaded comment]
Your version of Excel allows you to read this threaded comment; however, any edits to it will get removed if the file is opened in a newer version of Excel. Learn more: https://go.microsoft.com/fwlink/?linkid=870924
Comment:
    @Padma Andhe Is this part of the business logic? What would be the criteria?</t>
      </text>
    </comment>
    <comment ref="ED9" authorId="2" shapeId="0" xr:uid="{E9DEAB02-16FE-4851-907B-2947E145D30B}">
      <text>
        <t>[Threaded comment]
Your version of Excel allows you to read this threaded comment; however, any edits to it will get removed if the file is opened in a newer version of Excel. Learn more: https://go.microsoft.com/fwlink/?linkid=870924
Comment:
    @Cynthia Propst (OSV)  Why is Data &amp; AI no longer a valid home portfolio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tc={9237BEF4-86F9-4D0A-9CEA-0152AB319836}</author>
    <author>tc={2D01777D-0DF7-4EBA-837A-8F758AEFE3B1}</author>
    <author>tc={7ADDB37E-0907-4216-BDF5-817F90332FF9}</author>
    <author>tc={62D34EE3-E5E7-4C28-ADC9-C69610060406}</author>
    <author>tc={48FA2B31-DB9B-4FEA-99A8-D42913498A5C}</author>
    <author>tc={2FDC4013-2DAD-4AC8-B9F9-A2109ED4C9C5}</author>
    <author>tc={FAC6192C-F8CD-4C37-B5B2-49958864C352}</author>
    <author>tc={A29D0FC9-950C-48DE-8B6B-CC5DB0FB158A}</author>
    <author>tc={49B94AB6-9612-4C96-972A-42F00401A614}</author>
    <author>tc={54EC94F7-3DF8-433F-858F-D07A71A43EC4}</author>
    <author>tc={38E4E629-8AEE-4471-A31A-8CF6005A0FC6}</author>
    <author>tc={ECD8E96E-9EAC-4F13-A16F-DD74A227F7FA}</author>
    <author>tc={3E8FA7DD-B569-473D-BD04-B22C31758B0D}</author>
    <author>tc={2327628C-5351-4DA9-AC52-4ED3936F9B59}</author>
    <author>tc={7F2EB06B-6355-4589-914F-2DDAEF264F53}</author>
    <author>tc={10182108-C3C0-4A31-94A1-5E2AABA305A4}</author>
    <author>tc={1E0709E9-1A7A-4796-9421-3A2C7962E5C6}</author>
    <author>tc={546402F8-7B12-4B42-9A60-DB5C9A9F56E3}</author>
    <author>tc={64C68641-620E-4453-BD45-FD59CD791048}</author>
    <author>tc={B20FEA83-7EDF-4050-BCC9-3B3EF342DA21}</author>
    <author>tc={BC3E5049-898F-4BD7-BF8E-FE2B760F1E5A}</author>
    <author>tc={F8508804-2C7E-4089-9DD3-1C3ABFDAC82B}</author>
  </authors>
  <commentList>
    <comment ref="R5" authorId="0" shapeId="0" xr:uid="{9237BEF4-86F9-4D0A-9CEA-0152AB319836}">
      <text>
        <t>[Threaded comment]
Your version of Excel allows you to read this threaded comment; however, any edits to it will get removed if the file is opened in a newer version of Excel. Learn more: https://go.microsoft.com/fwlink/?linkid=870924
Comment:
    @Diana Zemo @Teresa Holt  - If there are new names for Drive Domains, can you update it here
Reply:
    To be clear, do you need the precise domain names from Wave or do you need the commonly used name used in reporting?
Reply:
    All of the above… If you want the commonly used name used in reporting only then we need a new column for "Drive_Domain_Simplified"</t>
      </text>
    </comment>
    <comment ref="V5" authorId="1" shapeId="0" xr:uid="{2D01777D-0DF7-4EBA-837A-8F758AEFE3B1}">
      <text>
        <t>[Threaded comment]
Your version of Excel allows you to read this threaded comment; however, any edits to it will get removed if the file is opened in a newer version of Excel. Learn more: https://go.microsoft.com/fwlink/?linkid=870924
Comment:
    @Diana Zemo @Teresa Holt  Can you fill this out.  Let us know if we need a financial stakeholder at the domain level or at the Pod level
Reply:
    are these the correct domains?  i thought they were update i.e. surface ops, linehaul?
Reply:
    @Diana Zemo I've updated.  Do we have a main financial stakeholder / TO Finance rep for each domain?</t>
      </text>
    </comment>
    <comment ref="W5" authorId="2" shapeId="0" xr:uid="{7ADDB37E-0907-4216-BDF5-817F90332FF9}">
      <text>
        <t>[Threaded comment]
Your version of Excel allows you to read this threaded comment; however, any edits to it will get removed if the file is opened in a newer version of Excel. Learn more: https://go.microsoft.com/fwlink/?linkid=870924
Comment:
    @Teresa Holt  Can you fill this in?
Reply:
    done</t>
      </text>
    </comment>
    <comment ref="AS5" authorId="3" shapeId="0" xr:uid="{62D34EE3-E5E7-4C28-ADC9-C69610060406}">
      <text>
        <t>[Threaded comment]
Your version of Excel allows you to read this threaded comment; however, any edits to it will get removed if the file is opened in a newer version of Excel. Learn more: https://go.microsoft.com/fwlink/?linkid=870924
Comment:
    @Cassandra Imbeault (OSV) Updated ranges and scores for value Framework Alignment</t>
      </text>
    </comment>
    <comment ref="BT5" authorId="4" shapeId="0" xr:uid="{48FA2B31-DB9B-4FEA-99A8-D42913498A5C}">
      <text>
        <t>[Threaded comment]
Your version of Excel allows you to read this threaded comment; however, any edits to it will get removed if the file is opened in a newer version of Excel. Learn more: https://go.microsoft.com/fwlink/?linkid=870924
Comment:
    @Cassandra Imbeault (OSV) Score will be a calculated based on $$ field for NRB x 0.1 with a max score of 8</t>
      </text>
    </comment>
    <comment ref="CF5" authorId="5" shapeId="0" xr:uid="{2FDC4013-2DAD-4AC8-B9F9-A2109ED4C9C5}">
      <text>
        <t>[Threaded comment]
Your version of Excel allows you to read this threaded comment; however, any edits to it will get removed if the file is opened in a newer version of Excel. Learn more: https://go.microsoft.com/fwlink/?linkid=870924
Comment:
    7/5 - Updated Complexity Scores</t>
      </text>
    </comment>
    <comment ref="CH5" authorId="6" shapeId="0" xr:uid="{FAC6192C-F8CD-4C37-B5B2-49958864C352}">
      <text>
        <t>[Threaded comment]
Your version of Excel allows you to read this threaded comment; however, any edits to it will get removed if the file is opened in a newer version of Excel. Learn more: https://go.microsoft.com/fwlink/?linkid=870924
Comment:
    7/5 - Updated Effort Scores</t>
      </text>
    </comment>
    <comment ref="CO5" authorId="7" shapeId="0" xr:uid="{A29D0FC9-950C-48DE-8B6B-CC5DB0FB158A}">
      <text>
        <t>[Threaded comment]
Your version of Excel allows you to read this threaded comment; however, any edits to it will get removed if the file is opened in a newer version of Excel. Learn more: https://go.microsoft.com/fwlink/?linkid=870924
Comment:
    @Cassandra Imbeault (OSV)  7/5 - Update to scores for Total Cost</t>
      </text>
    </comment>
    <comment ref="FF5" authorId="8" shapeId="0" xr:uid="{49B94AB6-9612-4C96-972A-42F00401A614}">
      <text>
        <t>[Threaded comment]
Your version of Excel allows you to read this threaded comment; however, any edits to it will get removed if the file is opened in a newer version of Excel. Learn more: https://go.microsoft.com/fwlink/?linkid=870924
Comment:
    @Deatrice Gautreaux (OSV) @Lisa Payne  to determine the Epic T-size bins
Reply:
    @Deatrice Gautreaux (OSV) - Any progress?
Reply:
    @T.J. Welter  can you assist?
Reply:
    @Max Weiss (OSV) I'm meeting the architecture team tomorrow to go over this</t>
      </text>
    </comment>
    <comment ref="BC6" authorId="9" shapeId="0" xr:uid="{54EC94F7-3DF8-433F-858F-D07A71A43EC4}">
      <text>
        <t>[Threaded comment]
Your version of Excel allows you to read this threaded comment; however, any edits to it will get removed if the file is opened in a newer version of Excel. Learn more: https://go.microsoft.com/fwlink/?linkid=870924
Comment:
    @Cassandra Imbeault (OSV) ranges and scores for strategic themes updated</t>
      </text>
    </comment>
    <comment ref="BG6" authorId="10" shapeId="0" xr:uid="{38E4E629-8AEE-4471-A31A-8CF6005A0FC6}">
      <text>
        <t>[Threaded comment]
Your version of Excel allows you to read this threaded comment; however, any edits to it will get removed if the file is opened in a newer version of Excel. Learn more: https://go.microsoft.com/fwlink/?linkid=870924
Comment:
    @Cassandra Imbeault (OSV)  updates made to dropdown ranges for Time criticality</t>
      </text>
    </comment>
    <comment ref="V14" authorId="11" shapeId="0" xr:uid="{ECD8E96E-9EAC-4F13-A16F-DD74A227F7FA}">
      <text>
        <t>[Threaded comment]
Your version of Excel allows you to read this threaded comment; however, any edits to it will get removed if the file is opened in a newer version of Excel. Learn more: https://go.microsoft.com/fwlink/?linkid=870924
Comment:
    Freight not included in document provided by Diana - Assumed same as Surface Ops</t>
      </text>
    </comment>
    <comment ref="AT20" authorId="12" shapeId="0" xr:uid="{3E8FA7DD-B569-473D-BD04-B22C31758B0D}">
      <text>
        <t xml:space="preserve">[Threaded comment]
Your version of Excel allows you to read this threaded comment; however, any edits to it will get removed if the file is opened in a newer version of Excel. Learn more: https://go.microsoft.com/fwlink/?linkid=870924
Comment:
    @Cassandra Imbeault (OSV) 7/5 - weights for L0, L1 and L2 have been updated. </t>
      </text>
    </comment>
    <comment ref="U23" authorId="13" shapeId="0" xr:uid="{2327628C-5351-4DA9-AC52-4ED3936F9B59}">
      <text>
        <t>[Threaded comment]
Your version of Excel allows you to read this threaded comment; however, any edits to it will get removed if the file is opened in a newer version of Excel. Learn more: https://go.microsoft.com/fwlink/?linkid=870924
Comment:
    @Cassandra Imbeault (OSV) This Changed too</t>
      </text>
    </comment>
    <comment ref="AS26" authorId="14" shapeId="0" xr:uid="{7F2EB06B-6355-4589-914F-2DDAEF264F53}">
      <text>
        <t>[Threaded comment]
Your version of Excel allows you to read this threaded comment; however, any edits to it will get removed if the file is opened in a newer version of Excel. Learn more: https://go.microsoft.com/fwlink/?linkid=870924
Comment:
    Estimated Annualized Value Range?
Reply:
    @Craig Bair (OSV) Can you ask Cass what she wants?</t>
      </text>
    </comment>
    <comment ref="EC26" authorId="15" shapeId="0" xr:uid="{10182108-C3C0-4A31-94A1-5E2AABA305A4}">
      <text>
        <t>[Threaded comment]
Your version of Excel allows you to read this threaded comment; however, any edits to it will get removed if the file is opened in a newer version of Excel. Learn more: https://go.microsoft.com/fwlink/?linkid=870924
Comment:
    Only if under benefits</t>
      </text>
    </comment>
    <comment ref="EC37" authorId="16" shapeId="0" xr:uid="{1E0709E9-1A7A-4796-9421-3A2C7962E5C6}">
      <text>
        <t>[Threaded comment]
Your version of Excel allows you to read this threaded comment; however, any edits to it will get removed if the file is opened in a newer version of Excel. Learn more: https://go.microsoft.com/fwlink/?linkid=870924
Comment:
    Only if parent is CapEx</t>
      </text>
    </comment>
    <comment ref="AC40" authorId="17" shapeId="0" xr:uid="{546402F8-7B12-4B42-9A60-DB5C9A9F56E3}">
      <text>
        <t>[Threaded comment]
Your version of Excel allows you to read this threaded comment; however, any edits to it will get removed if the file is opened in a newer version of Excel. Learn more: https://go.microsoft.com/fwlink/?linkid=870924
Comment:
    Changing??</t>
      </text>
    </comment>
    <comment ref="AC48" authorId="18" shapeId="0" xr:uid="{64C68641-620E-4453-BD45-FD59CD791048}">
      <text>
        <t>[Threaded comment]
Your version of Excel allows you to read this threaded comment; however, any edits to it will get removed if the file is opened in a newer version of Excel. Learn more: https://go.microsoft.com/fwlink/?linkid=870924
Comment:
    Changing??</t>
      </text>
    </comment>
    <comment ref="AC56" authorId="19" shapeId="0" xr:uid="{B20FEA83-7EDF-4050-BCC9-3B3EF342DA21}">
      <text>
        <t>[Threaded comment]
Your version of Excel allows you to read this threaded comment; however, any edits to it will get removed if the file is opened in a newer version of Excel. Learn more: https://go.microsoft.com/fwlink/?linkid=870924
Comment:
    Ama may be removed</t>
      </text>
    </comment>
    <comment ref="AC74" authorId="20" shapeId="0" xr:uid="{BC3E5049-898F-4BD7-BF8E-FE2B760F1E5A}">
      <text>
        <t>[Threaded comment]
Your version of Excel allows you to read this threaded comment; however, any edits to it will get removed if the file is opened in a newer version of Excel. Learn more: https://go.microsoft.com/fwlink/?linkid=870924
Comment:
    @Cassandra Imbeault (OSV)  this was added as well</t>
      </text>
    </comment>
    <comment ref="AB134" authorId="21" shapeId="0" xr:uid="{F8508804-2C7E-4089-9DD3-1C3ABFDAC82B}">
      <text>
        <t>[Threaded comment]
Your version of Excel allows you to read this threaded comment; however, any edits to it will get removed if the file is opened in a newer version of Excel. Learn more: https://go.microsoft.com/fwlink/?linkid=870924
Comment:
    @BIBHUSHA KUNWAR Please update if you update the tool</t>
      </text>
    </comment>
  </commentList>
</comments>
</file>

<file path=xl/sharedStrings.xml><?xml version="1.0" encoding="utf-8"?>
<sst xmlns="http://schemas.openxmlformats.org/spreadsheetml/2006/main" count="44516" uniqueCount="6317">
  <si>
    <t>Target Entity</t>
  </si>
  <si>
    <t>Target Field Name</t>
  </si>
  <si>
    <t>Target DEV SB ID</t>
  </si>
  <si>
    <t>Type</t>
  </si>
  <si>
    <t>Entity_Flag_Manual_Review</t>
  </si>
  <si>
    <t>Strategic Program</t>
  </si>
  <si>
    <t>Source Tab</t>
  </si>
  <si>
    <t>Lifecycle Stage</t>
  </si>
  <si>
    <t>Source Demand Type</t>
  </si>
  <si>
    <t>Target Demand Type</t>
  </si>
  <si>
    <t>Required</t>
  </si>
  <si>
    <t>Source FDXSANDBOXA ID</t>
  </si>
  <si>
    <t>Selection Type</t>
  </si>
  <si>
    <t>Has Dropdown</t>
  </si>
  <si>
    <t>L1 - Strategy Def</t>
  </si>
  <si>
    <t>L1</t>
  </si>
  <si>
    <t>Name</t>
  </si>
  <si>
    <t>strat_name</t>
  </si>
  <si>
    <t>Field</t>
  </si>
  <si>
    <t>No</t>
  </si>
  <si>
    <t>YES</t>
  </si>
  <si>
    <t>Strategic Parent</t>
  </si>
  <si>
    <t>StratRoot</t>
  </si>
  <si>
    <t>Strategic Hierarchy</t>
  </si>
  <si>
    <t>Brief Demand Description</t>
  </si>
  <si>
    <t>strat_descr</t>
  </si>
  <si>
    <t>Target Start</t>
  </si>
  <si>
    <t>Optional</t>
  </si>
  <si>
    <t>strat_target_start</t>
  </si>
  <si>
    <t>Target Finish</t>
  </si>
  <si>
    <t>strat_target_finish</t>
  </si>
  <si>
    <t>Program Owner</t>
  </si>
  <si>
    <t>Single</t>
  </si>
  <si>
    <t>Yes</t>
  </si>
  <si>
    <t>Program Manager</t>
  </si>
  <si>
    <t>Multi</t>
  </si>
  <si>
    <t>D&amp;T Captain</t>
  </si>
  <si>
    <t>ESPM</t>
  </si>
  <si>
    <t>Business Finance</t>
  </si>
  <si>
    <t>Architecture Program Manager</t>
  </si>
  <si>
    <t>TO Finance</t>
  </si>
  <si>
    <t>TO Approver</t>
  </si>
  <si>
    <t>EPM</t>
  </si>
  <si>
    <t>Expected Business Outcome</t>
  </si>
  <si>
    <t>fdx_biz_out_strat</t>
  </si>
  <si>
    <t>Initial Net Recurring Benefits ($, annualized)-P&amp;L/Hard</t>
  </si>
  <si>
    <t>fdx_l1_nrb_hard</t>
  </si>
  <si>
    <t>Initial Net Recurring Benefits ($, annualized)-Soft</t>
  </si>
  <si>
    <t>fdx_l1_nrb_soft</t>
  </si>
  <si>
    <t>Initial Net Recurring Benefits ($, annualized)-Total</t>
  </si>
  <si>
    <t>Calculated</t>
  </si>
  <si>
    <t>Initial One-time Benefit ($)</t>
  </si>
  <si>
    <t>fdx_l1_otb_total</t>
  </si>
  <si>
    <t>Key Assumptions Made in Quantifying Impact</t>
  </si>
  <si>
    <t>fdx_calc_explan</t>
  </si>
  <si>
    <t>Primary Type of Value</t>
  </si>
  <si>
    <t>Str119</t>
  </si>
  <si>
    <t>Alt. Struct</t>
  </si>
  <si>
    <t>Does this Program impact Customer Experience?</t>
  </si>
  <si>
    <t>Str136</t>
  </si>
  <si>
    <t>Str32</t>
  </si>
  <si>
    <t>If yes, indicate level of Customer Experience impact</t>
  </si>
  <si>
    <t>Wbs125</t>
  </si>
  <si>
    <t>Wbs57</t>
  </si>
  <si>
    <t>Does this Program impact Service?</t>
  </si>
  <si>
    <t>Str137</t>
  </si>
  <si>
    <t>Str48</t>
  </si>
  <si>
    <t>If yes, indicate level of Service impact</t>
  </si>
  <si>
    <t>Wbs126</t>
  </si>
  <si>
    <t>Wbs59</t>
  </si>
  <si>
    <t>OKRs:</t>
  </si>
  <si>
    <t>-</t>
  </si>
  <si>
    <t xml:space="preserve"> -</t>
  </si>
  <si>
    <t>static text</t>
  </si>
  <si>
    <t>Enterprise KPI</t>
  </si>
  <si>
    <t>Str134</t>
  </si>
  <si>
    <t>Program Dependencies</t>
  </si>
  <si>
    <t>Dependency container</t>
  </si>
  <si>
    <t>Commercial Dependencies</t>
  </si>
  <si>
    <t>Str138</t>
  </si>
  <si>
    <t>Str49</t>
  </si>
  <si>
    <t>SL2 Business Finance Approval</t>
  </si>
  <si>
    <t>Str140</t>
  </si>
  <si>
    <t>Str52</t>
  </si>
  <si>
    <t>SL2 Business Finance Approval Notes</t>
  </si>
  <si>
    <t>fdx_bfin_appv_notes</t>
  </si>
  <si>
    <t>SL2 Program Owner Approval</t>
  </si>
  <si>
    <t>Str141</t>
  </si>
  <si>
    <t>Str53</t>
  </si>
  <si>
    <t>SL2 Program Owner Approval Notes</t>
  </si>
  <si>
    <t>fdx_pgo_appv_notes</t>
  </si>
  <si>
    <t>SL2 ESPM Review</t>
  </si>
  <si>
    <t>Str142</t>
  </si>
  <si>
    <t>Str54</t>
  </si>
  <si>
    <t>SL2 ESPM Review Notes</t>
  </si>
  <si>
    <t>fdx_espm_rev_notes</t>
  </si>
  <si>
    <t>SL2 TO Approval</t>
  </si>
  <si>
    <t>Str143</t>
  </si>
  <si>
    <t>Str55</t>
  </si>
  <si>
    <t>SL2 TO Approval Notes</t>
  </si>
  <si>
    <t>fdx_to_appv_notes</t>
  </si>
  <si>
    <t>Status</t>
  </si>
  <si>
    <t>Read Only</t>
  </si>
  <si>
    <t>SpsStatus</t>
  </si>
  <si>
    <t>Program Type</t>
  </si>
  <si>
    <t>Str144</t>
  </si>
  <si>
    <t>Str61</t>
  </si>
  <si>
    <t>SL2 D&amp;T Finance Approval</t>
  </si>
  <si>
    <t>Str146</t>
  </si>
  <si>
    <t>Str92</t>
  </si>
  <si>
    <t>SL2 D&amp;T Finance Approval Notes</t>
  </si>
  <si>
    <t>fdx_dtfin_appv_notes</t>
  </si>
  <si>
    <t> </t>
  </si>
  <si>
    <t>SL2 DTU Approval</t>
  </si>
  <si>
    <t>Str148</t>
  </si>
  <si>
    <t>Str102</t>
  </si>
  <si>
    <t>SL2 DTU Approval Notes</t>
  </si>
  <si>
    <t>fdx_dtu_appv_notes</t>
  </si>
  <si>
    <t>L2 - Design</t>
  </si>
  <si>
    <t>L2</t>
  </si>
  <si>
    <t>Program</t>
  </si>
  <si>
    <t>Start</t>
  </si>
  <si>
    <t>Finish</t>
  </si>
  <si>
    <t>MsTpS</t>
  </si>
  <si>
    <t>DESCR</t>
  </si>
  <si>
    <t>Category</t>
  </si>
  <si>
    <t>MsCtS</t>
  </si>
  <si>
    <t>Target</t>
  </si>
  <si>
    <t>STRAT_WK_ACT_FIN</t>
  </si>
  <si>
    <t>Actual/Schedule</t>
  </si>
  <si>
    <t>STRAT_WK_SCH_ACT_FIN</t>
  </si>
  <si>
    <t>Work Parent</t>
  </si>
  <si>
    <t>PARENT_DESCR</t>
  </si>
  <si>
    <t>Predefined</t>
  </si>
  <si>
    <t>Work Type</t>
  </si>
  <si>
    <t>Wbs22</t>
  </si>
  <si>
    <t>Work Name</t>
  </si>
  <si>
    <t xml:space="preserve">Does this work support either of these type of Programs? </t>
  </si>
  <si>
    <t>Wbs174</t>
  </si>
  <si>
    <t>Is this demand Business Only?</t>
  </si>
  <si>
    <t>Wbs138</t>
  </si>
  <si>
    <t>Wbs66</t>
  </si>
  <si>
    <t>Is this Limited Visibility? 
Does this require Limited Visibility?</t>
  </si>
  <si>
    <t>WR31</t>
  </si>
  <si>
    <t>Wbs154</t>
  </si>
  <si>
    <t>Value Bundle</t>
  </si>
  <si>
    <t>Value Bundle Manager</t>
  </si>
  <si>
    <t>D&amp;T Finance</t>
  </si>
  <si>
    <t>EPG</t>
  </si>
  <si>
    <t>Associated Program</t>
  </si>
  <si>
    <t>STRATEGY_ALLO</t>
  </si>
  <si>
    <t>Sub Program</t>
  </si>
  <si>
    <t>Wbs110</t>
  </si>
  <si>
    <t>Wbs67</t>
  </si>
  <si>
    <t>Description</t>
  </si>
  <si>
    <t>PE01</t>
  </si>
  <si>
    <t>Work Status</t>
  </si>
  <si>
    <t>Wbs20</t>
  </si>
  <si>
    <t>Stage</t>
  </si>
  <si>
    <t>Wbs28</t>
  </si>
  <si>
    <t>In Scope</t>
  </si>
  <si>
    <t>fdx_in_scope</t>
  </si>
  <si>
    <t>Out of Scope</t>
  </si>
  <si>
    <t>fdx_out_of_scope</t>
  </si>
  <si>
    <t>fdx_biz_out_work</t>
  </si>
  <si>
    <t>Business Complexity Estimate</t>
  </si>
  <si>
    <t>Str36</t>
  </si>
  <si>
    <t>Business Process and/or Operational Impact</t>
  </si>
  <si>
    <t>fdx_biz_impact_work</t>
  </si>
  <si>
    <t>Region(s) Impacted</t>
  </si>
  <si>
    <t>Wbs94</t>
  </si>
  <si>
    <t>T-Shirt Size</t>
  </si>
  <si>
    <t>Str62</t>
  </si>
  <si>
    <t>Impacts Commercial Portfolio?</t>
  </si>
  <si>
    <t>Str109</t>
  </si>
  <si>
    <t>Impacts Enterprise Services Portfolio?</t>
  </si>
  <si>
    <t>Str111</t>
  </si>
  <si>
    <t>Impacts Platforms Portfolio?</t>
  </si>
  <si>
    <t>Str110</t>
  </si>
  <si>
    <t>Impacts Supply Chain Operations Portfolio?</t>
  </si>
  <si>
    <t>Str113</t>
  </si>
  <si>
    <t>EAI #</t>
  </si>
  <si>
    <t>fdx_eai_work</t>
  </si>
  <si>
    <t>Architectural Documentation</t>
  </si>
  <si>
    <t>fdx_epic_archdoc_URL</t>
  </si>
  <si>
    <t>Actual/Schedule Start</t>
  </si>
  <si>
    <t>AC_START</t>
  </si>
  <si>
    <t>Actual/Schedule Finish</t>
  </si>
  <si>
    <t>AC_FINISH</t>
  </si>
  <si>
    <t>fdx_assump_work</t>
  </si>
  <si>
    <t>n/a</t>
  </si>
  <si>
    <t>Baseline Fiscal Year</t>
  </si>
  <si>
    <t>Str33</t>
  </si>
  <si>
    <t>Net Recurring Benefits P&amp;L/Hard Exit Rate CY '29</t>
  </si>
  <si>
    <t>fdx_vbnrb_pnl_exit</t>
  </si>
  <si>
    <t>Net Recurring Benefits CY '27 -P&amp;L/Hard</t>
  </si>
  <si>
    <t>fdx_vbnrb_cy27_hard</t>
  </si>
  <si>
    <t>Net Recurring Benefits CY '28 -P&amp;L/Hard</t>
  </si>
  <si>
    <t>fdx_vbnrb_cy28_hard</t>
  </si>
  <si>
    <t>Net Recurring Benefits CY '29 -P&amp;L/Hard</t>
  </si>
  <si>
    <t>fdx_vbnrb_cy29_hard</t>
  </si>
  <si>
    <t>Net Recurring Benefits TY '26 -P&amp;L/Hard</t>
  </si>
  <si>
    <t>fdx_vbnrb_ty26_hard</t>
  </si>
  <si>
    <t>Net Recurring Benefits -Soft</t>
  </si>
  <si>
    <t>fdx_l1_nrb_soft_wrk</t>
  </si>
  <si>
    <t>Net Recurring Benefits -Total</t>
  </si>
  <si>
    <t>fdx_vbnrb_total</t>
  </si>
  <si>
    <t>One-time Benefit ($)</t>
  </si>
  <si>
    <t>fdzx_l1_otb_total</t>
  </si>
  <si>
    <t>fdx_l1_otb_total_wrk</t>
  </si>
  <si>
    <t>Primary Type of Value Impact</t>
  </si>
  <si>
    <t>Str128</t>
  </si>
  <si>
    <t>Does this Work impact Customer Experience? (Y/N)</t>
  </si>
  <si>
    <t>Wbs123</t>
  </si>
  <si>
    <t>Wbs75</t>
  </si>
  <si>
    <t>Does this Work impact Service? (Y/N)</t>
  </si>
  <si>
    <t>Wbs124</t>
  </si>
  <si>
    <t>Wbs76</t>
  </si>
  <si>
    <t>Financial Capital Approved for Program</t>
  </si>
  <si>
    <t>Str145</t>
  </si>
  <si>
    <t>Str56</t>
  </si>
  <si>
    <t>Risk Name</t>
  </si>
  <si>
    <t>Risk Description</t>
  </si>
  <si>
    <t>Risk Type</t>
  </si>
  <si>
    <t xml:space="preserve"> Risk Probability and Impact</t>
  </si>
  <si>
    <t>Risk Impact</t>
  </si>
  <si>
    <t>Risk Mitigation Comments</t>
  </si>
  <si>
    <t>Risk Owner</t>
  </si>
  <si>
    <t>Target Date</t>
  </si>
  <si>
    <t>Created By</t>
  </si>
  <si>
    <t>Created On</t>
  </si>
  <si>
    <t>Last Updated By</t>
  </si>
  <si>
    <t>Change - Number of internal stakeholders</t>
  </si>
  <si>
    <t>Change - Number of external stakeholders</t>
  </si>
  <si>
    <t>Change - Impacted regions</t>
  </si>
  <si>
    <t>Change - Impacted stakeholder groups</t>
  </si>
  <si>
    <t>Str139</t>
  </si>
  <si>
    <t>Change - Significance (Magnitude)</t>
  </si>
  <si>
    <t>Str95</t>
  </si>
  <si>
    <t>Change - Willingness</t>
  </si>
  <si>
    <t>Str96</t>
  </si>
  <si>
    <t>Value Bundle Milestones (Plan)</t>
  </si>
  <si>
    <t>Sequence ID</t>
  </si>
  <si>
    <t>WORK_STRUCTURE_CODE</t>
  </si>
  <si>
    <t>Health Status</t>
  </si>
  <si>
    <t>Wbs709</t>
  </si>
  <si>
    <t>Value Bundle Epic</t>
  </si>
  <si>
    <t>Status Rationale</t>
  </si>
  <si>
    <t>fdx_status_work</t>
  </si>
  <si>
    <t>Milestone Flag</t>
  </si>
  <si>
    <t>MILESTONE_FLAG</t>
  </si>
  <si>
    <t>Task or Milestone Type</t>
  </si>
  <si>
    <t>Wbs712</t>
  </si>
  <si>
    <t>Schedule Start</t>
  </si>
  <si>
    <t>SCHEDULE_START</t>
  </si>
  <si>
    <t>Duration</t>
  </si>
  <si>
    <t>MW_DURATION</t>
  </si>
  <si>
    <t>Schedule Finish</t>
  </si>
  <si>
    <t>SCHEDULE_FINISH</t>
  </si>
  <si>
    <t>Show on Roadmap</t>
  </si>
  <si>
    <t>Wbs19</t>
  </si>
  <si>
    <t>Actual Start</t>
  </si>
  <si>
    <t>ACTUAL_START</t>
  </si>
  <si>
    <t>Actual Finish</t>
  </si>
  <si>
    <t>ACTUAL_FINISH</t>
  </si>
  <si>
    <t>SL3 Program Owner Approval</t>
  </si>
  <si>
    <t>Wbs141</t>
  </si>
  <si>
    <t>Wbs130</t>
  </si>
  <si>
    <t>SL3 Program Owner Approval Notes</t>
  </si>
  <si>
    <t>fdx_sl3_po_apv_notes</t>
  </si>
  <si>
    <t>SL3 D&amp;T Captain Approval</t>
  </si>
  <si>
    <t>Wbs142</t>
  </si>
  <si>
    <t>Wbs131</t>
  </si>
  <si>
    <t>SL3 D&amp;T Captain Approval Notes</t>
  </si>
  <si>
    <t>fdx_sl3_dtc_apv_note</t>
  </si>
  <si>
    <t>SL3 ESPM Review</t>
  </si>
  <si>
    <t>Wbs143</t>
  </si>
  <si>
    <t>Wbs132</t>
  </si>
  <si>
    <t>SL3 ESPM Review Notes</t>
  </si>
  <si>
    <t>fdx_sl3_espm_rv_note</t>
  </si>
  <si>
    <t>SL3 Business Finance Approval</t>
  </si>
  <si>
    <t>Wbs144</t>
  </si>
  <si>
    <t>Wbs133</t>
  </si>
  <si>
    <t>SL3 Business Finance Approval Notes</t>
  </si>
  <si>
    <t>fdx_sl3_fin_apv_note</t>
  </si>
  <si>
    <t>SL3 TO Approval</t>
  </si>
  <si>
    <t>Wbs145</t>
  </si>
  <si>
    <t>Wbs134</t>
  </si>
  <si>
    <t>SL3 TO Approval Notes</t>
  </si>
  <si>
    <t>fdx_sl3_to_apv_notes</t>
  </si>
  <si>
    <t>Execution Type</t>
  </si>
  <si>
    <t>ExecType</t>
  </si>
  <si>
    <t>L3 - Execute (BwT VB)</t>
  </si>
  <si>
    <t>L3</t>
  </si>
  <si>
    <t>Home Portfolio</t>
  </si>
  <si>
    <t>WR43</t>
  </si>
  <si>
    <t>Epic Work Status</t>
  </si>
  <si>
    <t>Epic Work Name</t>
  </si>
  <si>
    <t>DESCR
PW_DESCRIPTION</t>
  </si>
  <si>
    <t>Epic Description</t>
  </si>
  <si>
    <t>Agility #</t>
  </si>
  <si>
    <t>fdx_agility_id</t>
  </si>
  <si>
    <t>Agility URL</t>
  </si>
  <si>
    <t>fdx_agilityurl_URL</t>
  </si>
  <si>
    <t>Agility % Complete (Size)</t>
  </si>
  <si>
    <t>Associated Program Seq ID</t>
  </si>
  <si>
    <t>fdx_ass_strat_seq_id</t>
  </si>
  <si>
    <t>Associated Program Name</t>
  </si>
  <si>
    <t>Strategy_ALLO</t>
  </si>
  <si>
    <t>Program Stage</t>
  </si>
  <si>
    <t>Wbs106 (Wbs28)</t>
  </si>
  <si>
    <t>Epic Solution(s)</t>
  </si>
  <si>
    <t>Wbs121</t>
  </si>
  <si>
    <t>Wbs140</t>
  </si>
  <si>
    <t>Primary Epic Owner</t>
  </si>
  <si>
    <t>fdx_epic_owner</t>
  </si>
  <si>
    <t>PPM Project Number</t>
  </si>
  <si>
    <t>fdx_work_ppm_num</t>
  </si>
  <si>
    <t>Opt.</t>
  </si>
  <si>
    <t>Ability To Statements</t>
  </si>
  <si>
    <t>fdx_ability_to_work</t>
  </si>
  <si>
    <t>Epic Architectural Documentation</t>
  </si>
  <si>
    <t>IT Architect</t>
  </si>
  <si>
    <t>fdx_it_ent_arch</t>
  </si>
  <si>
    <t>Business Architect</t>
  </si>
  <si>
    <t>fdx_bus_ent_arch</t>
  </si>
  <si>
    <t>Epic Notes and Comments</t>
  </si>
  <si>
    <t>fdx_epic_notes</t>
  </si>
  <si>
    <t>Capital Number</t>
  </si>
  <si>
    <t>fdx_epic_cap_no</t>
  </si>
  <si>
    <t>OnSpring ID</t>
  </si>
  <si>
    <t>fdx_first_id</t>
  </si>
  <si>
    <t>Ready for EPM Quality Check?</t>
  </si>
  <si>
    <t>Wbs119</t>
  </si>
  <si>
    <t>Wbs135</t>
  </si>
  <si>
    <t>L3 EPM Review 1</t>
  </si>
  <si>
    <t>Wbs120</t>
  </si>
  <si>
    <t>Wbs136</t>
  </si>
  <si>
    <t>L3 EPM Notes</t>
  </si>
  <si>
    <t>fdx_epic_epm_notes1</t>
  </si>
  <si>
    <t>L3 EPG Approval</t>
  </si>
  <si>
    <t>L3 EPG Approval Notes</t>
  </si>
  <si>
    <t>fdx_sl3_epg_apv_note</t>
  </si>
  <si>
    <t>Resources Allocated?</t>
  </si>
  <si>
    <t>Wbs129</t>
  </si>
  <si>
    <t>Wbs139</t>
  </si>
  <si>
    <t>L3 EPM Review 2</t>
  </si>
  <si>
    <t>Wbs128</t>
  </si>
  <si>
    <t>Wbs137</t>
  </si>
  <si>
    <t>Ready to Close: Epic Intent has been met</t>
  </si>
  <si>
    <t>Wbs102</t>
  </si>
  <si>
    <t>wbs102</t>
  </si>
  <si>
    <t>Results/Outcome Notes</t>
  </si>
  <si>
    <t>fdx_results</t>
  </si>
  <si>
    <t>L3 - Execute (BO VB)</t>
  </si>
  <si>
    <t>L3 ESPM Review</t>
  </si>
  <si>
    <t>Wbs146</t>
  </si>
  <si>
    <t>L3 ESPM Review Notes</t>
  </si>
  <si>
    <t>fdx_l3_espm_rv_notes</t>
  </si>
  <si>
    <t>L4 - Evaluate Closure</t>
  </si>
  <si>
    <t>L4</t>
  </si>
  <si>
    <t>L4 Close Value Bundle - Program Owner Approval</t>
  </si>
  <si>
    <t>Wbs158</t>
  </si>
  <si>
    <t>Alt Structure</t>
  </si>
  <si>
    <t>L4 Close Value Bundle - Program Owner Approval Notes</t>
  </si>
  <si>
    <t>fdx_l4_pgmo_apv_note</t>
  </si>
  <si>
    <t>L4 Close Value Bundle - Business Finance Approval</t>
  </si>
  <si>
    <t>Wbs159</t>
  </si>
  <si>
    <t>L4 Close Value Bundle - Business Finance Approval Notes</t>
  </si>
  <si>
    <t>fdx_l4_bfin_apv_note</t>
  </si>
  <si>
    <t>L4 Close Program - Program Owner Approval</t>
  </si>
  <si>
    <t>Str58</t>
  </si>
  <si>
    <t>L4 Close Program - Program Owner Approval Notes</t>
  </si>
  <si>
    <t>fdx_l4_pgpo_apv_note</t>
  </si>
  <si>
    <t>L4 Close Program - Business Finance Approval</t>
  </si>
  <si>
    <t>Str59</t>
  </si>
  <si>
    <t>L4 Close Program - Business Finance Approval Notes</t>
  </si>
  <si>
    <t>fdx_l4_pgbf_apv_note</t>
  </si>
  <si>
    <t>L4 Close Program - TO Approval</t>
  </si>
  <si>
    <t>Str60</t>
  </si>
  <si>
    <t>L4 Close Program - TO Approval Notes</t>
  </si>
  <si>
    <t>fdx_l4_pgto_apv_note</t>
  </si>
  <si>
    <t>Program Closure Program Owner Approval</t>
  </si>
  <si>
    <t>Do each of the approvals need notes?</t>
  </si>
  <si>
    <t>Source PROD ID</t>
  </si>
  <si>
    <t>L1 - Establish Request for Work</t>
  </si>
  <si>
    <t>Business with Tech, Local Enhancement, Lifecycle Management, Business Only</t>
  </si>
  <si>
    <t>PW_SHORT_NAME</t>
  </si>
  <si>
    <t>Alternate Structure</t>
  </si>
  <si>
    <t>Does this request support a DRIVE strategic program?</t>
  </si>
  <si>
    <t xml:space="preserve">Is this demand Business Only? </t>
  </si>
  <si>
    <t>Wbs166</t>
  </si>
  <si>
    <t>Does this request support a D&amp;T Digital Transformation Program?</t>
  </si>
  <si>
    <t>Wbs147</t>
  </si>
  <si>
    <t>Intended Demand Manager</t>
  </si>
  <si>
    <t>Wbs148</t>
  </si>
  <si>
    <t>VP Sponsor Name</t>
  </si>
  <si>
    <t>WR47</t>
  </si>
  <si>
    <t>Wbs149</t>
  </si>
  <si>
    <t>Does this request support a planned application or infrastructure upgrade and/or a routine infrastructure refresh?</t>
  </si>
  <si>
    <t>Risk Subtype (Does this request address a risk or requirement to one of the following?) Reommend NOT calling it a Risk Sub-type. Can we just simply ask, "Does this request address a Legal, Regulatory, or Infosec requirement?  If they answer No - the additional biz continuity questions will not populate. If they say yes, they will.  This should be the FIRST question (to replace row 16)</t>
  </si>
  <si>
    <t>Risk Type LB: Recommend putting this question below the "Does this request address a legal, regulatory, or Infosec requirement?</t>
  </si>
  <si>
    <t>WR56</t>
  </si>
  <si>
    <t>Wbs150</t>
  </si>
  <si>
    <t>Risk Level</t>
  </si>
  <si>
    <t>WR57</t>
  </si>
  <si>
    <t>Wbs151</t>
  </si>
  <si>
    <t>What is the risk of not completing the work?</t>
  </si>
  <si>
    <t xml:space="preserve">	fdx_risk_compwrk_str</t>
  </si>
  <si>
    <t>fdx_risk_compwork_wr</t>
  </si>
  <si>
    <t>What law or regulation is impacted?</t>
  </si>
  <si>
    <t>fdx_law_regimp</t>
  </si>
  <si>
    <t>fdx_law_regimp_wr</t>
  </si>
  <si>
    <t>Attorney/SME who can attest to risk: Name &amp; FDX ID</t>
  </si>
  <si>
    <t>fdx_law_attr_sme</t>
  </si>
  <si>
    <t>fdx_law_attr_sme_wrk</t>
  </si>
  <si>
    <t>Is there a manual solution?</t>
  </si>
  <si>
    <t>WR58</t>
  </si>
  <si>
    <t>Wbs152</t>
  </si>
  <si>
    <t>If there is a manual solution, explain:</t>
  </si>
  <si>
    <t>fdx_manual_wrk</t>
  </si>
  <si>
    <t>fdx_manual_wrk_wrk</t>
  </si>
  <si>
    <t>What is the time criticality?</t>
  </si>
  <si>
    <t>WR59</t>
  </si>
  <si>
    <t>Wbs153</t>
  </si>
  <si>
    <t>Requested IT completion Date</t>
  </si>
  <si>
    <t>fdx_it_complete_date</t>
  </si>
  <si>
    <t>fdx_it_cmplet_date</t>
  </si>
  <si>
    <t>Demand Type</t>
  </si>
  <si>
    <t>Auto-filled (RO)</t>
  </si>
  <si>
    <t>WR2</t>
  </si>
  <si>
    <t>What business problem are you looking to solve?</t>
  </si>
  <si>
    <t>fdx_biz_prob_solve</t>
  </si>
  <si>
    <t>Why is this needed?</t>
  </si>
  <si>
    <t>fdx_why_needed</t>
  </si>
  <si>
    <t>What is the risk if not done?</t>
  </si>
  <si>
    <t>fdx_risk_if_not_done</t>
  </si>
  <si>
    <t>Business Ability To Statements</t>
  </si>
  <si>
    <t>fdx_ability_to</t>
  </si>
  <si>
    <t>fdx_biz_out_req</t>
  </si>
  <si>
    <t>T-shirt Size</t>
  </si>
  <si>
    <t>Primary Type of Value Impact (if you chose Service or Customer Experience as a Primary Type of Value)</t>
  </si>
  <si>
    <t>Primary Impacted Portfolio</t>
  </si>
  <si>
    <t>Wbs155</t>
  </si>
  <si>
    <t>Other Impacted Portfolios</t>
  </si>
  <si>
    <t>Wbs60</t>
  </si>
  <si>
    <t>Wbs156</t>
  </si>
  <si>
    <t>What Business Unit does this request support?</t>
  </si>
  <si>
    <t>Wbs169</t>
  </si>
  <si>
    <t>Submit to Triage?</t>
  </si>
  <si>
    <t>WR46</t>
  </si>
  <si>
    <t>Is this non-discretionary demand vital to business continuity?</t>
  </si>
  <si>
    <t>Wbs160</t>
  </si>
  <si>
    <t xml:space="preserve">Business Case Requirements </t>
  </si>
  <si>
    <t>Wbs161</t>
  </si>
  <si>
    <t>Level of Architecture</t>
  </si>
  <si>
    <t>Wbs162</t>
  </si>
  <si>
    <t>Impacts Value Prop or Risk to Customer?</t>
  </si>
  <si>
    <t>WR50</t>
  </si>
  <si>
    <t>Level of Governance</t>
  </si>
  <si>
    <t>Wbs86</t>
  </si>
  <si>
    <t>Ready for SL 1?
Triage Decision</t>
  </si>
  <si>
    <t>WR39</t>
  </si>
  <si>
    <t>Wbs163</t>
  </si>
  <si>
    <t>Triage Comments</t>
  </si>
  <si>
    <t>fdx_ready_sl1_req</t>
  </si>
  <si>
    <t>fdx_ready_sl1_work</t>
  </si>
  <si>
    <t xml:space="preserve">SL3 Approver???
EPG Approver
PEO Approver
</t>
  </si>
  <si>
    <t>191005
96199</t>
  </si>
  <si>
    <t>Lifecycle Role</t>
  </si>
  <si>
    <t>Demand Manager</t>
  </si>
  <si>
    <t>Architecture Project Manager</t>
  </si>
  <si>
    <t>SL3: Approved for L3?
Request Approved?</t>
  </si>
  <si>
    <t>Str30</t>
  </si>
  <si>
    <t>Wbs164</t>
  </si>
  <si>
    <t>Notes on SL3 Request Approval Decision</t>
  </si>
  <si>
    <t>fdx_sl1_notes</t>
  </si>
  <si>
    <t>fdx_req_apv_dec_note</t>
  </si>
  <si>
    <t>Flow Type</t>
  </si>
  <si>
    <t>Wbs157</t>
  </si>
  <si>
    <t>L2-Design-Transformational Inv</t>
  </si>
  <si>
    <t>Demand Bundle</t>
  </si>
  <si>
    <t>Baseline Fiscal Year of Work Bundle</t>
  </si>
  <si>
    <t>Calculated Field today but will have to provide another version of a separate non calculated field in new design</t>
  </si>
  <si>
    <t>Enterprise KPIs</t>
  </si>
  <si>
    <t>Does this Work impact Customer Experience?</t>
  </si>
  <si>
    <t>Does this Work impact Service?</t>
  </si>
  <si>
    <t>SL3 EPG Approval</t>
  </si>
  <si>
    <t>SL3 EPG Approval Notes</t>
  </si>
  <si>
    <t>L3 - Execute</t>
  </si>
  <si>
    <t>Epic</t>
  </si>
  <si>
    <t>Demand Subtype</t>
  </si>
  <si>
    <t>WR53</t>
  </si>
  <si>
    <t>Epic Name / Title</t>
  </si>
  <si>
    <t>Task line in Plan</t>
  </si>
  <si>
    <t>Epics Notes &amp; Comments</t>
  </si>
  <si>
    <t>fdx_agility_URL</t>
  </si>
  <si>
    <t>RO</t>
  </si>
  <si>
    <t>Agility % Complete Size</t>
  </si>
  <si>
    <t>1284</t>
  </si>
  <si>
    <t>Demand Bundle Work Id
Epic Task Id</t>
  </si>
  <si>
    <t>System</t>
  </si>
  <si>
    <t>Req</t>
  </si>
  <si>
    <t>Solution(s)</t>
  </si>
  <si>
    <t>PRODUCT_ALLO</t>
  </si>
  <si>
    <t>predefined</t>
  </si>
  <si>
    <t>EPM Review 1</t>
  </si>
  <si>
    <t>EPM Notes</t>
  </si>
  <si>
    <t>Ready for Epic Approval?</t>
  </si>
  <si>
    <t>Wbs168</t>
  </si>
  <si>
    <t>Epic Approval</t>
  </si>
  <si>
    <t>Wbs165</t>
  </si>
  <si>
    <t>Epic Approver Notes</t>
  </si>
  <si>
    <t>fdx_epic_apprv_notes</t>
  </si>
  <si>
    <t>EPM Review 2</t>
  </si>
  <si>
    <t>Alt structure</t>
  </si>
  <si>
    <t>L4 - Evaluate Complete</t>
  </si>
  <si>
    <t>SL4 Close Demand Bundle - Business Finance Approval</t>
  </si>
  <si>
    <t>SL4 Close Demand Bundle - Business Finance Approval Notes</t>
  </si>
  <si>
    <t>Ready to Close: Work Bundle Intent has been met?</t>
  </si>
  <si>
    <t>Wbs167</t>
  </si>
  <si>
    <t>Epic - TASK</t>
  </si>
  <si>
    <t>Ready to Close: Epic Intent has been met?</t>
  </si>
  <si>
    <t>Op Model Step</t>
  </si>
  <si>
    <t>Lifecycle Step Name</t>
  </si>
  <si>
    <t>Section Name</t>
  </si>
  <si>
    <t>Lifecycle Screen User Role</t>
  </si>
  <si>
    <t>Value Type</t>
  </si>
  <si>
    <t>Values</t>
  </si>
  <si>
    <t>Options (Req./RO/Opt.)</t>
  </si>
  <si>
    <t>Editable After Submission</t>
  </si>
  <si>
    <t>Hover Text or Static Text</t>
  </si>
  <si>
    <t>Notes/Comments</t>
  </si>
  <si>
    <t>Current Attribute in FDXPROD?</t>
  </si>
  <si>
    <t>Current Attribute in FDXSANDBOXA?</t>
  </si>
  <si>
    <t>Needed in Roadmaps?</t>
  </si>
  <si>
    <t>Primary Reviewer</t>
  </si>
  <si>
    <t>L1: Program Established</t>
  </si>
  <si>
    <t>Add New Strategy</t>
  </si>
  <si>
    <t>Text</t>
  </si>
  <si>
    <t>Req.</t>
  </si>
  <si>
    <t>Editable throughout</t>
  </si>
  <si>
    <t>Christina</t>
  </si>
  <si>
    <t>Admin only</t>
  </si>
  <si>
    <t>Date</t>
  </si>
  <si>
    <t>Editable up to Step 2</t>
  </si>
  <si>
    <t>Assign Roles and Responsibilities</t>
  </si>
  <si>
    <t>dynamic</t>
  </si>
  <si>
    <t>Lifecycle Roles do not support Help/Hover text</t>
  </si>
  <si>
    <t>[CD] - Asked Matt Buxton for assistance with definition
Lifecycle Roles do not support Help/Hover text</t>
  </si>
  <si>
    <t>Should not have edit access to financials
Lifecycle Roles do not support Help/Hover text</t>
  </si>
  <si>
    <t>L1: Desired Business Outcomes and Business Case</t>
  </si>
  <si>
    <t>Initial Light Business Case</t>
  </si>
  <si>
    <t>Decide editability after L0/L1</t>
  </si>
  <si>
    <t>Matt</t>
  </si>
  <si>
    <t>Currency</t>
  </si>
  <si>
    <t>Have static text above this saying "**Net Recurring Benefits = CY '29 Exit Rate, Annualized**</t>
  </si>
  <si>
    <t>replace L1 with Initial; Follow up with finance to update definition; decide editability after L0/L1</t>
  </si>
  <si>
    <t>Brand (87360)
Financial - Cost Avoidance (87369)
Financial - Cost Savings/Reductions (87361)
Customer Experience - Recipient Experience (110380)
Customer Experience - Visibility (110381)
Customer Experience - Problem Resolution (110382)
Customer Experience - Other (87362)
Innovation (110385)
Financial - Revenue Growth (Customer Acquisition) (87363)
Financial - Revenue Growth (Yield) (87364)
Financial - Revenue Protection (87365)
Safety/Legal (87366)
Service - Modernization (163341)
Service - Other (87367)
Sustainability (87368)
Talent and Culture (110386)
Tech Reliability (110383)
Tech Development Experience (110384)</t>
  </si>
  <si>
    <t>Yes
No</t>
  </si>
  <si>
    <t xml:space="preserve"> Follow up with finance to update definition; decide editability after L0/L1 ; need a separate line to give High, medium, low for CX and similar question for Service. Will also need a "Other Type of Value field</t>
  </si>
  <si>
    <t>High
Medium
Low</t>
  </si>
  <si>
    <t>Enter Program OKRs and KPIs</t>
  </si>
  <si>
    <t>## OKRs:</t>
  </si>
  <si>
    <t>This will be a section with the below static text:
To access the Program Objectives and Key Results board for this Strategic Program, open your Strategy List View, select the actions menu for the Strategic Program and select "Objectives and Key Results".</t>
  </si>
  <si>
    <t xml:space="preserve">% of Revenue (166824) 
$ of Renewed Technology Contracts (165025) 
ADV (165026) 
Accident Rate Change (170252) 
Aircraft Maintenance per Flight Hour (FH) (165027) 
Attrition Rate (165028) 
Bad Debt % (165029) 
Box Stack Efficiency % (165030) 
Bulk Out Failure (165031) 
Burn Rate (165032) 
Cage Rate % (165033) 
Churn % (165034) 
Clearance-Related Service Failures (165035) 
CLH pivot Optimization % (165036) 
Code 85 % (165037) 
Consolidated LH $ per Mile (165038) 
Contact Problem Rate (165039) 
C. Ops Wage Rate (165040) 
Cost per Available Cu. Ft. Mile (165041) 
Cost per Hire (165042) 
Cost per Mile (165043) 
Cost per Stop (170253) 
CSP Contingency (165044) 
Cube Load Factor % (165045) 
Dead on Arrival % (165046) 
Density Score % (165047) 
EDD Accuracy % (165048) 
Expense as % of Revenue (165049) 
Freight Stack Efficiency % (165050) 
FRO Routing Compliance % (165051) 
Headcount Change (170254) 
Injury Rate Change (170255) 
Invoice Accuracy % (165052) 
LH Connection Cost (165053) 
LH Total Miles per Pkg (165054) 
Load Factor - Air (165055) 
Load Factor - Road (165056) 
Long-term Injury Frequency Rate (165057) 
MIS Flow % (165058) 
Missing Paperwork % (165059) 
N/A (170256) 
Net Pickup Reliability % (165060) 
Net Promoter Score (165061) 
Net Service Level % (165062) 
# of Actively Maintained Apps (165063) 
# of buildings closed (165064) 
# of buildings opened (165065) 
# of buildings transformed (165066) 
# of Damage Claims (165067) 
% of Data Products Internally Built (165068) 
# of Missing Packages (165069) 
# of Retired EAIs (165070) 
% of SAM (165071) 
On-time Clearance % (165072) 
On-time Flight Departure % (165073) 
Package Placement Score % (165074) 
Packages per FTE (165075) 
Packages per Stop (165076) 
PH Wage Rate (165077) 
Point-to-Catchment % (165078) 
RDL (165079) 
Recurring Problem Rate (165080) 
Resolved Problem Rate (165081) 
Revenue - Primarily B2B (165082) 
Revenue - Primarily B2C (165083) 
Scan Compliance % (165084) 
Scan Compliance/ HIP or HOP (165085) 
Self Service Solution % (165086) 
Settlement $ per Stop (165087) 
Shipment Overages (165089) 
Sort pkg per TLH (165090) 
Sort Pkgs per TLH (165092) 
Station Sort End Times (165093) 
Stops per Resource (165094) 
Transaction per FTE (TFTE) (165095) 
Volume per TLH (165096) 
WIP (165097) 
Wrong Address % (165098) 
Yield (165099) </t>
  </si>
  <si>
    <t>Same as Enterprise KPI list we have today, but remove N/A option. Needs to select at least 1.</t>
  </si>
  <si>
    <t>Pulls from the existing Strategic Programs</t>
  </si>
  <si>
    <t>Similar to dependencies we have today. May need ESPM to do this step due to the need to have RW access to dependent programs to be able to add the dependency</t>
  </si>
  <si>
    <t>Enter Dependencies</t>
  </si>
  <si>
    <t>US Domestic Parcel
International Parcel
International &amp; US Domestic Freight
Digital Products
Transportation Distribution Products
Warehousing &amp; Distribution and Other Value-Added Services (VAS)
Retail/Returns
Customer Experience
Pricing &amp; New Surcharges</t>
  </si>
  <si>
    <t>[CD] - This is resolved and values are in column M</t>
  </si>
  <si>
    <t>Approved
Not Approved - Feedback Requested</t>
  </si>
  <si>
    <t>ESPM Review</t>
  </si>
  <si>
    <t>Approved
Not Approved - Feedback Requested
Rejected</t>
  </si>
  <si>
    <t>Reject notification goes to both Program manager and Program Owner</t>
  </si>
  <si>
    <t>New
Active
On Hold
Cancelled
Complete
Rejected</t>
  </si>
  <si>
    <t>Attribute Name is Lifeycle Status
CI - Should we add 'New' for L1? 
[CD] - I don't think there is a need to add "new". Active should be fine
Yes-added 09Apr</t>
  </si>
  <si>
    <t>DRIVE Strategic Program
D&amp;T Program</t>
  </si>
  <si>
    <t>This is to disguish between DRIVE Strategic Program and D&amp;T Program</t>
  </si>
  <si>
    <t>Program Approvals</t>
  </si>
  <si>
    <t>D&amp;T Strategic Program requirement. New attribute</t>
  </si>
  <si>
    <t>L2 Program Roadmap</t>
  </si>
  <si>
    <t>Add Program Milestones</t>
  </si>
  <si>
    <t>Schedule</t>
  </si>
  <si>
    <t>Milestone Type:
Change Management
Initiation &amp; Governance
Human Resources
Implementation
Legal / Regulatory
Money Step
Other
Technology</t>
  </si>
  <si>
    <t>Name from the Plan task row</t>
  </si>
  <si>
    <t>Milestone Category:
Not started
Started
Completed</t>
  </si>
  <si>
    <t>Date/Time</t>
  </si>
  <si>
    <t>(Work Actual Finish) uncertain of accuracy</t>
  </si>
  <si>
    <t>(Work Actual/Schedule Finish) uncertain of accuracy</t>
  </si>
  <si>
    <t>L2: Build Architecture (Strategic Design)</t>
  </si>
  <si>
    <t>Add New Work (Value Bundles)</t>
  </si>
  <si>
    <t>Always select "DRIVE" for Strategic Programs Value Bundles</t>
  </si>
  <si>
    <t xml:space="preserve">Program Value Bundle
Discretionary
Non-Discretionary
Tech-Enabled Request
Business Demand
</t>
  </si>
  <si>
    <t>[CD] We only want Program Value Bundle to show in this field if able</t>
  </si>
  <si>
    <t>Yes - Workforce
Yes - Non-Workforce
Yes - Privileged &amp; Confidential
No</t>
  </si>
  <si>
    <t>label chg</t>
  </si>
  <si>
    <t>Dynamic</t>
  </si>
  <si>
    <t>[CD] - Asked Matt Buxton for assistance with definition</t>
  </si>
  <si>
    <t>Applies to Business with Tech Only</t>
  </si>
  <si>
    <t>Assign Program &amp; Sub Program</t>
  </si>
  <si>
    <t>This is the associated Program selected by the Program Manager when creating the value bundle</t>
  </si>
  <si>
    <t xml:space="preserve">values only available for GAF as of 09Mar2026
    Level2: GAF (178406) 
       Level3: GTM/Commercial Strategy (178407) 
       Level3: E2E Customer Experience (178408) 
       Level3: RFQ &amp; Rapid Solutioning (178409) 
       Level3: P&amp;E/Capacity Planning (178410) 
       Level3: Single P&amp;L/Operations Org (178411) 
       Level3: Finance Structure &amp; Costing (178412) 
       Level3: Technology (178414) </t>
  </si>
  <si>
    <t>Per Christina, this will be unique based on the program and we may not know until the strategic design is done. The program manager will add this when they create the value bundle.
Need to understand how often this will be, since an admin will have to add them.</t>
  </si>
  <si>
    <t>Demand Shaping</t>
  </si>
  <si>
    <t>Architecture Program Manager / Value Bundle Manager for Business Only</t>
  </si>
  <si>
    <t>N/A</t>
  </si>
  <si>
    <t xml:space="preserve">New (WBS20$REQT)
Active (WBS20$OPEN)
On Hold (WBS20$HOLD)
Completed/Closed (WBS20$CLOS)
Cancelled (WBS20$CNCL)
Rejected (WBS20$DEND) </t>
  </si>
  <si>
    <t>Auto-filled</t>
  </si>
  <si>
    <t xml:space="preserve">A: L0 (WBS28DEFIN) 
B: SL1 (WBS28JUSTF) 
C: L1 (WBS28SCOPE) 
D: SL2 (9) 
E: L2 (WBS28EXECD) 
F: SL3 (10) 
G: L3 (WBS28DPLOY) 
H: SL4 (11) 
I: L4 (12) 
J: SL5 (4604) 
K: L5 (WBS28ANLBN) </t>
  </si>
  <si>
    <t>Emilee, Pat/Macklin</t>
  </si>
  <si>
    <t>1: Minimal
2: Low
3: Medium
4: High
5: Maximum</t>
  </si>
  <si>
    <t>Never</t>
  </si>
  <si>
    <t xml:space="preserve">USA (96158) 
Europe (96159) 
Asia/Middle East/India/Africa (AMEA) (96160) 
Canada (96161) 
Latin America (96162) 
International HQ (96163) </t>
  </si>
  <si>
    <t>Information from Architecture Alignment</t>
  </si>
  <si>
    <t xml:space="preserve">1: XS (3894) 
2: S (3895) 
3: M (3896) 
4: L (3897) 
5: XL (3898) </t>
  </si>
  <si>
    <t>Units</t>
  </si>
  <si>
    <t>Comes from the Plan</t>
  </si>
  <si>
    <t>L2: Refine Business Case</t>
  </si>
  <si>
    <t>Refine Business Case</t>
  </si>
  <si>
    <t xml:space="preserve">FY22 (3360) 
FY23 (3361) 
FY24 (3362) 
FY25 (3363) 
FY26 (3364) </t>
  </si>
  <si>
    <t>No need to change to CY just yet per Matt</t>
  </si>
  <si>
    <t>Label Chg</t>
  </si>
  <si>
    <t>Have static text above this saying "**Net Recurring Benefits = CY '29 Exit Rate, Annualized**
Note: This is a separate manually entered financial field. Create another version of the same field that calculates the Exit Rate from amounts entered in the Exit Rate financial line in the financials screen.</t>
  </si>
  <si>
    <t xml:space="preserve">This is a separate manually entered financial field. Put static text to say: "Enter in year total value for CY '27"
Note: Create another version of the same field that calculates the subtotal from amounts entered in CY'27 in the Financials screen.
</t>
  </si>
  <si>
    <t xml:space="preserve">This is a separate manually entered financial field. Put static text to say: "Enter in year total value for CY '28"
Note: Create another version of the same field that calculates the subtotal from amounts entered in CY'28  in the Financials screen.
</t>
  </si>
  <si>
    <t xml:space="preserve">This is a separate manually entered financial field. Put static text to say: "Enter in year total value for CY '29"
Note: Create another version of the same field that calculates the subtotal from amounts entered in CY'29  in the Financials screen.
</t>
  </si>
  <si>
    <t xml:space="preserve">This is a separate manually entered financial field. Put static text to say: "Enter in year total value for Transition year '26"
Note: Create another version of the same field that calculates the subtotal from amounts entered for June 2026 to Dec 2026  in the Financials screen.
</t>
  </si>
  <si>
    <t>This is a separate manually entered financial field. Create another version of the same field that calculates the subtotal from amounts entered  in the Financials screen in the One-time Benefits account.</t>
  </si>
  <si>
    <t>% of Revenue
$ of Renewed Technology Contracts
ADV
Accident Rate Change
Aircraft Maintenance per Flight Hour (FH)
Attrition Rate
Bad Debt %
Box Stack Efficiency %
Bulk Out Failure
Burn Rate
Cage Rate %
Churn %
Clearance-Related Service Failures
CLH pivot Optimization %
Code 85 %
Consolidated LH $ per Mile
Contact Problem Rate
C. Ops Wage Rate
Cost per Available Cu. Ft. Mile
Cost per Hire
Cost per Mile
Cost per Stop
CSP Contingency
Cube Load Factor %
Dead on Arrival %
Density Score %
EDD Accuracy %
Expense as % of Revenue
Freight Stack Efficiency %
FRO Routing Compliance %
Headcount Change
Injury Rate Change
Invoice Accuracy %
LH Connection Cost
LH Total Miles per Pkg
Load Factor Air
Load Factor Road
Long-term Injury Frequency Rate
MIS Flow %
Missing Paperwork %
N/A
Net Pickup Reliability %
Net Promoter Score
Net Service Level %
# of Actively Maintained Apps
# of buildings closed
# of buildings opened
# of buildings transformed
# of Damage Claims
% of Data Products Internally Built
# of Missing Packages
# of Retired EAIs
% of SAM
On-time Clearance %
On-time Flight Departure %
Package Placement Score %
Packages per FTE
Packages per Stop
PH Wage Rate
Point-to-Catchment %
RDL
Recurring Problem Rate
Resolved Problem Rate
Revenue Primarily B2B
Revenue Primarily B2C
Scan Compliance %
Scan Compliance/ HIP or HOP
Self Service Solution %
Settlement $ per Stop
Shipment Overages
Sort pkg per TLH
Sort Pkgs per TLH
Station Sort End Times
Stops per Resource
Transaction per FTE (TFTE)
Volume per TLH
WIP
Wrong Address %
Yield</t>
  </si>
  <si>
    <t>Secondary value type</t>
  </si>
  <si>
    <t>High (110389)
Medium (110390)
Low (110391)</t>
  </si>
  <si>
    <t>These questions align to the CCH questions.  CCH will be handled via ESC &amp; EPG meetings. I don’t think they are needed for the Value Bundles (GES)
3/19: Matt confirmed these fields are needed for prioritization.</t>
  </si>
  <si>
    <t>Value Bundle Refinement</t>
  </si>
  <si>
    <t>L2: Build Program Roadmap</t>
  </si>
  <si>
    <t xml:space="preserve">This is tracked at the Program level. Should be part of the checkpoint for VB to move from L2 to L3. </t>
  </si>
  <si>
    <t>VB Risks &amp; Add Milestones</t>
  </si>
  <si>
    <t>Logbook</t>
  </si>
  <si>
    <t>Tracy/Cindy?</t>
  </si>
  <si>
    <t>5 - Almost certain
   4 - Highly likely
   3 - 50/50 likelihood
   2 - Less Likely
   1- Very Unlikely  - CLW these values do not make sense to me what should be selected for Risk Type.  It should be the time of risk it is.  I would think Risk Type would match what we have in Tech Enabled - Operational, Financial, Brand, etc.  Also do we even need Risk type for Strategic Program?</t>
  </si>
  <si>
    <t>Severity: 5 - Critical (Showstopper)
    Severity: 4 - High
    Severity: 3 - Moderate
    Severity: 2 - Low
    Severity: 1 - Very Low</t>
  </si>
  <si>
    <t xml:space="preserve">5 - Critical (Showstopper) (CRI8MINOR) 
4 - High (CRI8MED) 
3 - Moderate (CRI8MAJOR) 
2 - Low (CRI8CATS) 
1 - Very Low (5065) </t>
  </si>
  <si>
    <t>Review Change Management</t>
  </si>
  <si>
    <t>10,001+
1,001 - 10,000
101 - 1,000
26 - 100
11 - 25
0 - 10</t>
  </si>
  <si>
    <t>Put static text above this field:
What is the estimated number of stakeholders affected by this change?</t>
  </si>
  <si>
    <t>US
CA
EU
APAC/AMEA
LAC</t>
  </si>
  <si>
    <t>Customer Service
External Vendor(s)
Finance / Accounting
Human Resources
Information Technology
InfoSec
Legal
Operations
Procurement / Supply Chain
Sales</t>
  </si>
  <si>
    <t>Significant: fundamental shift in ways of working
Moderate change: some shift to ways of working
Basic change: no shift to ways of working</t>
  </si>
  <si>
    <t>Put static text above this field:
Assess the magnitude and complexity of this change for impacted stakeholders</t>
  </si>
  <si>
    <t>Open to change, but some barriers to overcome
Willing and able to change
Unwilling and/or unable - requires effort</t>
  </si>
  <si>
    <t>Put static text above this field:
How ready and open are impacted groups to adopt this change?</t>
  </si>
  <si>
    <t>Plan</t>
  </si>
  <si>
    <t>Tara/Heath</t>
  </si>
  <si>
    <t>Auto filled</t>
  </si>
  <si>
    <t>see comments on values</t>
  </si>
  <si>
    <t>On Track (4) 
Some Issues (3) 
Attention Needed (2)</t>
  </si>
  <si>
    <t>Additional comments regarding the Epic</t>
  </si>
  <si>
    <t xml:space="preserve">Money Step (4262) 
Implementation (22) 
Technology (4264) 
Change Management (19) 
Legal / Regulatory (4261) 
Other (4263) 
Implementation (178628) 
Human Resources (178629) 
Initiation &amp; Governance (178648) </t>
  </si>
  <si>
    <t>remove duplicate Implementation option; we may also want to rename Money Step - is that possible to change in the future based on user input?</t>
  </si>
  <si>
    <t>Would like impacted portfolios to be unique attributes so that we can filter on them in the roadmap view
Applies to Business with Tech Only
Need to be editable by impacte PEO user as decomp/ececution continues per Emilee</t>
  </si>
  <si>
    <t>Effort</t>
  </si>
  <si>
    <t>PVCALC</t>
  </si>
  <si>
    <t xml:space="preserve">Show on Project (Wbs19$PRJ) 
Show on Strategy &amp; Project (Wbs19$STR) 
Show on Project &amp; Outcome (Wbs19PjO) 
Show on Project, Strategy &amp; Outcome (Wbs19PjStO) </t>
  </si>
  <si>
    <t>Approved
Not Approved - Feedback Requested - Financial Adjustments
Not Approved - Feedback Requested - Non-Financial Adjustments</t>
  </si>
  <si>
    <t>SL3 Finance Approval</t>
  </si>
  <si>
    <t>Approved
Not Approved - Feedback Requested - Financial Adjustments
Not Approved - Feedback Requested - Non-Financial Adjustments
Rejected</t>
  </si>
  <si>
    <t>Reject notification goes to both Program manager and Value Bundle Manager</t>
  </si>
  <si>
    <t>TO</t>
  </si>
  <si>
    <t xml:space="preserve"> All: All Execution Types (ExecTypeRt) 
    Type:  Execution Package (191423) 
    Type:  Program Value Bundle (14) 
    Type:  Value Bundle Epic (ExecTp$WRK) 
    Type:  Milestone (191279) 
    Type:  Architecture Task (ExecTp$EPC) 
    Type:  Business Task (4256) 
    Type:  Demand Bundle (94588) 
    Type:  Demand Bundle Epic (ExecTp$FTR) 
    Type:  D&amp;T Value Bundle (94589) 
    Type:  D&amp;T Value Bundle Epic (191335) 
    Type:  Business Demand (191254) </t>
  </si>
  <si>
    <t>Governing Structure</t>
  </si>
  <si>
    <t>L3: Value Bundle Assessment &amp; Decomp</t>
  </si>
  <si>
    <t>Value Bundle Decomp</t>
  </si>
  <si>
    <t>Value Bundle Plan</t>
  </si>
  <si>
    <t xml:space="preserve">Commercial (4245) 
Enterprise Services (4247) 
Platforms (4248) 
Supply Chain Operations (4249) </t>
  </si>
  <si>
    <t>Emilee, Daniel</t>
  </si>
  <si>
    <t>Date/time</t>
  </si>
  <si>
    <t>Program Value Bundle (177953) 
Discretionary
Non-Discretionary</t>
  </si>
  <si>
    <t>Inherit from the VB</t>
  </si>
  <si>
    <t>Note for Planview team: consider separate status for Epics to tie to Agility integration so that users don't mix it up with Milestones Status or Demand Bundle Status</t>
  </si>
  <si>
    <t>A short summary (3-5 sentences) outlining the purpose and scope of the demand.</t>
  </si>
  <si>
    <t>PE01 is shared across all Work and Levels not sure we want to use Epic in the name.</t>
  </si>
  <si>
    <t>HUB integration</t>
  </si>
  <si>
    <t>Unique ID for Execution Tool</t>
  </si>
  <si>
    <t>Percentage</t>
  </si>
  <si>
    <t>The percent of Capabilities (size) associated to this Epic that are complete in Agility. The calculation is Agility Child Complete Card Size divided by Agility Child Card Total Size.</t>
  </si>
  <si>
    <t>Inherit from VB
These fields are PV controlled and not available below PPL in work views. A button can be given to link out to the Associated Program tab instead.</t>
  </si>
  <si>
    <t>This attribute corresponds to the stage value of the Initiative this Epic rolls up to. It is populated by a stored procedure on a predefined frequency.</t>
  </si>
  <si>
    <t>Inherit from VB</t>
  </si>
  <si>
    <t>COM - GDX - Commercial Platform
COM - GDX - Create Shipment
COM - CSX - Customer Experience
COM - Independent ARTs
COM - GDX - Manage Shipment
COM - Retail Solutions
COM - RMIC - Revenue
COM - Sales &amp; Commercial Data Enablement
DAI - P1 - Commercial
COM - RMIC - RAA (Revenue Ancillary ARTs)
DAI - P1 - BackOffice
DAI - P1 - Clearance
DAI - P1 - LinehaulAir
DAI - P1 - LinehaulSurface
DAI - P1 - ServiceExcellence
DAI - P1 - Pickup &amp; Delivery
DAI - P1 - Sort
DAI - P1 - Other
DAI - P2&amp;3 - GenAI
DAI - P2&amp;3 - Cust Engagement
DAI - Digital Sirius
DAI - Digital - ShopRunner
DAI - Digital - Other
DAI - Independent ARTs
DAI - Cloud Infra
DAI - Platform
ES - Back Office
PF - Enterprise Foundation Services
PF - Information Security
PF - Infrastructure
PF - IT Operations &amp; Management
PF - Network
SCO - Airline
SCO - Global Clearance
SCO - Independent ARTs
SCO - Linehaul
SCO - Pick-up &amp; Delivery
SCO - Shipment Operations
SCO - Sort
SCO - Transportation Network
SCO - Warehouse</t>
  </si>
  <si>
    <t>List of solutions associated to the given ppl work entity(project) separated with the semi-colons.</t>
  </si>
  <si>
    <t>Text/255</t>
  </si>
  <si>
    <t>Areas that are explicitly included from the Epic scope.</t>
  </si>
  <si>
    <t>Areas that are explicitly excluded from the Epic scope.</t>
  </si>
  <si>
    <t>Provide the approved PPM Project Number. For more information please visit keyword: PPM</t>
  </si>
  <si>
    <t>This will be sunset May 31, 2026</t>
  </si>
  <si>
    <t>Enter EAI number here. Separate multiple EAIs by comma. The EAI (Enterprise Application Inventory) is the enterprise-wide authoritative repository that contains an inventory of application records along with their data elements that describe the characteristics of those applications. Once an application is created and stored in EAI, other systems like InfoSec, Business Continuity &amp; Disaster Recovery, Legal and Regulatory, PDSM and Finance then use the application data to ascertain compliancy and impact analysis, hardware mapping, and total cost of ownership for that application.</t>
  </si>
  <si>
    <t>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t>
  </si>
  <si>
    <t>Link to any architectural documentation.</t>
  </si>
  <si>
    <t>Inherit from the VB? Is this needed at epic level?
Per Emilee: Yes, we should show the link to arch documentation in the epic if possible.</t>
  </si>
  <si>
    <t>Name of the IT Architect assigned to decomposition</t>
  </si>
  <si>
    <t>Should it be at the VB level or epic level?
Per Emilee: yes we will need IT architect field at both the VB and Epic levels. It should be open text to enable the ability to have multiple assignments per architecture area.</t>
  </si>
  <si>
    <t>Name of the Business Architect assigned to alignment and/or decomposition</t>
  </si>
  <si>
    <t>Anticipated results or benefits from the demand completion.</t>
  </si>
  <si>
    <t xml:space="preserve">On Track (4) 
Some Issues (3) 
Attention Needed (2) </t>
  </si>
  <si>
    <t>Field used to provide a rationale for the work's status or any relevant comments. You can review the history of what was entered in this field by going to the Work Detail tile and clicking the View History button.</t>
  </si>
  <si>
    <t>Interface with the capital CLEAR system to get a list of valid values.</t>
  </si>
  <si>
    <t>This will be a field to enter the Clear unique identifer that the work is associated with.</t>
  </si>
  <si>
    <t>Added at Value Bundle level and carried over to the epic.</t>
  </si>
  <si>
    <t>L3: Epic Governance</t>
  </si>
  <si>
    <t>EPM Quality Check 1</t>
  </si>
  <si>
    <t>Passed Quality Check
Not Ready - Feedback Requested</t>
  </si>
  <si>
    <t>EPG Approval</t>
  </si>
  <si>
    <t xml:space="preserve"> If EPM Review 1 = "Passed Quality Check", send some type of notification to the ESPM user with the below text: 
"Review the Epic Plan, Epic Milestones and Attributes, and Epic Risks by clicking on the link below &lt;link to the Value Bundle Plan&gt; to make the decision to approve the epic to move forward to execution.
If Approved is selected for "EPG Approval", the epic integrates with Agility."
"Not Approved" decision path next steps still being designed. A notification needs to be sent to the VB Manager with comments added in EPG Notes.
[DK] this should be EPG user, not ESPM user</t>
  </si>
  <si>
    <t>L3: Solution Analysis</t>
  </si>
  <si>
    <t>L3 Epic Solutioning</t>
  </si>
  <si>
    <t>If EPG Approval = Approved, send some type of notification to the VB Manager with the below text to remind them to collaborate with the STE for resource allocations.
"Review the Epic Plan, Epic Attributes, and Epic Risks clicking on the link below &lt;link to the Value Bundle Plan&gt; and update as needed. Confirm with STEs of impacted Solutions that all team allocations are complete.
## NEXT STEP: After you mark "Resources Allocated" as "Yes", the D&amp;T Finance team will be notified for costing and the EPM Team will perform a quality check."</t>
  </si>
  <si>
    <t>EPM Quality Check 2</t>
  </si>
  <si>
    <t>If Resources Allocated = Yes, then send notification for EPM Qiuality Check 2. Build notification for both Passed/Not Ready</t>
  </si>
  <si>
    <t>L3: Execute and Release</t>
  </si>
  <si>
    <t xml:space="preserve">Yes - Intent Met (96187) 
No - Closes Anyways (96188) </t>
  </si>
  <si>
    <t>This will be a Value Bundle level lifecycle screen with a button to update the Plan.
"The epics are going through Solution Architecture and Feature Deifniton and Refinement in Agility. Check the “Agility % Complete” metric on the Plan to track your Epic’s progress.
•    When it reaches *100%*, all related capabilities/features are complete.
•    Then, mark "Ready to Close: Epic Intent has been met" as "Yes - Intent Met" to confirm the Epic is in production."
Note: Selecting this will also *release all allocated resources*."
[DK] if this is at the value bundle level, why does it say "Epic intent has been met?"  shouldn't it be the "Value bundle intent has been met?"</t>
  </si>
  <si>
    <t>L3: ESPM Quality Check</t>
  </si>
  <si>
    <t>L3 ESPM Quality Check</t>
  </si>
  <si>
    <t>L4: Close Value Bundle</t>
  </si>
  <si>
    <t>L4 Close Value Bundle Program Owner Approval</t>
  </si>
  <si>
    <t xml:space="preserve">Program Owner </t>
  </si>
  <si>
    <t>[CD] The value bundle manager will submit to L4 once the money step is completed which is when all tasks related to that value bundle are completed.
For BwT Value Bundles, ensure all associated epics are closed.</t>
  </si>
  <si>
    <t>L4 Close Value Bundle Business Finance Approval</t>
  </si>
  <si>
    <t>L4: Close Program</t>
  </si>
  <si>
    <t xml:space="preserve">SL4 Close Program - Program Owner Approval </t>
  </si>
  <si>
    <t>Once all VBs are closed, Program Manager will submit the Program for closure.</t>
  </si>
  <si>
    <t>SL4 Close Program - Business Finance Approval</t>
  </si>
  <si>
    <t>SL4 Close Program - TO Approval</t>
  </si>
  <si>
    <t>L1: Define the Problem/Opportunity Statement</t>
  </si>
  <si>
    <t>Initial Request Information</t>
  </si>
  <si>
    <t>Requestor</t>
  </si>
  <si>
    <t>Auto generated</t>
  </si>
  <si>
    <t>Lori, Gary</t>
  </si>
  <si>
    <t>If you are a requestor looking to submit a new request for a non-Program Tech Enabled demand (Discretionary/Non-Discretionary), select "Tech-Enabled Request" 
If you are an ESPM Program Manager user and creating a Value Bundle that is part of the DRIVE Strategic Program, then select "DRIVE". 
If you are an EPG/PEO user creating a Demand Bundle for an approved request for a non-Program Tech Enabled demand (Discretionary/Non-Discretionary), select "D&amp;T Cross-Portfolio Demand"</t>
  </si>
  <si>
    <t>Create Demand Bundle</t>
  </si>
  <si>
    <t>Auto</t>
  </si>
  <si>
    <t>Program Value Bundle
Discretionary
Non-Discretionary
Tech-Enabled Request
Business Demand</t>
  </si>
  <si>
    <t>Carried from the request</t>
  </si>
  <si>
    <t>Lori, Daniel, Gary</t>
  </si>
  <si>
    <t>If Yes, direct user to a contact list w/in the DRIVE Program Management.
If No, proceed to next question
To confirm with Christina: Is there a SharePoint link that will maintain this information that can be linked on the screen?
LB: Rev Growth Ben Glenn, NW 2.0 Barry Somerville, Tricolor Ben Glenn, EU BJ McKee, GCS BJ McKee, Clearance Heather Sprague, Robotics/Physical AI Barry Somerville
3/18: Can we make these 4 questions pop up first before they even start with the request?</t>
  </si>
  <si>
    <t>Define the Problem/Opportunity Statement</t>
  </si>
  <si>
    <t>Req. Default to No</t>
  </si>
  <si>
    <t>Need Gary/Lori to confirm dropdown options</t>
  </si>
  <si>
    <t>If yes, direct to the Project Management process (if No proceed which then gets into the Tech Demand</t>
  </si>
  <si>
    <t>If yes, direct to Transformation Strategy program manager  LB: Do we know who this is? Would this be Ann's org (e.g. Siddharth for AI)</t>
  </si>
  <si>
    <t xml:space="preserve">Required field, validate names from workday </t>
  </si>
  <si>
    <t>Demand Manager will be a lifecycle role with list dynamically generated</t>
  </si>
  <si>
    <t>This will be the list of all VPs in the organization</t>
  </si>
  <si>
    <t>Application/Infrastructure Upgrade Assessment</t>
  </si>
  <si>
    <t>Yes/No</t>
  </si>
  <si>
    <t>Legal
Regulatory
InfoSec (Protect Purple)
None</t>
  </si>
  <si>
    <t>Req. if Risk selected</t>
  </si>
  <si>
    <t xml:space="preserve">If anything other than None is selected, then present the Business Continuity Assessment questions. The request may or may not "qualify" for business continuity, but even if it doesn't, if they chose Legal, Regulatory, or Infosec, it should still route as non-discretionary. </t>
  </si>
  <si>
    <t>Business Continuity Assessment</t>
  </si>
  <si>
    <t>Operational, Financial, Brand, Safety</t>
  </si>
  <si>
    <t>Minimal, Low, Medium, High, Maximum</t>
  </si>
  <si>
    <t>Can we simplify this?
Or use numbers?
How is this used?
Low, Medium, High?</t>
  </si>
  <si>
    <t xml:space="preserve">List of valid attornies from Workday. We will have SMEs who are not attorneys. </t>
  </si>
  <si>
    <t xml:space="preserve">Yes (110515) 
No (110518) </t>
  </si>
  <si>
    <t xml:space="preserve">&gt; 15 months (110525) 
12 - 15 months (110526) 
6 - 12 months (110527) 
3 - 6 months (110529) 
&lt; 3 months (110530) 
N/A (110531) </t>
  </si>
  <si>
    <t>New field being added in Prod by 3/19</t>
  </si>
  <si>
    <t>Back-end step that can be made visible in the next screen for Discretionary/Non-Discretionary Demand questions</t>
  </si>
  <si>
    <t>Auto-filled in L0 intake form step; should be editable in Triage step (for Triage user)</t>
  </si>
  <si>
    <t>Discretionary
Non Discretionary</t>
  </si>
  <si>
    <t xml:space="preserve">THIS WILL BE ENTERED AFTER TRIAGE
OR
System applied logic based on criteria (preferred)
To be auto set by the system based on the rule: If not a Business Continuity demand or not a lifecycle management demand then set it as Discretionary. Else, set it as Non-Discretionary
Read Only for Requestor (make it editable in the Triage screen later)
For a request to be deemed Business Continuity, it must have High risk exposure, No manual solution, and needs to be done within 12 months. These inputs will be confirmed in Triage. 
</t>
  </si>
  <si>
    <t>Yes, but dropdown selections are different now</t>
  </si>
  <si>
    <t>Yes, need to update values</t>
  </si>
  <si>
    <t>Need to be very specific about how to write an ability to statement. Please see the hover text.</t>
  </si>
  <si>
    <t>Triage will fill this in with input from EA LB: The requester will populate this initially and Triage will validate.
T-Shirt Size is L or XL, then Demand Subtype = Discretionary - Transformational
T-Shirt Size is XS, S, or M, then Demand Subtype = Discretionary - Other</t>
  </si>
  <si>
    <t xml:space="preserve">High (110389) 
Medium (110390) 
Low (110391) </t>
  </si>
  <si>
    <t>Required only if Primary Type of Value = Service or Customer Experience and Demand Type = Discretionary</t>
  </si>
  <si>
    <t>Supply Chain Operations 
Commercial
Enterprise Services
Platforms</t>
  </si>
  <si>
    <t>Triage will fill this in with input from EA  LB: The requester will populate this initially and Triage will validate.</t>
  </si>
  <si>
    <t>Triage will fill this in with input from EA</t>
  </si>
  <si>
    <t>Yes with label chg</t>
  </si>
  <si>
    <t>Americas International
APAC
Airline
Commercial
Data and Tech
Dock
Europe
Freight (this one will likely not be included)
Global Air Hubs &amp; Ramps
Global Capabilities Strategy
Global Clearance
Linehaul
MEISA
Network 2.0
P&amp;D
Robotics/Physical AI
Safety
Service
SG&amp;A
Surface Fleet and Support Equipment
Surface Operations
Tricolor
Revenue Growth
None</t>
  </si>
  <si>
    <t>Yes (3178) 
Will there be an option here to Save Draft (and submit later)?</t>
  </si>
  <si>
    <t>There needs to be an option here to Save Draft (and submit later)?</t>
  </si>
  <si>
    <t>Triage Validation Classification</t>
  </si>
  <si>
    <t>Triage Validation</t>
  </si>
  <si>
    <t>Triage</t>
  </si>
  <si>
    <t>Auto populated based on inputs; validated by Triage – field needs to be editable)</t>
  </si>
  <si>
    <t>Auto populated based on inputs; validated by Triage – field needs to be editable)
Show only if Demand Type = Discretionary</t>
  </si>
  <si>
    <t xml:space="preserve">Certified 
Value Statement
None </t>
  </si>
  <si>
    <t>Auto populated based on inputs</t>
  </si>
  <si>
    <t xml:space="preserve">Enterprise Architecture Led
Enterprise Technology Architecture Led (future use)
Portfolio Led </t>
  </si>
  <si>
    <t>L1: CCH Requirement Assessment</t>
  </si>
  <si>
    <t>Enter Value Prop / Customer Service Risk</t>
  </si>
  <si>
    <t xml:space="preserve">Yes (4234) 
No (4235) </t>
  </si>
  <si>
    <t xml:space="preserve">Optional </t>
  </si>
  <si>
    <t>Have the same static text and link to the guide in the screen as we have today above this question.
The NEW PROCESS: During Triage, the CCH review need will be identified.</t>
  </si>
  <si>
    <t>Tracy</t>
  </si>
  <si>
    <t>Enterprise Portfolio Governance
Portfolio Execution Leadership</t>
  </si>
  <si>
    <t>Ready (3009) 
Not Ready - Feedback Requested (3010) 
Reject</t>
  </si>
  <si>
    <t>Not Ready - Feedback Requested should take Request back to the first lifecycle step for the Requestor (Initial Request Information)
Reject will send notification to the Requestor and update status as Rejected</t>
  </si>
  <si>
    <t>EPG or PEO user will be selected based on the number of impacted portfolios. If multi portfolio impact then slelect EPG user, else select PEO user of the Home Portfolio</t>
  </si>
  <si>
    <t>EPG/PEO based on the approver selected by Triage
Triage</t>
  </si>
  <si>
    <t>Pull from the Demand Manager identified by the requestor at time of entry or make editable here.</t>
  </si>
  <si>
    <t>List of viable people needs to come from Alex/John</t>
  </si>
  <si>
    <t>List of viable people needs to come from Matt B</t>
  </si>
  <si>
    <t>Required only if Business Case Requirements = Certified</t>
  </si>
  <si>
    <t>List of viable people needs to come from Brandon S.</t>
  </si>
  <si>
    <t>SL3 Approval</t>
  </si>
  <si>
    <t>EPG/PEO based on the approver selected by Triage</t>
  </si>
  <si>
    <t xml:space="preserve">Approved (3006) 
Rejected (3007) 
Not Approved - Feedback Requested (3008) </t>
  </si>
  <si>
    <t>Not Approved - Feedback Requested should take Request back to the Triage lifecycle step 
Reject will send notification to the Requestor and update status as Rejected</t>
  </si>
  <si>
    <t>Yes but it's called SL1 today</t>
  </si>
  <si>
    <t>Non-Discretionary - Business Continuity
Non-Discretionary - RTB
Discretionary - Transformational Investment
Discretionary - Other</t>
  </si>
  <si>
    <t>Assess if it can be auto filled:
If Demand Type is Discretionary and Business Case Requirement is Certified, then select Discretionary Transformational Investment.
If Demand Type is Discretionary and Business Case Requirement is not Certified,  then select Discretionary RTB.
If Demand Type is Non Discretionary and Business Continuity field selections were High risk exposure, No manual solution, and Time Criticality is within 12 months, then select Non-Discretionary Business Continuity.
If Demand Type is Non Discretionary and not a Business Continuity demand then select Non-Discretionary Other.
Non Program - Tech Enabled - Programs will follow the Discretionary Transformational Flow (i.e. Digital Transformation) for now (may change)</t>
  </si>
  <si>
    <t>L2: Architecture Alignment</t>
  </si>
  <si>
    <t>Architecture Alignment</t>
  </si>
  <si>
    <t>Applies to Transformational Invesment Only</t>
  </si>
  <si>
    <t>Emilee, Pat/Mack</t>
  </si>
  <si>
    <t>L2: Certified Business Case</t>
  </si>
  <si>
    <t>Certified Business Case</t>
  </si>
  <si>
    <t xml:space="preserve">Applies to Transformational Invesment Only . </t>
  </si>
  <si>
    <t>Matt, Gary</t>
  </si>
  <si>
    <t>Strategy entity attribute</t>
  </si>
  <si>
    <t xml:space="preserve">    Level2: % of Revenue (166824) 
    Level2: $ of Renewed Technology Contracts (165025) 
    Level2: ADV (165026) 
    Level2: Accident Rate Change (170252) 
    Level2: Aircraft Maintenance per Flight Hour (FH) (165027) 
    Level2: Attrition Rate (165028) 
    Level2: Bad Debt % (165029) 
    Level2: Box Stack Efficiency % (165030) 
    Level2: Bulk Out Failure (165031) 
    Level2: Burn Rate (165032) 
    Level2: Cage Rate % (165033) 
    Level2: Churn % (165034) 
    Level2: Clearance-Related Service Failures (165035) 
    Level2: CLH pivot Optimization % (165036) 
    Level2: Code 85 % (165037) 
    Level2: Consolidated LH $ per Mile (165038) 
    Level2: Contact Problem Rate (165039) 
    Level2: C. Ops Wage Rate (165040) 
    Level2: Cost per Available Cu. Ft. Mile (165041) 
    Level2: Cost per Hire (165042) 
    Level2: Cost per Mile (165043) 
    Level2: Cost per Stop (170253) 
    Level2: CSP Contingency (165044) 
    Level2: Cube Load Factor % (165045) 
    Level2: Dead on Arrival % (165046) 
    Level2: Density Score % (165047) 
    Level2: EDD Accuracy % (165048) 
    Level2: Expense as % of Revenue (165049) 
    Level2: Freight Stack Efficiency % (165050) 
    Level2: FRO Routing Compliance % (165051) 
    Level2: Headcount Change (170254) 
    Level2: Injury Rate Change (170255) 
    Level2: Invoice Accuracy % (165052) 
    Level2: LH Connection Cost (165053) 
    Level2: LH Total Miles per Pkg (165054) 
    Level2: Load Factor - Air (165055) 
    Level2: Load Factor - Road (165056) 
    Level2: Long-term Injury Frequency Rate (165057) 
    Level2: MIS Flow % (165058) 
    Level2: Missing Paperwork % (165059) 
    Level2: N/A (170256) 
    Level2: Net Pickup Reliability % (165060) 
    Level2: Net Promoter Score (165061) 
    Level2: Net Service Level % (165062) 
    Level2: # of Actively Maintained Apps (165063) 
    Level2: # of buildings closed (165064) 
    Level2: # of buildings opened (165065) 
    Level2: # of buildings transformed (165066) 
    Level2: # of Damage Claims (165067) 
    Level2: % of Data Products Internally Built (165068) 
    Level2: # of Missing Packages (165069) 
    Level2: # of Retired EAIs (165070) 
    Level2: % of SAM (165071) 
    Level2: On-time Clearance % (165072) 
    Level2: On-time Flight Departure % (165073) 
    Level2: Package Placement Score % (165074) 
    Level2: Packages per FTE (165075) 
    Level2: Packages per Stop (165076) 
    Level2: PH Wage Rate (165077) 
    Level2: Point-to-Catchment % (165078) 
    Level2: RDL (165079) 
    Level2: Recurring Problem Rate (165080) 
    Level2: Resolved Problem Rate (165081) 
    Level2: Revenue - Primarily B2B (165082) 
    Level2: Revenue - Primarily B2C (165083) 
    Level2: Scan Compliance % (165084) 
    Level2: Scan Compliance/ HIP or HOP (165085) 
    Level2: Self Service Solution % (165086) 
    Level2: Settlement $ per Stop (165087) 
    Level2: Shipment Overages (165089) 
    Level2: Sort pkg per TLH (165090) 
    Level2: Sort Pkgs per TLH (165092) 
    Level2: Station Sort End Times (165093) 
    Level2: Stops per Resource (165094) 
    Level2: Transaction per FTE (TFTE) (165095) 
    Level2: Volume per TLH (165096) 
    Level2: WIP (165097) 
    Level2: Wrong Address % (165098) 
    Level2: Yield (165099) </t>
  </si>
  <si>
    <t>Approved
Not Approved - Feedback Requested - Financial Adjustments
Not Approved - Feedback Requested - Non-Financial Adjustments
Reject</t>
  </si>
  <si>
    <t>Applies to Transformational Invesment Only. 
Reject notification goes to Demand Manager?</t>
  </si>
  <si>
    <t>L3: Work Assessment &amp; Decomp and Conceptual Architecture</t>
  </si>
  <si>
    <t>Demand Bundle Decomp and Conceptual Architecture</t>
  </si>
  <si>
    <t>Demand Bundle Plan</t>
  </si>
  <si>
    <t xml:space="preserve">Needed on Epic and To Agility Integration.(GES)  </t>
  </si>
  <si>
    <t>Emilee, Cindy W</t>
  </si>
  <si>
    <t xml:space="preserve">Needed on Epic and To Agility Integration.(GES)   This lifecycle will be at the Demand Bundle level and have a screen with a button to add epic shaping information in the Plan. It will have the below static text for guidance:
"Click on the button below to add Epics and related Epic shaping information, including the Epic Plan (dates), Epic Milestones and Epic Risks. 
</t>
  </si>
  <si>
    <t>Needed on Epic (GES)</t>
  </si>
  <si>
    <t>Not needed for Epic. Demand Bundle will stay in L3 and eventually move to L4. But Epics will never move from L3. They will be basically Active or Closed (GES)
CLW - also we don't have L0 or SL1 nor do we have SL5 or L5  anymore - do we need those in the Values?
Cynthia to update
Need to discuss internally VB/DB stage and Epic Status/Stage</t>
  </si>
  <si>
    <t>Program Demand Bundle (177953) - DO NOT HAVE IN LIST
Discretionary
Non-Discretionary</t>
  </si>
  <si>
    <t>Not needed on Epic. Can pull from Demand Bundle for integration to Agility (GES)</t>
  </si>
  <si>
    <t>Legal 
Regulatory
Protect Purple</t>
  </si>
  <si>
    <t>Not needed on Epic. Can pull from Demand Bundle for integration to Agility. Demand Subtype is in the current integration specification (GES)</t>
  </si>
  <si>
    <t>Needed on Epic and integration to Agility (GES)</t>
  </si>
  <si>
    <t>Needed on Epic and To Agility Integration.(GES)</t>
  </si>
  <si>
    <t xml:space="preserve"> Estimate of the effort required to successfully implement the Epic
Implementation time frame:
- XS: 1 PIs with 1 ART 
- S: 2-3 PI with 1-2 ARTs 
- M: 3-5 PIs with multiple ARTs 
- L: 5-8 PIs with multiple ARTs 
- XL: &gt;8 PIs with multiple ARTs
Reach out to your Enterprise Architecture team if you need help with estimates.</t>
  </si>
  <si>
    <t>Needed for Demand Bundle. Wasn't carried over from L1 (GES)</t>
  </si>
  <si>
    <t>Needed for Epic. Part of existing integration to Agility. (GES)</t>
  </si>
  <si>
    <t>Needed for Epic?. Part of existing integration to Agility. (GES)</t>
  </si>
  <si>
    <t>Needed - Integration from Agility (GES)</t>
  </si>
  <si>
    <t>Test or Int</t>
  </si>
  <si>
    <t>System generated</t>
  </si>
  <si>
    <t>Needed - Integration to Agility (GES)</t>
  </si>
  <si>
    <t>Needed on Epic and To Agility Integration.(GES) Copy from Demand Bundle and allow edit on Epic</t>
  </si>
  <si>
    <t>Text/checkboxes</t>
  </si>
  <si>
    <t xml:space="preserve">Not needed at the Epic Level for Value Bundles or Demand Bundles assuming its maintained on VB/BDs (GES) Is this needed at both VB level and the epic level? There is no VB here.
KEEP
CLW - there is no VB here correct but there is a Demand Bundle and I would think that what ever region it is for the Demand Bundle would carry down to here??  </t>
  </si>
  <si>
    <t>Opt</t>
  </si>
  <si>
    <t>This will not be needed with PPM decommission. Do we need to consider retaining it for data migration?
KEEP But hide from user</t>
  </si>
  <si>
    <t>How does this work for the Epic that is at the task level? Do we need to add to this spreadsheet?</t>
  </si>
  <si>
    <t>Inherit from the DB? Is this needed at epic level?</t>
  </si>
  <si>
    <t xml:space="preserve">Inherit from the DB.  Probably needed on Epic for compliance (GES) </t>
  </si>
  <si>
    <t>Not needed on Epic. Can reference Demand Bundle (GES)</t>
  </si>
  <si>
    <t>Require the status rationale for some issues or attention needed selection.</t>
  </si>
  <si>
    <t>Required if not on track health status.</t>
  </si>
  <si>
    <t>This will be a field to enter the Clear unique identifer that the work is associated with.
This will be a free text field to add a grouping label for the epic for CLEAR authorization</t>
  </si>
  <si>
    <t>Carried over from Demand Bundle to the epic.</t>
  </si>
  <si>
    <t>Needed on Epic. Add to integration to Agility. Needs to track with the Epic in Agility. Allow edits if the Epic results in a different OnSpring ID (GES)</t>
  </si>
  <si>
    <t>L3: Detailed Milestone Refinement</t>
  </si>
  <si>
    <t>Detailed Milestone Refinement</t>
  </si>
  <si>
    <t>This lifecycle will be at the Demand Bundle level and have a screen with a button to add epic shaping information in the Plan. It will have the below static text for guidance:
"Click on the button below to add Epics and related Epic shaping information, including the Epic Plan (dates), Epic Milestones and Epic Risks. 
After adding the required information, mark "Ready for EPM" as "Yes" in the Plan for the individual epic. This will notify the EPM Team to perform a quality check."
[DK] I don't think this will work if the demand bundle has multiple epics.  The EPM checks would need to be done epic by epic as they are completing architecture and are then ready for EPG.</t>
  </si>
  <si>
    <t>Daniel, Emilee, Cindy W</t>
  </si>
  <si>
    <t>L3: Revised Implementation Plan/Sequence Delivery</t>
  </si>
  <si>
    <t>Revised Implementation Plan/Sequence Delivery</t>
  </si>
  <si>
    <t>EPG or PEL based on the selection made for L3 Epic Approver role</t>
  </si>
  <si>
    <t>Approved
Not Approved</t>
  </si>
  <si>
    <t xml:space="preserve"> If Ready for Epic Approval = Yes, send some type of notification to the ESPM user with the below text: 
"Review the Epic Plan, Epic Milestones and Attributes, and Epic Risks by clicking on the link below &lt;link to the Demand Bundle Plan&gt; to make the decision to approve the epic to move forward to execution.
If Approved is selected, the epic integrates with Agility."
"Not Approved" decision path next steps still being designed. A notification needs to be sent to the Demand Manager with comments added in EPG Notes.
CLW - should there be an option for ESPM to request more info on the Epic?
[DK] - this should be EPG user, not ESPM user</t>
  </si>
  <si>
    <t>This will be a Demand Bundle level lifecycle screen with a button to update the Plan.
"The epics are going through Solution Architecture and Feature Deifniton and Refinement in Agility. Check the “Agility % Complete” metric on the Plan to track your Epic’s progress.
•    When it reaches *100%*, all related capabilities/features are complete.
•    Then, mark "Ready to Close: Epic Intent has been met" as "Yes - Intent Met" to confirm the Epic is in production."
Note: Selecting this will also *release all allocated resources*."
[DK] if this is at the demand bundle level, why does it say "Epic intent has been met?"  it should be the "Demand bundle intent has been met"</t>
  </si>
  <si>
    <t>SL4 Close Demand Bundle Business Finance Approval</t>
  </si>
  <si>
    <t>Applies to Transformational Investment only</t>
  </si>
  <si>
    <t>L4: Evaluate Outcome Achievement</t>
  </si>
  <si>
    <t>Evaluate Outcome Achievement</t>
  </si>
  <si>
    <t xml:space="preserve">The lifecycle screen will have the following text: After all associated epics are released and costs updated, mark "Ready to Close: 
Demand Bundle Intent has been met" as "Yes - Intent Met" and submit to next step to close this demand.
</t>
  </si>
  <si>
    <t xml:space="preserve">Note: I don't think Epics ever leave L3.  If we add a status column to the Epic (Ready to Close - Yes/No) .. the Demand Manager could then have a option / button close the Epic and release any remaining allocations. How are any other Tasks in the Work Plan marked as Complete?  (GES) 
How do we mark done for the Epics to inform Value Bundle closure?
The lifecycle screen will have the following text: After all associated epics are released and costs updated, mark "Ready to Close: 
Epic Intent has been met" as "Yes - Intent Met" and submit to next step to close this demand.
</t>
  </si>
  <si>
    <t>Future State Artifact</t>
  </si>
  <si>
    <t>L1 Tab</t>
  </si>
  <si>
    <t>L2 Tab</t>
  </si>
  <si>
    <t>L3 Tab</t>
  </si>
  <si>
    <t>L4 Tab</t>
  </si>
  <si>
    <t>Source File</t>
  </si>
  <si>
    <t>Future Primary Structure</t>
  </si>
  <si>
    <t>Demand Bundle (Non-Discretionary - Run the Business)</t>
  </si>
  <si>
    <t>Tech Enabled</t>
  </si>
  <si>
    <t>Work Entity (PPL)</t>
  </si>
  <si>
    <t>Non-Discretionary - Run the Business</t>
  </si>
  <si>
    <t>Demand Bundle (Discretionary - Other)</t>
  </si>
  <si>
    <t>Discretionary - Other</t>
  </si>
  <si>
    <t>Demand Bundle (Discretionary - Transformational Investment)</t>
  </si>
  <si>
    <t>Business w/ Tech Value Bundle Epic</t>
  </si>
  <si>
    <t>Demand Bundle (Non-Discretionary - Business Continuity)</t>
  </si>
  <si>
    <t>DRIVE Business Only Value Bundle</t>
  </si>
  <si>
    <t>DRIVE Business w/ Tech Value Bundle</t>
  </si>
  <si>
    <t>D&amp;T Business w/ Tech Value Bundle</t>
  </si>
  <si>
    <t>Action</t>
  </si>
  <si>
    <t>Notes</t>
  </si>
  <si>
    <t>Rule ID</t>
  </si>
  <si>
    <t>Conditions (parsed)</t>
  </si>
  <si>
    <t>Target Structure</t>
  </si>
  <si>
    <t>Target Flow</t>
  </si>
  <si>
    <t>Migration Scope</t>
  </si>
  <si>
    <t>Data Source</t>
  </si>
  <si>
    <t>Owner</t>
  </si>
  <si>
    <t>Original Rule Text</t>
  </si>
  <si>
    <t>BR_DT_001</t>
  </si>
  <si>
    <t>DT Programs</t>
  </si>
  <si>
    <t>Current Demand Type = Business w/ Tech
Current Entity = Initiative</t>
  </si>
  <si>
    <t>Map to entity: Program VB
Structure: Work
Flow: Program (Business + Tech)
Scope: FDXSANDBOXA to DEV SB</t>
  </si>
  <si>
    <t>Program VB</t>
  </si>
  <si>
    <t>Work</t>
  </si>
  <si>
    <t>Program (Business + Tech)</t>
  </si>
  <si>
    <t>FDXSANDBOXA to DEV SB</t>
  </si>
  <si>
    <t>FDXSANDBOXA</t>
  </si>
  <si>
    <t>ESPM / Christina Dunphy</t>
  </si>
  <si>
    <t>Value Bundles will NOT be created or transitioned automatically from Current Prod — no automated migration. They will be entered in FDXSANDBOXA</t>
  </si>
  <si>
    <t>Any PC BwT initiative becoming a Strategic Program VB must come from Pilot Sandbox only</t>
  </si>
  <si>
    <t>BR_DT_002</t>
  </si>
  <si>
    <t>Current Demand Type = Business Only
Current Entity = Initiative</t>
  </si>
  <si>
    <t>Map to entity: Program VB
Structure: Work
Flow: Program (Business only)
Scope: FDXSANDBOXA to DEV SB</t>
  </si>
  <si>
    <t>Program (Business only)</t>
  </si>
  <si>
    <t>Any PC BO initiative becoming a Strategic Program VB must come from Pilot Sandbox only</t>
  </si>
  <si>
    <t>BR_DT_003</t>
  </si>
  <si>
    <t>Current Demand Type = Business w/ Tech Financials
Current Entity = Initiative Financials</t>
  </si>
  <si>
    <t>Map to entity: Financials Program VB (BWT)
Structure: Roll up to work
Flow: Program (Business only)
Scope: FDXSANDBOXA to DEV SB</t>
  </si>
  <si>
    <t>Financials Program VB (BWT)</t>
  </si>
  <si>
    <t>Roll up to work</t>
  </si>
  <si>
    <t>Business Finance/TO Finance</t>
  </si>
  <si>
    <t>Financials associated with Value Bundles created in the FDXSANDBOXA will be transitioned to the DEV SB environment</t>
  </si>
  <si>
    <t>Financials come from Sandbox VBs, not from Current Prod initiatives</t>
  </si>
  <si>
    <t>BR_DT_004</t>
  </si>
  <si>
    <t>Current Demand Type = Business only Financials
Current Entity = Initiative Financials</t>
  </si>
  <si>
    <t>Map to entity: Financials Program VB (Business only)
Structure: Roll up to work
Flow: Program (Business only)
Scope: FDXSANDBOXA to DEV SB</t>
  </si>
  <si>
    <t>Financials Program VB (Business only)</t>
  </si>
  <si>
    <t>Financials associated with BO Value Bundles created in the FDXSANDBOXA will be transitioned to the DEV SB environment</t>
  </si>
  <si>
    <t>BR_DT_005</t>
  </si>
  <si>
    <t>Current Demand Type = Local Enhancement
Current Entity = Epic</t>
  </si>
  <si>
    <t>Map to entity: Epic
Structure: Task (Below PPL)
Flow: LE Epic
Scope: FDXSANDBOXA to DEV SB</t>
  </si>
  <si>
    <t>Task (Below PPL)</t>
  </si>
  <si>
    <t>LE Epic</t>
  </si>
  <si>
    <t>LE Epics will roll up to the VB. (existing or new). they will be created in the FDXSANDBOXA</t>
  </si>
  <si>
    <t>Program Manager must explicitly confirm which LEs are in scope. No automated identification possible.</t>
  </si>
  <si>
    <t>BR_DT_006</t>
  </si>
  <si>
    <t>Current Demand Type = Business w/Tech
Current Entity = Epic</t>
  </si>
  <si>
    <t>Map to entity: Epic
Structure: Task (Below PPL)
Flow: Business w/Tech Epic
Scope: FDXSANDBOXA to DEV SB</t>
  </si>
  <si>
    <t>Business w/Tech Epic</t>
  </si>
  <si>
    <t>See the subset of rules below</t>
  </si>
  <si>
    <t>BR_DT_006_1</t>
  </si>
  <si>
    <t>Current Demand Type = Business w/Tech
Current Entity = Non EPG Approved</t>
  </si>
  <si>
    <t>Map to entity: Epic
Structure: Pre- EPG Approval Status
Scope: One time migration</t>
  </si>
  <si>
    <t>Pre- EPG Approval Status</t>
  </si>
  <si>
    <t>Epics will remain in Sba until the one-time activity of those epics where ESPM will send us these epics to be created in Prod so that they will be part of the migration</t>
  </si>
  <si>
    <t>BR_DT_006_2</t>
  </si>
  <si>
    <t>Current Demand Type = Business w/Tech
Current Entity = EPG Approved</t>
  </si>
  <si>
    <t>Map to entity: Epic
Structure: EPG Approved Status
Scope: Current Prod to New Prod</t>
  </si>
  <si>
    <t>EPG Approved Status</t>
  </si>
  <si>
    <t>L3 epics that were manually entered into the current Prod will be migrated to the final Prod environment, maintaining their "EPG approved" status</t>
  </si>
  <si>
    <t>BR_DT_007</t>
  </si>
  <si>
    <t>Structure: Roll up to work
Flow: Program (Business + Tech)
Scope: FDXSANDBOXA to DEV SB</t>
  </si>
  <si>
    <t>BR_DT_008</t>
  </si>
  <si>
    <t>Current Demand Type = Local Enhancement Financials
Current Entity = Epic</t>
  </si>
  <si>
    <t>Map to entity: Financials Program VB
Structure: Roll up to work
Flow: Program (Business + Tech)
Scope: FDXSANDBOXA to DEV SB</t>
  </si>
  <si>
    <t>Financials Program VB</t>
  </si>
  <si>
    <t>Financials associated to Epics in Pilot Sanbox need to be included in the VB Financials in the SB</t>
  </si>
  <si>
    <t>BR_DT_009</t>
  </si>
  <si>
    <t>Structure: Task (Below PPL)
Scope: FDXSANDBOXA to DEV SB</t>
  </si>
  <si>
    <t>BR_DT_LCM_001</t>
  </si>
  <si>
    <t>Current Demand Type = Lifecycle Management (LCM)
Current Entity = Epic</t>
  </si>
  <si>
    <t>Map to entity: Epic
Structure: Task (Below PPL)
Flow: LCM Epic
Scope: FDXSANDBOXA to DEV SB</t>
  </si>
  <si>
    <t>LCM Epic</t>
  </si>
  <si>
    <t>LCM Epics will roll up to the VB (existing or new). They will be created in the FDXSANDBOXA. Mirrors LE Epic rule.</t>
  </si>
  <si>
    <t>Added per design: LCM Epic rule in DT Programs, parallel to LE Epic (BR_PC_005).</t>
  </si>
  <si>
    <t>BR_PC_001</t>
  </si>
  <si>
    <t>Strategic Programs - PC</t>
  </si>
  <si>
    <t>Map to entity: Strategic Program VB
Structure: Work
Flow: Strategic Program (Business + Tech)
Scope: FDXSANDBOXA to DEV SB</t>
  </si>
  <si>
    <t>Strategic Program VB</t>
  </si>
  <si>
    <t>Strategic Program (Business + Tech)</t>
  </si>
  <si>
    <t>BR_PC_002</t>
  </si>
  <si>
    <t>Map to entity: Strategic Program VB
Structure: Work
Flow: Strategic Program (Business only)
Scope: FDXSANDBOXA to DEV SB</t>
  </si>
  <si>
    <t>Strategic Program (Business only)</t>
  </si>
  <si>
    <t>BR_PC_003</t>
  </si>
  <si>
    <t>Map to entity: Financials Strategic Program VB (BWT)
Structure: Roll up to work
Flow: Strategic Program (Business only)
Scope: FDXSANDBOXA to DEV SB</t>
  </si>
  <si>
    <t>Financials Strategic Program VB (BWT)</t>
  </si>
  <si>
    <t>BR_PC_004</t>
  </si>
  <si>
    <t>Map to entity: Financials Strategic Program VB (Business only)
Structure: Roll up to work
Flow: Strategic Program (Business only)
Scope: FDXSANDBOXA to DEV SB</t>
  </si>
  <si>
    <t>Financials Strategic Program VB (Business only)</t>
  </si>
  <si>
    <t>BR_PC_005</t>
  </si>
  <si>
    <t>BR_PC_006</t>
  </si>
  <si>
    <t>BR_PC_006_1</t>
  </si>
  <si>
    <t>BR_PC_006_2</t>
  </si>
  <si>
    <t>BR_PC_007</t>
  </si>
  <si>
    <t>Structure: Roll up to work
Flow: Strategic Program (Business + Tech)
Scope: FDXSANDBOXA to DEV SB</t>
  </si>
  <si>
    <t>BR_PC_008</t>
  </si>
  <si>
    <t>Map to entity: Financials Strategic Program VB
Structure: Roll up to work
Flow: Strategic Program (Business + Tech)
Scope: FDXSANDBOXA to DEV SB</t>
  </si>
  <si>
    <t>Financials Strategic Program VB</t>
  </si>
  <si>
    <t>BR_PC_009</t>
  </si>
  <si>
    <t>BR_TE_001</t>
  </si>
  <si>
    <t>Tech-Enabled</t>
  </si>
  <si>
    <t>Current Demand Type = Business w/Tech
Current Entity = Initiative
T-Shirt Size &gt;= L
ESI NOT CONTAINS Purple Chip
ESI = Expired (FY25) OR NULL
Lifecycle Stage IN L1,L2,L3,L4,SL2,SL3,SL4</t>
  </si>
  <si>
    <t>Map to entity: Work/Demand Bundle
Structure: Work
Flow: Discretionary – Transformational Investment
Scope: FDXPROD to DEV SB</t>
  </si>
  <si>
    <t>Work/Demand Bundle</t>
  </si>
  <si>
    <t>Discretionary – Transformational Investment</t>
  </si>
  <si>
    <t>FDXPROD to DEV SB</t>
  </si>
  <si>
    <t>FDXPROD</t>
  </si>
  <si>
    <t>Data Migration team</t>
  </si>
  <si>
    <t>Non-PC Initiatives= Enterprise Startegic Initiative (ESI) field does not contain Purple Chip, or contains expired ESI of FY25, or is Null, AND T-Shirt size &gt;= L, AND Lifecycle Stage = L1, L2, L3, L4?</t>
  </si>
  <si>
    <t>BR_TE_002</t>
  </si>
  <si>
    <t>Current Demand Type = Business w/Tech
Current Entity = Initiative
T-Shirt Size &gt;= L
T-Shirt Size IS NULL
NRB &lt; $10M
Lifecycle Stage IN L1,L2,L3,L4,SL2,SL3,SL4</t>
  </si>
  <si>
    <t>Map to entity: Work/Demand Bundle
Structure: Work
Flow: STOP WORK Discretionary – Transformational Investment
Scope: FDXPROD to DEV SB</t>
  </si>
  <si>
    <t>STOP WORK Discretionary – Transformational Investment</t>
  </si>
  <si>
    <t>Data Migration team / Finance</t>
  </si>
  <si>
    <t>T-Shirt size &gt;= L AND NRB &lt;$10M (what field is this? see notes for different references) Cancelled for Stop Work (what is the meaning of this) (validated by Finance/Triage). IF The T-Shirt= Null, map to Future State Flow = Discretionary - Other. AND Lifecycle Stage = L1, L2, L3, L4?</t>
  </si>
  <si>
    <t>Should we add "And ESI field " and BC = No? What field are we using for NRB? most recent populated L gates, L1 NRB Hard? L1 NRB - Total? NRB (Exit Rate) 2028 (Latest Estimate).? L2 Net Recurring Benefits ($,annualized) - Total? Or the latest populated of L1 vs L2? What does Cancelled to Stop work mean? are we cancelling Epic and not migrating to new prod? or are we identifying them to be migrated and then bucket them as cancelled in the new prod?</t>
  </si>
  <si>
    <t>BR_TE_003</t>
  </si>
  <si>
    <t>Current Demand Type = Business w/Tech
Current Entity = Initiative
T-Shirt Size &lt;= M
ESI NOT CONTAINS Purple Chip
ESI = Expired (FY25) OR NULL
Lifecycle Stage IN L1,L2,L3,L4,SL2,SL3,SL4</t>
  </si>
  <si>
    <t>Map to entity: Work/Demand Bundle
Structure: Work
Flow: Discretionary – Other
Scope: FDXPROD to DEV SB</t>
  </si>
  <si>
    <t>Discretionary – Other</t>
  </si>
  <si>
    <t>Non-PC Initiatives= Enterprise Startegic Initiative (ESI) field does not contain Purple Chip, or contains expired ESI which says FY25, or is Null AND T-Shirt size &lt;=M, AND Lifecycle Stage = L1, L2, L3, L4?</t>
  </si>
  <si>
    <t>Updated to &lt;=M, otherwise Medium would be omitted</t>
  </si>
  <si>
    <t>BR_TE_004</t>
  </si>
  <si>
    <t>Current Demand Type = Business w/Tech
Current Entity = Initiative
Vital to Business Continuity = Yes
Lifecycle Stage IN L1,L2,L3,L4,L5,SL2,SL3,SL4,SL5</t>
  </si>
  <si>
    <t>Map to entity: Work/Demand Bundle
Structure: Work
Flow: Non-Discretionary – Business Continuity
Scope: FDXPROD to DEV SB</t>
  </si>
  <si>
    <t>Non-Discretionary – Business Continuity</t>
  </si>
  <si>
    <t>All Demand Type = Business with Tech -&gt; Is this vital to Business Continuity = yes → first map it to Non-Discretionary – Business Continuity. AND Lifecycle Stage = L1, L2, L3, L4, L5</t>
  </si>
  <si>
    <t>Does this run first to ensure all BwT BC gets mapped to BC? If this runs after the above rules you could miss some. Answer: No, we would need rules to exclude the ones mapped under Strategic and D&amp;T Programs.</t>
  </si>
  <si>
    <t>BR_TE_005</t>
  </si>
  <si>
    <t>Current Demand Type = BWT Financials
Current Entity = Initiative Financials</t>
  </si>
  <si>
    <t>Map to entity: Work/Demand Bundle Financials
Flow: TBD
Scope: FDXPROD to DEV SB</t>
  </si>
  <si>
    <t>Work/Demand Bundle Financials</t>
  </si>
  <si>
    <t>TBD</t>
  </si>
  <si>
    <t>Financials associated to initiatives in FDXPROD environment will be transitioned to the DEV SB environment</t>
  </si>
  <si>
    <t>BR_TE_006</t>
  </si>
  <si>
    <t>Map to entity: Work/Demand Bundle
Structure: Work
Flow: Business Demand Management
Scope: FDXPROD to DEV SB</t>
  </si>
  <si>
    <t>Business Demand Management</t>
  </si>
  <si>
    <t>ESPM / Rosanne</t>
  </si>
  <si>
    <t>Map all Business Only → Business Demand Management. Does this belong to this flow</t>
  </si>
  <si>
    <t>Data source open — pending confirmation between Current Prod and ESPM spreadsheets</t>
  </si>
  <si>
    <t>BR_TE_007</t>
  </si>
  <si>
    <t>Current Demand Type = BO Financials
Current Entity = Initiative Financials</t>
  </si>
  <si>
    <t>BR_TE_BWTE_001</t>
  </si>
  <si>
    <t>Current Demand Type = Business w/Tech
Current Entity = Epic
Lifecycle Stage IN L1,L2,L3,L4,SL2,SL3,SL4</t>
  </si>
  <si>
    <t>Map to entity: Epic
Structure: Task (Below PPL)
Flow: Non-Discretionary – Business Continuity
Scope: FDXPROD to DEV SB</t>
  </si>
  <si>
    <t>BWT epics under the BWT initiative identified above for BR_TE_004 will move to the Task below PPL. AND Lifecycle Stage = L1, L2,L3, L4?</t>
  </si>
  <si>
    <t>Does this include all Epics or ones only in L1,l2,l3,stages</t>
  </si>
  <si>
    <t>BR_TE_BWTE_002</t>
  </si>
  <si>
    <t>Map to entity: Epic
Structure: Task (Below PPL)
Flow: STOP WORK Discretionary – Transformational Investment</t>
  </si>
  <si>
    <t>BWT epics under the BWT initiative identified above for BR_TE_002 will move to the Task below PPL. AND Lifecycle Stage = L1, L2,L3, L4?</t>
  </si>
  <si>
    <t>BR_TE_BWTE_003</t>
  </si>
  <si>
    <t>Map to entity: Epic
Structure: Task (Below PPL)
Flow: Discretionary – Transformational Investment</t>
  </si>
  <si>
    <t>BWT epics under the BWT initiative identified above for BR_TE_001 will move to the Task below PPL. AND Lifecycle Stage = L1, L2,L3, L4?</t>
  </si>
  <si>
    <t>BR_TE_BWTE_004</t>
  </si>
  <si>
    <t>Map to entity: Epic
Structure: Task (Below PPL)
Flow: Discretionary – Other</t>
  </si>
  <si>
    <t>BWT epics under the BWT initiative identified above for BR_TE_003 will move to the Task below PPL. AND Lifecycle Stage = L1, L2,L3, L4?</t>
  </si>
  <si>
    <t>BR_TE_BWTE_005</t>
  </si>
  <si>
    <t>Current Demand Type = BWT Financials
Current Entity = Epic Financials</t>
  </si>
  <si>
    <t>Structure: Work
Flow: TBD
Scope: FDXPROD to DEV SB</t>
  </si>
  <si>
    <t>Financials associated to epics in FDXPROD environment will be transitioned to the DEV SB environment for the corresponding demand bundle?</t>
  </si>
  <si>
    <t>BR_TE_LCM_001</t>
  </si>
  <si>
    <t>Current Demand Type = Lifecycle Management
Current Entity = Epic</t>
  </si>
  <si>
    <t>Map to entity: Work/Demand Bundle
Structure: Work
Flow: Non-Discretionary - Run the Business
Scope: FDXPROD to DEV SB</t>
  </si>
  <si>
    <t>Map all LCM Epics to Non-Discretionary - Run the Business</t>
  </si>
  <si>
    <t>BR_TE_LCM_002</t>
  </si>
  <si>
    <t>Map to entity: Epic
Structure: Task (Below PPL)
Flow: Non-Discretionary - Run the Business - Epic
Scope: FDXPROD to DEV SB</t>
  </si>
  <si>
    <t>Non-Discretionary - Run the Business - Epic</t>
  </si>
  <si>
    <t>Copy same rules below PPL</t>
  </si>
  <si>
    <t>BR_TE_LCM_003</t>
  </si>
  <si>
    <t>Current Demand Type = LCM Financials
Current Entity = Epic Financials</t>
  </si>
  <si>
    <t>Financials associated to Epics in FDXPROD environment will be transitioned to the New Prod environmen</t>
  </si>
  <si>
    <t>BR_TE_LE_001</t>
  </si>
  <si>
    <t>Current Demand Type = Local Enhancements
Current Entity = Epic
T-Shirt Size &gt;= L
T-Shirt Size IS NULL
Lifecycle Stage IN L1,L2,L3,L4,SL2,SL3,SL4</t>
  </si>
  <si>
    <t>Map all Epics where T-Shirt size &gt;= L . IF The T-Shirt= Null, AND Lifecycle Stage = L1, L2, L3, L4? map to Future State Flow = Discretionary - Other. Remove records where Work IDs of LE Epics are already included in the Strategic Program Value Bundle.</t>
  </si>
  <si>
    <t>BR_TE_LE_002</t>
  </si>
  <si>
    <t>Current Demand Type = Local Enhancements
Current Entity = Epic</t>
  </si>
  <si>
    <t>Map to entity: Epic
Structure: Task (Below PPL)
Flow: Discretionary – Transformational Investment -Epic
Scope: FDXPROD to DEV SB</t>
  </si>
  <si>
    <t>Discretionary – Transformational Investment -Epic</t>
  </si>
  <si>
    <t>BR_TE_LE_003</t>
  </si>
  <si>
    <t>Current Demand Type = Local Enhancements
Current Entity = Epic
T-Shirt Size &gt;= L
T-Shirt Size IS NULL
NRB &lt; $10M
Lifecycle Stage IN L1,L2,L3,L4,SL2,SL3,SL4</t>
  </si>
  <si>
    <t>Map all Epics where T-Shirt size &gt;= L AND NRB &lt;$10M → Cancelled for Stop Work (validated by Finance/Triage) IF The T-Shirt= Null, AND Lifecycle Stage = L1, L2, L3, L4? map to Future State Flow = Discretionary - Other.</t>
  </si>
  <si>
    <t>What does Cancelled to Stop work mean? are we cancelling Epic and not migrating to new prod? or are we identifying them to be migrated and then bucket them as cancelled in the new prod?</t>
  </si>
  <si>
    <t>BR_TE_LE_004</t>
  </si>
  <si>
    <t>BR_TE_LE_005</t>
  </si>
  <si>
    <t>Current Demand Type = Local Enhancements
Current Entity = Epic
T-Shirt Size &lt;= M
Lifecycle Stage IN L1,L2,L3,L4,SL2,SL3,SL4</t>
  </si>
  <si>
    <t>Map all Epics where T-Shirt size &lt;=M. AND Lifecycle Stage = L1, L2, L3, L4?</t>
  </si>
  <si>
    <t>BR_TE_LE_006</t>
  </si>
  <si>
    <t>Map to entity: Epic
Structure: Task (Below PPL)
Flow: Discretionary – Other - Epic
Scope: FDXPROD to DEV SB</t>
  </si>
  <si>
    <t>Discretionary – Other - Epic</t>
  </si>
  <si>
    <t>BR_TE_LE_007</t>
  </si>
  <si>
    <t>Current Demand Type = LE Financials
Current Entity = Epic Financials</t>
  </si>
  <si>
    <t>Financials associated to Epics in FDXPROD environment will be transitioned to the DEV SB environment</t>
  </si>
  <si>
    <t xml:space="preserve">
Work ID</t>
  </si>
  <si>
    <t xml:space="preserve">
Work Name</t>
  </si>
  <si>
    <t xml:space="preserve">
Does this require Limited Visibility?</t>
  </si>
  <si>
    <t/>
  </si>
  <si>
    <t>Requests</t>
  </si>
  <si>
    <t>Resources</t>
  </si>
  <si>
    <t>Primary Structure</t>
  </si>
  <si>
    <t>Field Type</t>
  </si>
  <si>
    <t>Enabled</t>
  </si>
  <si>
    <t>Added Cost</t>
  </si>
  <si>
    <t>C_ADDED_COST</t>
  </si>
  <si>
    <t>PVRW</t>
  </si>
  <si>
    <t>Y</t>
  </si>
  <si>
    <t>N</t>
  </si>
  <si>
    <t>Benefit</t>
  </si>
  <si>
    <t>CH_BENIFIT</t>
  </si>
  <si>
    <t>Concerns</t>
  </si>
  <si>
    <t>CH_CONCERN</t>
  </si>
  <si>
    <t>Effort for Change</t>
  </si>
  <si>
    <t>C_EFFORT_CHANGE</t>
  </si>
  <si>
    <t>New Close Date</t>
  </si>
  <si>
    <t>C_NEW_CLOSE</t>
  </si>
  <si>
    <t>New Project Budget</t>
  </si>
  <si>
    <t>C_NEW_PROJ_BUDGET</t>
  </si>
  <si>
    <t>CRI_DESC1</t>
  </si>
  <si>
    <t>Email</t>
  </si>
  <si>
    <t>CRI_EMAIL</t>
  </si>
  <si>
    <t>ID</t>
  </si>
  <si>
    <t>CRI_ID</t>
  </si>
  <si>
    <t>CRI_DESCRIPTION</t>
  </si>
  <si>
    <t>Phone</t>
  </si>
  <si>
    <t>CRI_PHONE</t>
  </si>
  <si>
    <t>CRI_TARGETDATE</t>
  </si>
  <si>
    <t>zz Raised by</t>
  </si>
  <si>
    <t>cri_rasied_by</t>
  </si>
  <si>
    <t>CUSTOM</t>
  </si>
  <si>
    <t>zz Raised on</t>
  </si>
  <si>
    <t>cri_rasied_on</t>
  </si>
  <si>
    <t>zz Resolution</t>
  </si>
  <si>
    <t>CRIRESOLUT</t>
  </si>
  <si>
    <t>zz Resolution Date</t>
  </si>
  <si>
    <t>CRI_RESOLUTIONDATE</t>
  </si>
  <si>
    <t>Action Plan</t>
  </si>
  <si>
    <t>CRI_ACPLAN</t>
  </si>
  <si>
    <t>Business Criticality Score</t>
  </si>
  <si>
    <t>T_BUSINES_CRIT_SCORE</t>
  </si>
  <si>
    <t>Opportunities</t>
  </si>
  <si>
    <t>PROD_OPPORTUNITIES</t>
  </si>
  <si>
    <t>Outcome Assessment</t>
  </si>
  <si>
    <t>rpm_outcome_assess</t>
  </si>
  <si>
    <t>Outcome Description</t>
  </si>
  <si>
    <t>prod_desc</t>
  </si>
  <si>
    <t>Product ID</t>
  </si>
  <si>
    <t>PRODUCT_ID</t>
  </si>
  <si>
    <t>Recommendation</t>
  </si>
  <si>
    <t>T_RECOMMEND</t>
  </si>
  <si>
    <t>Recommendation Comments</t>
  </si>
  <si>
    <t>T_RECOMMEND_CMMNTS</t>
  </si>
  <si>
    <t>Software EOL Date</t>
  </si>
  <si>
    <t>T_SOFTWARE_EOL_DATE</t>
  </si>
  <si>
    <t>Strengths</t>
  </si>
  <si>
    <t>PROD_STRENGTHS</t>
  </si>
  <si>
    <t>Target Finish Date</t>
  </si>
  <si>
    <t>PROD_TARGET_FINISH</t>
  </si>
  <si>
    <t>Target Start Date</t>
  </si>
  <si>
    <t>PROD_TARGET_START</t>
  </si>
  <si>
    <t>Threats</t>
  </si>
  <si>
    <t>PROD_THREATS</t>
  </si>
  <si>
    <t>Weaknesses</t>
  </si>
  <si>
    <t>PROD_WEAKNESSES</t>
  </si>
  <si>
    <t>Release #</t>
  </si>
  <si>
    <t>RELEASE_ID</t>
  </si>
  <si>
    <t>Release Date</t>
  </si>
  <si>
    <t>RELEASE_DATE</t>
  </si>
  <si>
    <t>$WR_LDESC</t>
  </si>
  <si>
    <t>fdx_biz_impact_req</t>
  </si>
  <si>
    <t>Cancellation Reason</t>
  </si>
  <si>
    <t>fdx_cancelreason_req</t>
  </si>
  <si>
    <t>Dispatcher Comments</t>
  </si>
  <si>
    <t>DISPATCH</t>
  </si>
  <si>
    <t>Do Not Use</t>
  </si>
  <si>
    <t>WR_REQUESTED_FINISH</t>
  </si>
  <si>
    <t>ESI Alignment Comments</t>
  </si>
  <si>
    <t>fdx_esi_comm_req</t>
  </si>
  <si>
    <t>ESI Alignment Confirmation Notes</t>
  </si>
  <si>
    <t>fdx_esi_appnotes_req</t>
  </si>
  <si>
    <t>Notes on SL1 Decision</t>
  </si>
  <si>
    <t>fdx_sl1_notes_req</t>
  </si>
  <si>
    <t>Request Name</t>
  </si>
  <si>
    <t>$WR_DESC</t>
  </si>
  <si>
    <t>Request Name - Legacy</t>
  </si>
  <si>
    <t>fdx_req_legacy_name</t>
  </si>
  <si>
    <t>fdx_status_rat_req</t>
  </si>
  <si>
    <t>On Track</t>
  </si>
  <si>
    <t>Technology Component End of Life Date</t>
  </si>
  <si>
    <t>fdx_comp_end_req</t>
  </si>
  <si>
    <t>fdx_risk_compwork</t>
  </si>
  <si>
    <t>zz Expected Business Outcome (Request)</t>
  </si>
  <si>
    <t>fdx_exp_out_req</t>
  </si>
  <si>
    <t>Employee ID</t>
  </si>
  <si>
    <t>SHORT_NAME</t>
  </si>
  <si>
    <t>Resource Cost Center</t>
  </si>
  <si>
    <t>fdx_cost_center</t>
  </si>
  <si>
    <t>Risk ID - Legacy Wave</t>
  </si>
  <si>
    <t>fdx_legacy_risk_id</t>
  </si>
  <si>
    <t>RISK_PLAN</t>
  </si>
  <si>
    <t>fdx_risk_owner</t>
  </si>
  <si>
    <t>zz Probability</t>
  </si>
  <si>
    <t>R_PROBABILITY</t>
  </si>
  <si>
    <t>zz Resolution Criteria</t>
  </si>
  <si>
    <t>RISK_CRIT</t>
  </si>
  <si>
    <t>zz Risk Residual</t>
  </si>
  <si>
    <t>RISK_RESID</t>
  </si>
  <si>
    <t>zz Risk Triggers</t>
  </si>
  <si>
    <t>RISK_TRIG</t>
  </si>
  <si>
    <t>zz Risk Value</t>
  </si>
  <si>
    <t>R_VALUE</t>
  </si>
  <si>
    <t>fdx_ability_to_strat</t>
  </si>
  <si>
    <t>AgilePlace Card Score</t>
  </si>
  <si>
    <t>LK_CARDSCORE_STR</t>
  </si>
  <si>
    <t>AgilePlace Planning Increment</t>
  </si>
  <si>
    <t>LK_PLAN_INCR_STR</t>
  </si>
  <si>
    <t>AP Actual Finish</t>
  </si>
  <si>
    <t>LK_ACTUAL_FINISH_STR</t>
  </si>
  <si>
    <t>AP Actual Start</t>
  </si>
  <si>
    <t>LK_ACTUAL_START_STR</t>
  </si>
  <si>
    <t>AP Blocked Child Cards</t>
  </si>
  <si>
    <t>LK_CRDS_BLOCKED_STR</t>
  </si>
  <si>
    <t>AP Blocked Flag</t>
  </si>
  <si>
    <t>LK_IS_BLOCKED_STR</t>
  </si>
  <si>
    <t>AP Card ID</t>
  </si>
  <si>
    <t>LK_CARD_LINK_STR_TXT</t>
  </si>
  <si>
    <t>AP Card Lane Status</t>
  </si>
  <si>
    <t>LK_LANE_CLASS_STR</t>
  </si>
  <si>
    <t>AP Card Size</t>
  </si>
  <si>
    <t>LK_CARD_SIZE_STR</t>
  </si>
  <si>
    <t>AP Card Type</t>
  </si>
  <si>
    <t>LK_CARD_TYPE_STR</t>
  </si>
  <si>
    <t>AP Cards (Total)</t>
  </si>
  <si>
    <t>LK_CRDS_TOTAL_STR</t>
  </si>
  <si>
    <t>AP Complete Cards</t>
  </si>
  <si>
    <t>LK_CRDS_COMPLETE_STR</t>
  </si>
  <si>
    <t>AP Earliest Actual Start</t>
  </si>
  <si>
    <t>LK_EARL_ACT_STRT_STR</t>
  </si>
  <si>
    <t>AP Earliest Planned Start</t>
  </si>
  <si>
    <t>LK_EARL_PLN_STRT_STR</t>
  </si>
  <si>
    <t>AP Exception Count</t>
  </si>
  <si>
    <t>LK_CRDS_EXCEPTNS_STR</t>
  </si>
  <si>
    <t>AP Exception Percentage</t>
  </si>
  <si>
    <t>LK_CRDS_EXPT_PCT_STR</t>
  </si>
  <si>
    <t>AP In Progress Child Cards</t>
  </si>
  <si>
    <t>LK_CRDS_IN_PROG_STR</t>
  </si>
  <si>
    <t>AP Latest Actual Finish</t>
  </si>
  <si>
    <t>LK_LATST_ACT_FIN_STR</t>
  </si>
  <si>
    <t>AP Latest Planned Finish</t>
  </si>
  <si>
    <t>LK_LATST_PLN_FIN_STR</t>
  </si>
  <si>
    <t>AP Missed Finish Child Cards</t>
  </si>
  <si>
    <t>LK_CRDS_MIS_FIN_STR</t>
  </si>
  <si>
    <t>AP Missed Start Child Cards</t>
  </si>
  <si>
    <t>LK_CRDS_MIS_STRT_STR</t>
  </si>
  <si>
    <t>AP Not Started Child Cards</t>
  </si>
  <si>
    <t>LK_CRDS_NOT_STRT_STR</t>
  </si>
  <si>
    <t>AP Percent Complete</t>
  </si>
  <si>
    <t>LK_CRDS_PCT_CMPL_STR</t>
  </si>
  <si>
    <t>AP Planned Finish</t>
  </si>
  <si>
    <t>LK_PLANNED_FIN_STR</t>
  </si>
  <si>
    <t>AP Planned Start</t>
  </si>
  <si>
    <t>LK_PLANNED_START_STR</t>
  </si>
  <si>
    <t>AP Priority</t>
  </si>
  <si>
    <t>LK_PRIORITY_STR</t>
  </si>
  <si>
    <t>AP Projected Finish</t>
  </si>
  <si>
    <t>LK_PRJCTD_FIN_STR</t>
  </si>
  <si>
    <t>AP Top Lane</t>
  </si>
  <si>
    <t>LK_LANE_STR</t>
  </si>
  <si>
    <t>fdx_law_attr_sme_str</t>
  </si>
  <si>
    <t>Baseline Value</t>
  </si>
  <si>
    <t>fdx_baseline_val</t>
  </si>
  <si>
    <t>STRAT_DESCR</t>
  </si>
  <si>
    <t>fdx_biz_impact_strat</t>
  </si>
  <si>
    <t>CCH Notes</t>
  </si>
  <si>
    <t>fdx_cch_notes</t>
  </si>
  <si>
    <t>Change - Who is affected by the change?</t>
  </si>
  <si>
    <t>fdx_change_who</t>
  </si>
  <si>
    <t>Commercial Portfolio Costs</t>
  </si>
  <si>
    <t>fdx_commercial_costs</t>
  </si>
  <si>
    <t>Commercial Portfolio Greenlight Notes</t>
  </si>
  <si>
    <t>fdx_comm_tch</t>
  </si>
  <si>
    <t>Communication Plans (G2M and G2S)</t>
  </si>
  <si>
    <t>fdx_comms_plan</t>
  </si>
  <si>
    <t>Creation Source</t>
  </si>
  <si>
    <t>CREATION_SOURCE_STR</t>
  </si>
  <si>
    <t>Customer's external experience</t>
  </si>
  <si>
    <t>fdx_customer_exp</t>
  </si>
  <si>
    <t>Data &amp; AI Portfolio Costs</t>
  </si>
  <si>
    <t>fdx_data_costs</t>
  </si>
  <si>
    <t>Data &amp; AI Portfolio Greenlight Notes</t>
  </si>
  <si>
    <t>fdx_data_tch</t>
  </si>
  <si>
    <t>Display Text (AP Card URL)</t>
  </si>
  <si>
    <t>LK_CARD_LINK_STR_URL</t>
  </si>
  <si>
    <t>Display Text (Initiative Architectural Documentat)</t>
  </si>
  <si>
    <t>fdx_arch_link_TXT</t>
  </si>
  <si>
    <t>Enterprise Services Portfolio Costs</t>
  </si>
  <si>
    <t>fdx_ent_serv_costs</t>
  </si>
  <si>
    <t>Enterprise Services Portfolio Greenlight Notes</t>
  </si>
  <si>
    <t>fdx_ent_serv_tch</t>
  </si>
  <si>
    <t>fdx_esi_comm_strat</t>
  </si>
  <si>
    <t>fdx_esi_appnotes_str</t>
  </si>
  <si>
    <t>If ‘Yes’, note the laws or regulatory bodies:</t>
  </si>
  <si>
    <t>fdx_laws_reg_bodies</t>
  </si>
  <si>
    <t>fdx_manual_wrk_str</t>
  </si>
  <si>
    <t>Impacted EAI</t>
  </si>
  <si>
    <t>fdx_eai</t>
  </si>
  <si>
    <t>Incremental Funding Required ($)</t>
  </si>
  <si>
    <t>fdx_incremental_fund</t>
  </si>
  <si>
    <t>Initiative Completion Approval Notes</t>
  </si>
  <si>
    <t>fdx_closure_notes</t>
  </si>
  <si>
    <t>Initiative ID - Legacy Wave</t>
  </si>
  <si>
    <t>fdx_legacy_id</t>
  </si>
  <si>
    <t>Initiative Name - Legacy</t>
  </si>
  <si>
    <t>fdx_legacy_name</t>
  </si>
  <si>
    <t>Initiative Supporting Architectural Documentation</t>
  </si>
  <si>
    <t>fdx_arch_link_URL</t>
  </si>
  <si>
    <t>Key Assumptions made in Quantifying Impact</t>
  </si>
  <si>
    <t>L2 Net Recurring Benefits ($, annualized)-P&amp;L/Hard</t>
  </si>
  <si>
    <t>fdx_l2_nrb_hard</t>
  </si>
  <si>
    <t>L2 Net Recurring Benefits ($, annualized)-Soft</t>
  </si>
  <si>
    <t>fdx_l2_nrb_soft</t>
  </si>
  <si>
    <t>L2 One-time Benefit ($)-Soft</t>
  </si>
  <si>
    <t>fdx_l2_oneben_soft</t>
  </si>
  <si>
    <t>L2 One-time Implementation Costs ($)-Total</t>
  </si>
  <si>
    <t>C1045_strat</t>
  </si>
  <si>
    <t>L3 Net Recurring Benefits ($, annualized)-P&amp;L/Hard</t>
  </si>
  <si>
    <t>fdx_sl4_nrb</t>
  </si>
  <si>
    <t>L4 Net Recurring Benefits ($, annualized)-P&amp;L/Hard</t>
  </si>
  <si>
    <t>fdx_sl5_nrb</t>
  </si>
  <si>
    <t>Measure &amp; Unit</t>
  </si>
  <si>
    <t>fdx_measure_unit</t>
  </si>
  <si>
    <t>NPV (Latest Estimate)</t>
  </si>
  <si>
    <t>C1242_strat</t>
  </si>
  <si>
    <t>NPV SL3 Approval</t>
  </si>
  <si>
    <t>fdx_npv_sl3</t>
  </si>
  <si>
    <t>NRB (Exit Rate) 2028 (Latest Estimate)</t>
  </si>
  <si>
    <t>C1281_strat</t>
  </si>
  <si>
    <t>OKR Objective Count</t>
  </si>
  <si>
    <t>OKR_OBJ_COUNT</t>
  </si>
  <si>
    <t>PVEXTERN</t>
  </si>
  <si>
    <t>Platform Portfolio Costs</t>
  </si>
  <si>
    <t>fdx_platform_costs</t>
  </si>
  <si>
    <t>Platform Portfolio Greenlight Notes</t>
  </si>
  <si>
    <t>fdx_platform_tch</t>
  </si>
  <si>
    <t>Portfolio and Products</t>
  </si>
  <si>
    <t>fdx_portfolio_produc</t>
  </si>
  <si>
    <t>fdx_strat_ppm_num</t>
  </si>
  <si>
    <t>Pricing and Surcharges</t>
  </si>
  <si>
    <t>fdx_pricing</t>
  </si>
  <si>
    <t>ROI (Latest Estimate)</t>
  </si>
  <si>
    <t>C1235_strat</t>
  </si>
  <si>
    <t>ROI SL3 Approval</t>
  </si>
  <si>
    <t>fdx_roi_sl3</t>
  </si>
  <si>
    <t>Service, terms, P&amp;D, transits, etc.</t>
  </si>
  <si>
    <t>fdx_service_terms</t>
  </si>
  <si>
    <t>fdx_bifin_appv_notes</t>
  </si>
  <si>
    <t>SL2 D&amp;T SMO Review Notes</t>
  </si>
  <si>
    <t>fdx_dtsmo_rev_notes</t>
  </si>
  <si>
    <t>SL2 Domain Lead Notes</t>
  </si>
  <si>
    <t>fdx_sl2_dom_notes</t>
  </si>
  <si>
    <t>SL2 Domain Sponsor Notes</t>
  </si>
  <si>
    <t>fdx_sl2_notes</t>
  </si>
  <si>
    <t>SL2 EPM Notes</t>
  </si>
  <si>
    <t>fdx_sl2_gov_comm</t>
  </si>
  <si>
    <t>SL2 Finance Domain Lead Notes</t>
  </si>
  <si>
    <t>fdx_sl2_fin_notes</t>
  </si>
  <si>
    <t>SL2 SVP Finance Notes</t>
  </si>
  <si>
    <t>fdx_sl2_svp_notes</t>
  </si>
  <si>
    <t>SL2 TO Finance Notes</t>
  </si>
  <si>
    <t>fdx_sl2_to_notes</t>
  </si>
  <si>
    <t>SL3 Domain Lead Notes</t>
  </si>
  <si>
    <t>fdx_sl3_domlead_note</t>
  </si>
  <si>
    <t>SL3 Domain Sponsor Notes</t>
  </si>
  <si>
    <t>fdx_sl3_domsp_notes</t>
  </si>
  <si>
    <t>SL3 EPM Notes</t>
  </si>
  <si>
    <t>fdx_sl3_epm_notes</t>
  </si>
  <si>
    <t>SL3 Finance Domain Lead Notes</t>
  </si>
  <si>
    <t>fdx_sl3_finlead_note</t>
  </si>
  <si>
    <t>SL3 SVP Finance Notes</t>
  </si>
  <si>
    <t>fdx_sl3_svpfin_notes</t>
  </si>
  <si>
    <t>SL3 TO Finance Notes</t>
  </si>
  <si>
    <t>fdx_sl3_tofin_notes</t>
  </si>
  <si>
    <t>SL4 Close Program - Business Finance Approval Notes</t>
  </si>
  <si>
    <t>SL4 Close Program - D&amp;T Finance Approval Notes</t>
  </si>
  <si>
    <t>fdx_sl4_dtfin_notes</t>
  </si>
  <si>
    <t>SL4 Close Program - DTU Approval Notes</t>
  </si>
  <si>
    <t>fdx_sl4_dtu_apv_note</t>
  </si>
  <si>
    <t>SL4 Close Program - Program Owner Approval Notes</t>
  </si>
  <si>
    <t>SL4 Close Program - TO Approval Notes</t>
  </si>
  <si>
    <t>SL4 SVP Finance Notes</t>
  </si>
  <si>
    <t>fdx_sl4_svpfin_notes</t>
  </si>
  <si>
    <t>SL5 Finance Domain Lead Notes</t>
  </si>
  <si>
    <t>fdx_sl5_finlead_note</t>
  </si>
  <si>
    <t>SL5 SVP Finance Notes</t>
  </si>
  <si>
    <t>fdx_sl5_svpfin_notes</t>
  </si>
  <si>
    <t>SL5 TO Finance Notes</t>
  </si>
  <si>
    <t>fdx_sl5_tofin_notes</t>
  </si>
  <si>
    <t>rpm_program_assess</t>
  </si>
  <si>
    <t>Supply Chain Operations Portfolio Costs</t>
  </si>
  <si>
    <t>fdx_supplychain_cost</t>
  </si>
  <si>
    <t>Supply Chain Operations Portfolio Greenlight Notes</t>
  </si>
  <si>
    <t>fdx_supplychain_tch</t>
  </si>
  <si>
    <t>Sync with AgilePlace</t>
  </si>
  <si>
    <t>lk_sync_strat</t>
  </si>
  <si>
    <t>Boolean</t>
  </si>
  <si>
    <t>Target Value</t>
  </si>
  <si>
    <t>fdx_target_val</t>
  </si>
  <si>
    <t>fdx_ready_sl1_strat</t>
  </si>
  <si>
    <t>Value Stream Name</t>
  </si>
  <si>
    <t>VSM_NAME_STRAT</t>
  </si>
  <si>
    <t>What is the Money Step and how will it be measured</t>
  </si>
  <si>
    <t>fdx_money_step</t>
  </si>
  <si>
    <t>fdx_risk_compwrk_str</t>
  </si>
  <si>
    <t>fdx_law_regimp_st</t>
  </si>
  <si>
    <t>zz Implementation Approach</t>
  </si>
  <si>
    <t>fdx_impl_approach</t>
  </si>
  <si>
    <t>zz WSJF (Epic)</t>
  </si>
  <si>
    <t>wsjfe</t>
  </si>
  <si>
    <t>zz WSJF Cost of Delay (Epic)</t>
  </si>
  <si>
    <t>wsjfcode</t>
  </si>
  <si>
    <t>zz WSJF Temp Initiative Calc</t>
  </si>
  <si>
    <t>wsjfetemp</t>
  </si>
  <si>
    <t>Affected Application Count</t>
  </si>
  <si>
    <t>T_AFFECTED_APPS_CNT</t>
  </si>
  <si>
    <t>AgilePlace Board</t>
  </si>
  <si>
    <t>fdx_ap_board</t>
  </si>
  <si>
    <t>AgilePlace Card ID</t>
  </si>
  <si>
    <t>fdx_ap_cardid</t>
  </si>
  <si>
    <t>LK_CARDSCORE</t>
  </si>
  <si>
    <t>AgilePlace Card URL</t>
  </si>
  <si>
    <t>fdx_apurl_URL</t>
  </si>
  <si>
    <t>LK_PLAN_INCR</t>
  </si>
  <si>
    <t>Agility Actual Finish</t>
  </si>
  <si>
    <t>LK_ACTUAL_FINISH</t>
  </si>
  <si>
    <t>Agility Actual Start</t>
  </si>
  <si>
    <t>LK_ACTUAL_START</t>
  </si>
  <si>
    <t>Agility Actual/Planned Finish</t>
  </si>
  <si>
    <t>LK_ACTL_PLAN_FINISH</t>
  </si>
  <si>
    <t>Agility Actual/Planned Start</t>
  </si>
  <si>
    <t>LK_ACTL_PLAN_START</t>
  </si>
  <si>
    <t>Agility Child Card Total Size</t>
  </si>
  <si>
    <t>fdx_ap_childtotal</t>
  </si>
  <si>
    <t>Agility Child Complete Card Size</t>
  </si>
  <si>
    <t>fdx_ap_childcompl</t>
  </si>
  <si>
    <t>Agility Child Not Started Card Size</t>
  </si>
  <si>
    <t>fdx_ap_childnostart</t>
  </si>
  <si>
    <t>LK_CRDS_BLOCKED</t>
  </si>
  <si>
    <t>LK_CARD_LINK_TXT</t>
  </si>
  <si>
    <t>LK_LANE_CLASS</t>
  </si>
  <si>
    <t>LK_CARD_SIZE</t>
  </si>
  <si>
    <t>LK_CARD_TYPE</t>
  </si>
  <si>
    <t>LK_CRDS_TOTAL</t>
  </si>
  <si>
    <t>LK_CRDS_COMPLETE</t>
  </si>
  <si>
    <t>LK_EARLIEST_ACT_STRT</t>
  </si>
  <si>
    <t>LK_EARLIEST_PLN_STRT</t>
  </si>
  <si>
    <t>LK_CRDS_EXCEPTIONS</t>
  </si>
  <si>
    <t>LK_CRDS_EXCEPT_PCT</t>
  </si>
  <si>
    <t>LK_CRDS_IN_PROGRESS</t>
  </si>
  <si>
    <t>LK_LATEST_ACT_FINISH</t>
  </si>
  <si>
    <t>LK_LATEST_PLN_FINISH</t>
  </si>
  <si>
    <t>LK_CRDS_MISSED_FIN</t>
  </si>
  <si>
    <t>LK_CRDS_MISSED_START</t>
  </si>
  <si>
    <t>LK_CRDS_NOT_STARTED</t>
  </si>
  <si>
    <t>LK_CRDS_PCT_CMPLT</t>
  </si>
  <si>
    <t>LK_PLANNED_FINISH</t>
  </si>
  <si>
    <t>LK_PLANNED_START</t>
  </si>
  <si>
    <t>LK_PRIORITY</t>
  </si>
  <si>
    <t>LK_PRJCTD_FIN_DATE</t>
  </si>
  <si>
    <t>LK_TOP_LANE</t>
  </si>
  <si>
    <t>Blocked Flag</t>
  </si>
  <si>
    <t>LK_IS_BLOCKED</t>
  </si>
  <si>
    <t>Capability Importance</t>
  </si>
  <si>
    <t>T_CAP_IMPORTANCE</t>
  </si>
  <si>
    <t>fdx_change_who_wrk</t>
  </si>
  <si>
    <t>Counter</t>
  </si>
  <si>
    <t>fdx_counter</t>
  </si>
  <si>
    <t>Dependencies &amp; Constraints</t>
  </si>
  <si>
    <t>fdx_work_dependency</t>
  </si>
  <si>
    <t>Display Text (AgilePlace Card URL)</t>
  </si>
  <si>
    <t>fdx_apurl_TXT</t>
  </si>
  <si>
    <t>Display Text (Agility URL)</t>
  </si>
  <si>
    <t>fdx_agilityurl_TXT</t>
  </si>
  <si>
    <t>LK_CARD_LINK_URL</t>
  </si>
  <si>
    <t>Display Text (Epic Architectural Documentation)</t>
  </si>
  <si>
    <t>fdx_epic_archdoc_TXT</t>
  </si>
  <si>
    <t>Display Text (PP Board URL)</t>
  </si>
  <si>
    <t>PP_BOARD_LINK_TXT</t>
  </si>
  <si>
    <t>Display Text (PP Link URL)</t>
  </si>
  <si>
    <t>PP_LINK_TXT</t>
  </si>
  <si>
    <t>Domain/Portfolio:</t>
  </si>
  <si>
    <t>level_4_plan</t>
  </si>
  <si>
    <t>Dont Progress Flag</t>
  </si>
  <si>
    <t>rpm_dont_progress</t>
  </si>
  <si>
    <t>Enter Progress Flag</t>
  </si>
  <si>
    <t>rpm_enter_progress</t>
  </si>
  <si>
    <t>Epic Outcomes</t>
  </si>
  <si>
    <t>fdx_epic_outcome</t>
  </si>
  <si>
    <t>Explain how you arrived at the estimated value range above:</t>
  </si>
  <si>
    <t>fdx_exp_est_val_rng</t>
  </si>
  <si>
    <t>IdeaPlace Challenge ID</t>
  </si>
  <si>
    <t>ip_challenge_id</t>
  </si>
  <si>
    <t>IdeaPlace Closure Next Steps</t>
  </si>
  <si>
    <t>ip_next_steps</t>
  </si>
  <si>
    <t>IdeaPlace Closure Primary Impact</t>
  </si>
  <si>
    <t>ip_prim_impact</t>
  </si>
  <si>
    <t>IdeaPlace Closure Primary Impact Quantifier</t>
  </si>
  <si>
    <t>ip_prim_imp_quant</t>
  </si>
  <si>
    <t>IdeaPlace Closure Selected</t>
  </si>
  <si>
    <t>ip_sync_work</t>
  </si>
  <si>
    <t>IdeaPlace Created By User</t>
  </si>
  <si>
    <t>ip_created_by</t>
  </si>
  <si>
    <t>IdeaPlace ID</t>
  </si>
  <si>
    <t>ip_link_txt</t>
  </si>
  <si>
    <t>IdeaPlace Instance ID</t>
  </si>
  <si>
    <t>ip_instance_id</t>
  </si>
  <si>
    <t>IdeaPlace Instance URL</t>
  </si>
  <si>
    <t>ip_instance_url</t>
  </si>
  <si>
    <t>IdeaPlace Predictions Cost</t>
  </si>
  <si>
    <t>ip_cost</t>
  </si>
  <si>
    <t>IdeaPlace Predictions Revenue</t>
  </si>
  <si>
    <t>ip_revenue</t>
  </si>
  <si>
    <t>IdeaPlace Predictions Time</t>
  </si>
  <si>
    <t>ip_time</t>
  </si>
  <si>
    <t>IdeaPlace Site Title</t>
  </si>
  <si>
    <t>ip_site_title</t>
  </si>
  <si>
    <t>IdeaPlace Site URL</t>
  </si>
  <si>
    <t>ip_site_url</t>
  </si>
  <si>
    <t>IdeaPlace Star Rating</t>
  </si>
  <si>
    <t>ip_star_rating</t>
  </si>
  <si>
    <t>IdeaPlace Synced By User</t>
  </si>
  <si>
    <t>ip_synced_by</t>
  </si>
  <si>
    <t>IdeaPlace Upvotes</t>
  </si>
  <si>
    <t>ip_upvotes</t>
  </si>
  <si>
    <t>IdeaPlace URL</t>
  </si>
  <si>
    <t>ip_link_url</t>
  </si>
  <si>
    <t>fdx_laws_bodies_work</t>
  </si>
  <si>
    <t>Impacted Stakeholders</t>
  </si>
  <si>
    <t>fdx_impact_stakehold</t>
  </si>
  <si>
    <t>Import AgilePlace Child Cards</t>
  </si>
  <si>
    <t>lk_sync_children</t>
  </si>
  <si>
    <t>fdx_id_legacy_work</t>
  </si>
  <si>
    <t>fdx_l2softbenef_work</t>
  </si>
  <si>
    <t>L3 D&amp;T SMO Review Notes</t>
  </si>
  <si>
    <t>fdx_l3_dtsmo_rv_note</t>
  </si>
  <si>
    <t>L3 Epic Approval Notes</t>
  </si>
  <si>
    <t>L3 EPM Review 1 Notes</t>
  </si>
  <si>
    <t>L3 EPM Review 2 Notes</t>
  </si>
  <si>
    <t>fdx_epic_epm_notes2</t>
  </si>
  <si>
    <t>L3 EPM: Quality Review Notes</t>
  </si>
  <si>
    <t>fdx_l3epmnotes</t>
  </si>
  <si>
    <t>Lifecycle Administrator</t>
  </si>
  <si>
    <t>PE_LC_ADMIN_USER</t>
  </si>
  <si>
    <t>Milestone/Task ID - Legacy Wave</t>
  </si>
  <si>
    <t>fdx_milestoneid_wave</t>
  </si>
  <si>
    <t>Milestone/Task Owner</t>
  </si>
  <si>
    <t>fdx_task_owner</t>
  </si>
  <si>
    <t>Name - Legacy</t>
  </si>
  <si>
    <t>fdx_legacy_name_wrk</t>
  </si>
  <si>
    <t>Net Recurring Benefits ($, annualized)-Soft</t>
  </si>
  <si>
    <t>fdx_l2_nrbsoft_work</t>
  </si>
  <si>
    <t>Notes on Request Approval Decision</t>
  </si>
  <si>
    <t>fdx_sl1_notes_work</t>
  </si>
  <si>
    <t>OKR Key Results</t>
  </si>
  <si>
    <t>OKR_KEYRESULTS_COUNT</t>
  </si>
  <si>
    <t>OKR Objective Count Work</t>
  </si>
  <si>
    <t>OKR_OBJ_COUNT_WRK</t>
  </si>
  <si>
    <t>fdx_firstid_work</t>
  </si>
  <si>
    <t>Overlapped Project Count for Applications</t>
  </si>
  <si>
    <t>T_OVERLAPPED_PROJECT</t>
  </si>
  <si>
    <t>Percent Complete</t>
  </si>
  <si>
    <t>PERCENT_COMPLETE</t>
  </si>
  <si>
    <t>PP Board ID</t>
  </si>
  <si>
    <t>PP_BOARD_LINK_URL</t>
  </si>
  <si>
    <t>PP Completion Date</t>
  </si>
  <si>
    <t>PP_COMPLETION_DATE</t>
  </si>
  <si>
    <t>PP Entity</t>
  </si>
  <si>
    <t>PP_LINK</t>
  </si>
  <si>
    <t>PP Entity URL</t>
  </si>
  <si>
    <t>PP_URL</t>
  </si>
  <si>
    <t>PP Link URL</t>
  </si>
  <si>
    <t>PP_LINK_URL</t>
  </si>
  <si>
    <t>PP Number of Completed Cards</t>
  </si>
  <si>
    <t>PP_CNT_CARDS_CMPLT</t>
  </si>
  <si>
    <t>PP Number of Open Cards</t>
  </si>
  <si>
    <t>PP_CNT_CARDS_OPEN</t>
  </si>
  <si>
    <t>PP Percent Complete By Activities</t>
  </si>
  <si>
    <t>PP_PCT_DONE_ACTIVITY</t>
  </si>
  <si>
    <t>PP Percent Complete By An Activity Card</t>
  </si>
  <si>
    <t>PP_ACTIVITY_PCT_DONE</t>
  </si>
  <si>
    <t>PP Percent Complete By Cards</t>
  </si>
  <si>
    <t>PP_PCT_DONE_CARDS</t>
  </si>
  <si>
    <t>PP Percent Complete By Milestones</t>
  </si>
  <si>
    <t>PP_PCT_DONE_MILESTON</t>
  </si>
  <si>
    <t>PP Project Level Total Budget from ProjectPlace</t>
  </si>
  <si>
    <t>PP_TOTAL_BUDGET</t>
  </si>
  <si>
    <t>Program Name</t>
  </si>
  <si>
    <t>fdx_program_work</t>
  </si>
  <si>
    <t>Progress as Planned Flag</t>
  </si>
  <si>
    <t>rpm_progress_plan</t>
  </si>
  <si>
    <t>Requested IT completion Date:</t>
  </si>
  <si>
    <t>Requestor Email:</t>
  </si>
  <si>
    <t>fdx_requestor_email</t>
  </si>
  <si>
    <t>Requestor Full Name / User ID:</t>
  </si>
  <si>
    <t>fdx_reqr_fullname_id</t>
  </si>
  <si>
    <t>Requestor Name</t>
  </si>
  <si>
    <t>PW_REQUESTOR</t>
  </si>
  <si>
    <t>Schedule Variance (PF-AP)</t>
  </si>
  <si>
    <t>LK_E1_SCHED_VARIANCE</t>
  </si>
  <si>
    <t>SL3 D&amp;T Finance Approval Notes</t>
  </si>
  <si>
    <t>fdx_sl3_dtf_apv_note</t>
  </si>
  <si>
    <t>SL3 D&amp;T SMO Review Notes</t>
  </si>
  <si>
    <t>fdx_sl3_dtsmo_rv_not</t>
  </si>
  <si>
    <t>SL3 DTU Approval Notes</t>
  </si>
  <si>
    <t>fdx_sl3_dtu_apv_note</t>
  </si>
  <si>
    <t>SL3 PEL/Solution Management Approver 1 Notes</t>
  </si>
  <si>
    <t>fdx_sl3_it_notes</t>
  </si>
  <si>
    <t>SL3 PEL/Solution Management Approver 2 Notes</t>
  </si>
  <si>
    <t>fdx_sl3_bus_notes</t>
  </si>
  <si>
    <t>SL4 Close Value Bundle - Program Owner Approval Notes</t>
  </si>
  <si>
    <t>SL4 Close Work Bundle - Business Finance Approval Notes</t>
  </si>
  <si>
    <t>SL4 Close Work Bundle - D&amp;T Finance Approval Notes</t>
  </si>
  <si>
    <t>fdx_l4_dtfn_apv_note</t>
  </si>
  <si>
    <t>Story Points Earned (REDUNDANT)</t>
  </si>
  <si>
    <t>POINTS_EARNED</t>
  </si>
  <si>
    <t>Story Points Planned (REDUNDANT)</t>
  </si>
  <si>
    <t>POINTS_PLANNED</t>
  </si>
  <si>
    <t>Story URL (REDUNDANT)</t>
  </si>
  <si>
    <t>STORY_URL</t>
  </si>
  <si>
    <t>lk_sync_work</t>
  </si>
  <si>
    <t>fdx_comp_end_work</t>
  </si>
  <si>
    <t>Total Labor Costs (Latest Estimate)</t>
  </si>
  <si>
    <t>C1291_plan</t>
  </si>
  <si>
    <t>User Story #</t>
  </si>
  <si>
    <t>STORY_ID</t>
  </si>
  <si>
    <t>Work ID</t>
  </si>
  <si>
    <t>PW_DESCRIPTION</t>
  </si>
  <si>
    <t>zDO NOT USE AND MODIFY CREATION SOURCE VALUE</t>
  </si>
  <si>
    <t>SOURCE_VALUE</t>
  </si>
  <si>
    <t>zz Business Need</t>
  </si>
  <si>
    <t>PE02</t>
  </si>
  <si>
    <t>zz E-mail</t>
  </si>
  <si>
    <t>PW_E_MAIL</t>
  </si>
  <si>
    <t>zz Experience Estimate</t>
  </si>
  <si>
    <t>EXPERIENCE_ESTIMATE</t>
  </si>
  <si>
    <t>zz Investment Priority Score</t>
  </si>
  <si>
    <t>score1</t>
  </si>
  <si>
    <t>zz Investment Risk Score</t>
  </si>
  <si>
    <t>score2</t>
  </si>
  <si>
    <t>zz Phone</t>
  </si>
  <si>
    <t>PW_PHONE</t>
  </si>
  <si>
    <t>zz Reporting Period</t>
  </si>
  <si>
    <t>rpm_rep_prd_w</t>
  </si>
  <si>
    <t>zz Requested Finish</t>
  </si>
  <si>
    <t>PW_REQUESTED_FINISH</t>
  </si>
  <si>
    <t>zz Requested Start</t>
  </si>
  <si>
    <t>PW_REQUESTED_START</t>
  </si>
  <si>
    <t>zz Status Date</t>
  </si>
  <si>
    <t>statusdate</t>
  </si>
  <si>
    <t>zz Work Assessment</t>
  </si>
  <si>
    <t>rpm_assess_descr</t>
  </si>
  <si>
    <t>zz WSJF (Feature)</t>
  </si>
  <si>
    <t>wsjff</t>
  </si>
  <si>
    <t>zz WSJF Cost of Delay (Feature)</t>
  </si>
  <si>
    <t>wsjfcodf</t>
  </si>
  <si>
    <t>zz WSJF Temp Calc</t>
  </si>
  <si>
    <t>wsjfftemp</t>
  </si>
  <si>
    <t>Prod Source field name</t>
  </si>
  <si>
    <t>New instance Target field name</t>
  </si>
  <si>
    <t>Requested IT Completion Date</t>
  </si>
  <si>
    <t>zz OOS R1 SL1 Prioritization Score</t>
  </si>
  <si>
    <t>fdx_prio_score_req</t>
  </si>
  <si>
    <t>Display Text (Value Stream URL)</t>
  </si>
  <si>
    <t>VSM_STRAT_TXT</t>
  </si>
  <si>
    <t>L1 Net Recurring Benefits ($, annualized)-P&amp;L/Hard</t>
  </si>
  <si>
    <t>L1 Net Recurring Benefits ($, annualized)-Soft</t>
  </si>
  <si>
    <t>L1 One-time Benefit ($)</t>
  </si>
  <si>
    <t>NRB (Exit Rate) (Latest Estimate)</t>
  </si>
  <si>
    <t>C1048_strat</t>
  </si>
  <si>
    <t>Previous Strategy Seq. ID</t>
  </si>
  <si>
    <t>fdx_p_prev_str_seqid</t>
  </si>
  <si>
    <t>Requested IT Completion Date:</t>
  </si>
  <si>
    <t>fdx_it_2cmplt_date</t>
  </si>
  <si>
    <t>SL4 Domain Lead Notes</t>
  </si>
  <si>
    <t>fdx_sl4_domlead_note</t>
  </si>
  <si>
    <t>SL4 Domain Sponsor Notes</t>
  </si>
  <si>
    <t>fdx_sl4_domsp_notes</t>
  </si>
  <si>
    <t>SL4 Finance Domain Lead Notes</t>
  </si>
  <si>
    <t>fdx_sl4_finlead_note</t>
  </si>
  <si>
    <t>SL4 TO Finance Notes</t>
  </si>
  <si>
    <t>fdx_sl4_tofin_notes</t>
  </si>
  <si>
    <t>zz Baseline Value</t>
  </si>
  <si>
    <t>fdx_baseline_value</t>
  </si>
  <si>
    <t>zz Display Text (Enterprise Architecture URL)</t>
  </si>
  <si>
    <t>EA_LINK_TXT</t>
  </si>
  <si>
    <t>zz EA Description</t>
  </si>
  <si>
    <t>EA_DESCRIPTION</t>
  </si>
  <si>
    <t>zz Enterprise Architecture URL</t>
  </si>
  <si>
    <t>EA_LINK_URL</t>
  </si>
  <si>
    <t>zz Expected Business Outcome (Strat)</t>
  </si>
  <si>
    <t>fdx_exp_out_strat</t>
  </si>
  <si>
    <t>zz Forecasted L2 Entry Date</t>
  </si>
  <si>
    <t>fdx_l2_planned_date</t>
  </si>
  <si>
    <t>zz Forecasted L3 Entry Date</t>
  </si>
  <si>
    <t>fdx_l3_planned_date</t>
  </si>
  <si>
    <t>zz Forecasted L4 Entry Date</t>
  </si>
  <si>
    <t>fdx_l4_planned_date</t>
  </si>
  <si>
    <t>zz Initiative ID - Legacy Wave</t>
  </si>
  <si>
    <t>fdx_init_id_legacy</t>
  </si>
  <si>
    <t>zz L1 Net Recurring Benefits ($, annualized)-Total</t>
  </si>
  <si>
    <t>fdx_l1_nrb_total</t>
  </si>
  <si>
    <t>zz L2 Net Recurring Benefits ($, annualized)-Total</t>
  </si>
  <si>
    <t>fdx_l2_nrb_total</t>
  </si>
  <si>
    <t>zz L2 One Time Benefit ($)-P&amp;L/Hard</t>
  </si>
  <si>
    <t>fdx_l2_oneben_hard</t>
  </si>
  <si>
    <t>zz L2 One-time Implementation Costs ($)-Business</t>
  </si>
  <si>
    <t>fdx_l2_oneimpl_bus</t>
  </si>
  <si>
    <t>zz L2 One-time Implementation Costs ($)-IT</t>
  </si>
  <si>
    <t>fdx_l2_oneimpl_it</t>
  </si>
  <si>
    <t>zz L2 One-time Implementation Costs ($)-Total</t>
  </si>
  <si>
    <t>fdx_l2_oneimpl_total</t>
  </si>
  <si>
    <t>fdx_sl1_score_strat</t>
  </si>
  <si>
    <t>zz PPM Project Number</t>
  </si>
  <si>
    <t>fdx_ppm_num_strat</t>
  </si>
  <si>
    <t>zz Risk 1 Name</t>
  </si>
  <si>
    <t>fdx_risk1_name</t>
  </si>
  <si>
    <t>zz Risk 2 Name</t>
  </si>
  <si>
    <t>fdx_risk2_name</t>
  </si>
  <si>
    <t>zz Risk 3 Name</t>
  </si>
  <si>
    <t>fdx_risk3_name</t>
  </si>
  <si>
    <t>zz Target Value</t>
  </si>
  <si>
    <t>fdx_target_value</t>
  </si>
  <si>
    <t>zz Value Stream URL</t>
  </si>
  <si>
    <t>VSM_STRAT_URL</t>
  </si>
  <si>
    <t>Epic Name</t>
  </si>
  <si>
    <t>ip_selected</t>
  </si>
  <si>
    <t>Previous Work Seq. ID</t>
  </si>
  <si>
    <t>fdx_p_prev_wrk_seqid</t>
  </si>
  <si>
    <t>Work Description</t>
  </si>
  <si>
    <t>zz EA Alignment Notes</t>
  </si>
  <si>
    <t>T_EA_ALIGNMENT_NOTES</t>
  </si>
  <si>
    <t>zz EA Alignment Score</t>
  </si>
  <si>
    <t>T_EA_ALIGNMENT_SCORE</t>
  </si>
  <si>
    <t>zz Gate 0 Comments</t>
  </si>
  <si>
    <t>g0_comments</t>
  </si>
  <si>
    <t>zz Gate 0 Date</t>
  </si>
  <si>
    <t>gate_0_date</t>
  </si>
  <si>
    <t>zz Gate 1 Comments</t>
  </si>
  <si>
    <t>g1_comments</t>
  </si>
  <si>
    <t>zz Gate 1 Date</t>
  </si>
  <si>
    <t>gate_1_date</t>
  </si>
  <si>
    <t>zz Gate 2 Comments</t>
  </si>
  <si>
    <t>g2_comments</t>
  </si>
  <si>
    <t>zz Gate 2 Date</t>
  </si>
  <si>
    <t>gate_2_date</t>
  </si>
  <si>
    <t>zz Gate 3 Comments</t>
  </si>
  <si>
    <t>g3_comments</t>
  </si>
  <si>
    <t>zz Gate 3 Date</t>
  </si>
  <si>
    <t>gate_3_date</t>
  </si>
  <si>
    <t>zz OOS R1 Epic Financial Benefits</t>
  </si>
  <si>
    <t>fdx_epic_financial</t>
  </si>
  <si>
    <t>fdx_ppm_ref_num</t>
  </si>
  <si>
    <t>Attribute Name</t>
  </si>
  <si>
    <t>Used?</t>
  </si>
  <si>
    <t>Migrate?</t>
  </si>
  <si>
    <t>Attribute Type</t>
  </si>
  <si>
    <t>Expression Type</t>
  </si>
  <si>
    <t>Usage</t>
  </si>
  <si>
    <t>Default Selection</t>
  </si>
  <si>
    <t>Planview Structure</t>
  </si>
  <si>
    <t>2: Active/Inactive</t>
  </si>
  <si>
    <t>level_2_res</t>
  </si>
  <si>
    <t>Resources ($Res)</t>
  </si>
  <si>
    <t>PVRO</t>
  </si>
  <si>
    <t>3: Portfolio</t>
  </si>
  <si>
    <t>level_3_res</t>
  </si>
  <si>
    <t>4: Portfolio/Spare</t>
  </si>
  <si>
    <t>level_4_res</t>
  </si>
  <si>
    <t>5: Manager</t>
  </si>
  <si>
    <t>level_5_res</t>
  </si>
  <si>
    <t>Requests ($WR)</t>
  </si>
  <si>
    <t>Strategic Hierarchy ($Strategy)</t>
  </si>
  <si>
    <t>Work ($Plan)</t>
  </si>
  <si>
    <t>Action Item Priorities</t>
  </si>
  <si>
    <t>LPRIO</t>
  </si>
  <si>
    <t>Action Items ($LIST)</t>
  </si>
  <si>
    <t>Medium</t>
  </si>
  <si>
    <t>Action Item Statuses</t>
  </si>
  <si>
    <t>LSTAT</t>
  </si>
  <si>
    <t>Not Started</t>
  </si>
  <si>
    <t>Action Item Types</t>
  </si>
  <si>
    <t>LTYPE</t>
  </si>
  <si>
    <t>Action Items, Completed (#)</t>
  </si>
  <si>
    <t>LIST_COUNT_COMP_PLAN</t>
  </si>
  <si>
    <t>Number</t>
  </si>
  <si>
    <t>Action Items, Completed (%)</t>
  </si>
  <si>
    <t>LIST_PCT_COMP_PLAN</t>
  </si>
  <si>
    <t>Action Items, Total</t>
  </si>
  <si>
    <t>LIST_COUNT_PLAN</t>
  </si>
  <si>
    <t>Issue (Issue)</t>
  </si>
  <si>
    <t>Actual</t>
  </si>
  <si>
    <t>MW_ACTUAL</t>
  </si>
  <si>
    <t>Actual Date</t>
  </si>
  <si>
    <t>ACTUAL_DATE_LIST</t>
  </si>
  <si>
    <t>Actual Effort</t>
  </si>
  <si>
    <t>LIST_ACTUAL_EFFORT</t>
  </si>
  <si>
    <t>ST_ACTUAL_EFFORT</t>
  </si>
  <si>
    <t>Support Tickets ($SR)</t>
  </si>
  <si>
    <t>Actual Expenditure Flag</t>
  </si>
  <si>
    <t>HAS_ACTUAL_EXPD</t>
  </si>
  <si>
    <t>ASSN_ACTUAL_FINISH</t>
  </si>
  <si>
    <t xml:space="preserve"> ($Assn)</t>
  </si>
  <si>
    <t>ASSN_ACTUAL_START</t>
  </si>
  <si>
    <t>Actual Value to Date</t>
  </si>
  <si>
    <t>MW_ACTUAL_TODATE</t>
  </si>
  <si>
    <t>Change (Change)</t>
  </si>
  <si>
    <t>Addressed To</t>
  </si>
  <si>
    <t>ASSN_ADDRESSED_TO</t>
  </si>
  <si>
    <t>Adj Non-GAAP One-time Benefits (Latest Estimate)</t>
  </si>
  <si>
    <t>1254</t>
  </si>
  <si>
    <t>N - Calc</t>
  </si>
  <si>
    <t>C1254_strat</t>
  </si>
  <si>
    <t>Adj Non-GAAP One-time Benefits (Plan)</t>
  </si>
  <si>
    <t>1257</t>
  </si>
  <si>
    <t>C1257_strat</t>
  </si>
  <si>
    <t>Adj Non-GAAP One-time Benefits (Working Version)</t>
  </si>
  <si>
    <t>1261</t>
  </si>
  <si>
    <t>C1261_strat</t>
  </si>
  <si>
    <t>Adj Non-GAAP One-time Costs (Latest Estimate)</t>
  </si>
  <si>
    <t>1256</t>
  </si>
  <si>
    <t>C1256_strat</t>
  </si>
  <si>
    <t>Adj Non-GAAP One-time Costs (Plan)</t>
  </si>
  <si>
    <t>1259</t>
  </si>
  <si>
    <t>C1259_strat</t>
  </si>
  <si>
    <t>Adj Non-GAAP One-time Costs (Working Version)</t>
  </si>
  <si>
    <t>1263</t>
  </si>
  <si>
    <t>C1263_strat</t>
  </si>
  <si>
    <t>Adjusted Net One time Benefits (Latest Estimate)</t>
  </si>
  <si>
    <t>C1159_strat</t>
  </si>
  <si>
    <t>Adjusted Net One time Benefits (Plan)</t>
  </si>
  <si>
    <t>C1165_strat</t>
  </si>
  <si>
    <t>Adjusted Net One time Benefits (Working Version)</t>
  </si>
  <si>
    <t>C1252_strat</t>
  </si>
  <si>
    <t>Adjusted Net One-time Benefits (Latest Estimate)</t>
  </si>
  <si>
    <t>1159</t>
  </si>
  <si>
    <t>Adjusted Net One-time Benefits (Plan)</t>
  </si>
  <si>
    <t>1165</t>
  </si>
  <si>
    <t>Adjusted Net One-time Benefits (Working Version)</t>
  </si>
  <si>
    <t>1252</t>
  </si>
  <si>
    <t>Adjusted Net Recurring Benefits (Latest Estimate)</t>
  </si>
  <si>
    <t>1156</t>
  </si>
  <si>
    <t>C1156_strat</t>
  </si>
  <si>
    <t>Adjusted Net Recurring Benefits (Plan)</t>
  </si>
  <si>
    <t>1162</t>
  </si>
  <si>
    <t>C1162_strat</t>
  </si>
  <si>
    <t>Adjusted Net Recurring Benefits (Working Version)</t>
  </si>
  <si>
    <t>1249</t>
  </si>
  <si>
    <t>C1249_strat</t>
  </si>
  <si>
    <t>Adjusted Non-GAAP OI (Latest Estimate)</t>
  </si>
  <si>
    <t>1160</t>
  </si>
  <si>
    <t>C1160_strat</t>
  </si>
  <si>
    <t>Adjusted Non-GAAP OI (Plan)</t>
  </si>
  <si>
    <t>1166</t>
  </si>
  <si>
    <t>C1166_strat</t>
  </si>
  <si>
    <t>Adjusted Non-GAAP OI (Working Version)</t>
  </si>
  <si>
    <t>1253</t>
  </si>
  <si>
    <t>C1253_strat</t>
  </si>
  <si>
    <t>Adjusted One time Benefits (Latest Estimate)</t>
  </si>
  <si>
    <t>C1158_strat</t>
  </si>
  <si>
    <t>Adjusted One time Benefits (Plan)</t>
  </si>
  <si>
    <t>C1163_strat</t>
  </si>
  <si>
    <t>Adjusted One time Benefits (Working Version)</t>
  </si>
  <si>
    <t>C1250_strat</t>
  </si>
  <si>
    <t>Adjusted One time Costs (Latest Estimate)</t>
  </si>
  <si>
    <t>C1157_strat</t>
  </si>
  <si>
    <t>Adjusted One time Costs (Plan)</t>
  </si>
  <si>
    <t>C1164_strat</t>
  </si>
  <si>
    <t>Adjusted One time Costs (Working Version)</t>
  </si>
  <si>
    <t>C1251_strat</t>
  </si>
  <si>
    <t>Agile Costing Level</t>
  </si>
  <si>
    <t>LKAcLvl</t>
  </si>
  <si>
    <t>LKBoard</t>
  </si>
  <si>
    <t>AgilePlace External Id</t>
  </si>
  <si>
    <t>AP_EXT_ID</t>
  </si>
  <si>
    <t>Agility Child In Progress Card Size</t>
  </si>
  <si>
    <t>1285</t>
  </si>
  <si>
    <t>Allocated Team</t>
  </si>
  <si>
    <t>ASSN_TEAM_CODE_DESCR</t>
  </si>
  <si>
    <t>Structure Code</t>
  </si>
  <si>
    <t>AP Actual/Planned Finish</t>
  </si>
  <si>
    <t>LK_ACTL_PLAN_FN_STR</t>
  </si>
  <si>
    <t>AP Actual/Planned Start</t>
  </si>
  <si>
    <t>LK_ACTL_PLAN_ST_STR</t>
  </si>
  <si>
    <t>Are you part of a DRIVE Domain/Pod?</t>
  </si>
  <si>
    <t>Str118</t>
  </si>
  <si>
    <t>Area</t>
  </si>
  <si>
    <t>level_2_strat</t>
  </si>
  <si>
    <t>Area:</t>
  </si>
  <si>
    <t>level_2_plan</t>
  </si>
  <si>
    <t>Assignment Complete by Contrib.</t>
  </si>
  <si>
    <t>CONTRIB_COMPLETE</t>
  </si>
  <si>
    <t>Associated Initiative</t>
  </si>
  <si>
    <t>Associated Initiative Seq ID</t>
  </si>
  <si>
    <t>Associated Solutions</t>
  </si>
  <si>
    <t>fdx_assoc_solutions</t>
  </si>
  <si>
    <t>Associated Work</t>
  </si>
  <si>
    <t>ASSN_WORK_CODE_DESCR</t>
  </si>
  <si>
    <t>Assumed Complete</t>
  </si>
  <si>
    <t>ASSUMED_COMPLETE</t>
  </si>
  <si>
    <t>At Complete Alloc.</t>
  </si>
  <si>
    <t>MW_AT_COMPLETE</t>
  </si>
  <si>
    <t>Attachment Type</t>
  </si>
  <si>
    <t>Cnt30</t>
  </si>
  <si>
    <t>Content Pseudo Structure ($Content)</t>
  </si>
  <si>
    <t>Authorizations</t>
  </si>
  <si>
    <t>AUTH_COUNT</t>
  </si>
  <si>
    <t>Average FTE</t>
  </si>
  <si>
    <t>FTE_PROD</t>
  </si>
  <si>
    <t>Products ($Prod)</t>
  </si>
  <si>
    <t>Azure Subscription Group</t>
  </si>
  <si>
    <t>Str114</t>
  </si>
  <si>
    <t>B/L Duration</t>
  </si>
  <si>
    <t>MW_BL_DURATION</t>
  </si>
  <si>
    <t>B/L Effort Variance</t>
  </si>
  <si>
    <t>MW_BL_EFFORT</t>
  </si>
  <si>
    <t>B/L Schedule Variance</t>
  </si>
  <si>
    <t>MW_BL_SCHEDULE</t>
  </si>
  <si>
    <t>Baseline @</t>
  </si>
  <si>
    <t>MW_BASELINE</t>
  </si>
  <si>
    <t>Baseline Allocated Effort</t>
  </si>
  <si>
    <t>BASELINE_EFFORT_ALLO</t>
  </si>
  <si>
    <t>BL_EFFORT_ALLO_PROD</t>
  </si>
  <si>
    <t>Baseline Allocated Effort-Roll Up</t>
  </si>
  <si>
    <t>BL_EFFORT_ALLO_SUM</t>
  </si>
  <si>
    <t>WBL_EFF_ALLOC_STRAT</t>
  </si>
  <si>
    <t>Baseline Duration</t>
  </si>
  <si>
    <t>BASELINE_DUR</t>
  </si>
  <si>
    <t>Baseline Effort</t>
  </si>
  <si>
    <t>BASELINE_EFFORT</t>
  </si>
  <si>
    <t>BL_EFFORT_PROD</t>
  </si>
  <si>
    <t>Baseline Effort-Roll Up</t>
  </si>
  <si>
    <t>BL_EFFORT_SUM</t>
  </si>
  <si>
    <t>Baseline Finish</t>
  </si>
  <si>
    <t>BASELINE_FINISH</t>
  </si>
  <si>
    <t>Baseline FTE</t>
  </si>
  <si>
    <t>BL_FTE</t>
  </si>
  <si>
    <t>Baseline FTE-Rolled Up</t>
  </si>
  <si>
    <t>BL_FTE_SUM</t>
  </si>
  <si>
    <t>Baseline Required Effort</t>
  </si>
  <si>
    <t>BASELINE_EFFORT_REQ</t>
  </si>
  <si>
    <t>BL_EFFORT_REQ_PROD</t>
  </si>
  <si>
    <t>Baseline Required Effort-Roll Up</t>
  </si>
  <si>
    <t>BL_EFFORT_REQ_SUM</t>
  </si>
  <si>
    <t>WBL_EFF_REQ_STRAT</t>
  </si>
  <si>
    <t>Baseline Reserved Effort</t>
  </si>
  <si>
    <t>BASELINE_EFFORT_RSRV</t>
  </si>
  <si>
    <t>BL_EFFORT_RSRV_PROD</t>
  </si>
  <si>
    <t>Baseline Reserved Effort-Roll Up</t>
  </si>
  <si>
    <t>BL_EFFORT_RSRV_SUM</t>
  </si>
  <si>
    <t>WBL_EFF_RSV_STRAT</t>
  </si>
  <si>
    <t>Baseline Restore Status</t>
  </si>
  <si>
    <t>BL_RESTORE</t>
  </si>
  <si>
    <t>Baseline Start</t>
  </si>
  <si>
    <t>BASELINE_START</t>
  </si>
  <si>
    <t>Basic Cost</t>
  </si>
  <si>
    <t>SCAT_BASIC_COST</t>
  </si>
  <si>
    <t>Service Catalog ($SCat)</t>
  </si>
  <si>
    <t>Budget Effort</t>
  </si>
  <si>
    <t>MW_BUD_EFFORT</t>
  </si>
  <si>
    <t>Budget value at Complete</t>
  </si>
  <si>
    <t>MW_BUD_COMPLETE</t>
  </si>
  <si>
    <t>Business Capabilities</t>
  </si>
  <si>
    <t>Cap_PROD</t>
  </si>
  <si>
    <t>Cap_STRAT</t>
  </si>
  <si>
    <t>Calendar</t>
  </si>
  <si>
    <t>CALENDAR_DESC</t>
  </si>
  <si>
    <t>Capacity Approval (REDUNDANT)</t>
  </si>
  <si>
    <t>CapAppr</t>
  </si>
  <si>
    <t>Pending</t>
  </si>
  <si>
    <t>Capacity: Current Week</t>
  </si>
  <si>
    <t>CAPACITY_WEEK_RES</t>
  </si>
  <si>
    <t>Capacity: Next 30 Days</t>
  </si>
  <si>
    <t>CAPACITY_MONTH_RES</t>
  </si>
  <si>
    <t>Capitalization Flag</t>
  </si>
  <si>
    <t>Wbs5</t>
  </si>
  <si>
    <t>CCH Greenlight</t>
  </si>
  <si>
    <t>Str103</t>
  </si>
  <si>
    <t>CCH Lead</t>
  </si>
  <si>
    <t>LC_ROLE5514_STRAT</t>
  </si>
  <si>
    <t>Change - How many colleagues are affected?</t>
  </si>
  <si>
    <t>Str93</t>
  </si>
  <si>
    <t>Multiple</t>
  </si>
  <si>
    <t>Wbs111</t>
  </si>
  <si>
    <t xml:space="preserve">Change - Number of internal stakeholders </t>
  </si>
  <si>
    <t>Changes, Active</t>
  </si>
  <si>
    <t>C_ACTIVE_COUNT</t>
  </si>
  <si>
    <t>Changes, Total</t>
  </si>
  <si>
    <t>C_COUNT</t>
  </si>
  <si>
    <t>Changes,total</t>
  </si>
  <si>
    <t>C_COUNT_PROD</t>
  </si>
  <si>
    <t>Commercial PEO</t>
  </si>
  <si>
    <t>LC_ROLE5523_STRAT</t>
  </si>
  <si>
    <t>Commercial Portfolio Greenlight</t>
  </si>
  <si>
    <t>Str104</t>
  </si>
  <si>
    <t>Commercial Portfolio Size Estimate</t>
  </si>
  <si>
    <t>Str124</t>
  </si>
  <si>
    <t>Comparison</t>
  </si>
  <si>
    <t>MW_COMPARISON</t>
  </si>
  <si>
    <t>Completed</t>
  </si>
  <si>
    <t>MW_COMPLETED</t>
  </si>
  <si>
    <t>Complexity</t>
  </si>
  <si>
    <t>Wbs711</t>
  </si>
  <si>
    <t>Con3</t>
  </si>
  <si>
    <t>Contracts ($Contract)</t>
  </si>
  <si>
    <t>Con4</t>
  </si>
  <si>
    <t>Con5</t>
  </si>
  <si>
    <t>Confidential View Only</t>
  </si>
  <si>
    <t>LC_ROLE87324_PLAN</t>
  </si>
  <si>
    <t>LC_ROLE87324_STRAT</t>
  </si>
  <si>
    <t>Constraint Date</t>
  </si>
  <si>
    <t>CONSTRAINT_DATE</t>
  </si>
  <si>
    <t>Constraint Type</t>
  </si>
  <si>
    <t>CONSTRAINT_TYPE</t>
  </si>
  <si>
    <t>Content Alternate Structure 1</t>
  </si>
  <si>
    <t>Cnt1</t>
  </si>
  <si>
    <t>Content Alternate Structure 2</t>
  </si>
  <si>
    <t>Cnt2</t>
  </si>
  <si>
    <t>Content Alternate Structure 3</t>
  </si>
  <si>
    <t>Cnt3</t>
  </si>
  <si>
    <t>Content Alternate Structure 4</t>
  </si>
  <si>
    <t>Cnt4</t>
  </si>
  <si>
    <t>Content Alternate Structure 5</t>
  </si>
  <si>
    <t>Cnt5</t>
  </si>
  <si>
    <t>Content, Link</t>
  </si>
  <si>
    <t>CONTENT_LINK</t>
  </si>
  <si>
    <t>Contract Status</t>
  </si>
  <si>
    <t>Con2</t>
  </si>
  <si>
    <t>In Bid</t>
  </si>
  <si>
    <t>Contract Type</t>
  </si>
  <si>
    <t>Con1</t>
  </si>
  <si>
    <t>Time and Materials</t>
  </si>
  <si>
    <t>Contributor Estimate</t>
  </si>
  <si>
    <t>CONTRIB_ESTIMATE</t>
  </si>
  <si>
    <t>Cost to Achieve One-time Costs (Latest Estimate)</t>
  </si>
  <si>
    <t>1255</t>
  </si>
  <si>
    <t>Subtotal</t>
  </si>
  <si>
    <t>C1255_plan</t>
  </si>
  <si>
    <t>C1255_prod</t>
  </si>
  <si>
    <t>C1255_strat</t>
  </si>
  <si>
    <t>Cost to Achieve One-time Costs (Plan)</t>
  </si>
  <si>
    <t>1258</t>
  </si>
  <si>
    <t>C1258_strat</t>
  </si>
  <si>
    <t>Cost to Achieve One-time Costs (Working Version)</t>
  </si>
  <si>
    <t>1262</t>
  </si>
  <si>
    <t>C1262_plan</t>
  </si>
  <si>
    <t>C1262_prod</t>
  </si>
  <si>
    <t>C1262_strat</t>
  </si>
  <si>
    <t>Cost to Achieve One-time Costs Include IT (Plan)</t>
  </si>
  <si>
    <t>1296</t>
  </si>
  <si>
    <t>C1296_strat</t>
  </si>
  <si>
    <t>Cost to Achieve Onetime Costs Incl IT (Latest Est)</t>
  </si>
  <si>
    <t>1295</t>
  </si>
  <si>
    <t>C1295_plan</t>
  </si>
  <si>
    <t>C1295_prod</t>
  </si>
  <si>
    <t>C1295_strat</t>
  </si>
  <si>
    <t>Cost to Achieve Onetime Costs Incl IT (Working Ver</t>
  </si>
  <si>
    <t>1297</t>
  </si>
  <si>
    <t>C1297_plan</t>
  </si>
  <si>
    <t>C1297_prod</t>
  </si>
  <si>
    <t>C1297_strat</t>
  </si>
  <si>
    <t>Cost to Achieve Recurring Costs (Latest Estimate)</t>
  </si>
  <si>
    <t>1155</t>
  </si>
  <si>
    <t>C1155_plan</t>
  </si>
  <si>
    <t>C1155_prod</t>
  </si>
  <si>
    <t>C1155_strat</t>
  </si>
  <si>
    <t>Cost to Achieve Recurring Costs (Plan)</t>
  </si>
  <si>
    <t>1161</t>
  </si>
  <si>
    <t>C1161_strat</t>
  </si>
  <si>
    <t>Cost to Achieve Recurring Costs (Working Version)</t>
  </si>
  <si>
    <t>1248</t>
  </si>
  <si>
    <t>C1248_plan</t>
  </si>
  <si>
    <t>C1248_prod</t>
  </si>
  <si>
    <t>C1248_strat</t>
  </si>
  <si>
    <t>CPM Float</t>
  </si>
  <si>
    <t>MW_CPM_FLOAT</t>
  </si>
  <si>
    <t>Created</t>
  </si>
  <si>
    <t>MW_CREATED</t>
  </si>
  <si>
    <t>proj_entry_date</t>
  </si>
  <si>
    <t>CREATED_BY_LIST</t>
  </si>
  <si>
    <t>CREATED_BY_PLAN</t>
  </si>
  <si>
    <t>CREATED_ON_LIST</t>
  </si>
  <si>
    <t>CREATED_ON_PLAN</t>
  </si>
  <si>
    <t>CREATION_SOURCE</t>
  </si>
  <si>
    <t>Creator</t>
  </si>
  <si>
    <t>CRI_OWNER</t>
  </si>
  <si>
    <t>Changes, Risks and Issues ($CRI)</t>
  </si>
  <si>
    <t>Current Gate</t>
  </si>
  <si>
    <t>Wbs49</t>
  </si>
  <si>
    <t>Customer</t>
  </si>
  <si>
    <t>Wbs24</t>
  </si>
  <si>
    <t>Data &amp; AI PEO</t>
  </si>
  <si>
    <t>LC_ROLE5524_PLAN</t>
  </si>
  <si>
    <t>LC_ROLE5524_STRAT</t>
  </si>
  <si>
    <t>Data &amp; AI Portfolio Greenlight</t>
  </si>
  <si>
    <t>Str106</t>
  </si>
  <si>
    <t>Data &amp; AI Portfolio Size Estimate</t>
  </si>
  <si>
    <t>Str123</t>
  </si>
  <si>
    <t>Date Created</t>
  </si>
  <si>
    <t>REQ_REQUESTED_ON</t>
  </si>
  <si>
    <t>Days Open</t>
  </si>
  <si>
    <t>MW_DAYS_OPEN</t>
  </si>
  <si>
    <t>Default Cost Center for Expenditures</t>
  </si>
  <si>
    <t>Wbs201</t>
  </si>
  <si>
    <t>Deliverables Flag</t>
  </si>
  <si>
    <t>DELIVERABLES_FLAG</t>
  </si>
  <si>
    <t>Demand Domain or Portfolio</t>
  </si>
  <si>
    <t>WR40</t>
  </si>
  <si>
    <t>Demand SubType</t>
  </si>
  <si>
    <t>Demand Subtype VC</t>
  </si>
  <si>
    <t>fdx_wr53</t>
  </si>
  <si>
    <t>DESCR_PROD</t>
  </si>
  <si>
    <t>LDESCR_LIST</t>
  </si>
  <si>
    <t>Disapproved Timesheets</t>
  </si>
  <si>
    <t>TS_DISAPPROVED_RES</t>
  </si>
  <si>
    <t>Division:</t>
  </si>
  <si>
    <t>level_3_plan</t>
  </si>
  <si>
    <t>WR_REQUESTED_START</t>
  </si>
  <si>
    <t>Do you have cross functional resource dependencies</t>
  </si>
  <si>
    <t>Wbs89</t>
  </si>
  <si>
    <t>Does this require technology?</t>
  </si>
  <si>
    <t>WR37</t>
  </si>
  <si>
    <t>Domain</t>
  </si>
  <si>
    <t>level_4_strat</t>
  </si>
  <si>
    <t>Domain Responsible for Execution</t>
  </si>
  <si>
    <t>Str133</t>
  </si>
  <si>
    <t>Domain Sponsor</t>
  </si>
  <si>
    <t>LC_ROLE3400_STRAT</t>
  </si>
  <si>
    <t>DRIVE Meta Domain (Demand Generator)</t>
  </si>
  <si>
    <t>WR45</t>
  </si>
  <si>
    <t>DRIVE Pod Lead</t>
  </si>
  <si>
    <t>LC_ROLE3303_PLAN</t>
  </si>
  <si>
    <t>DRIVE Pod Lead Name</t>
  </si>
  <si>
    <t>LC_ROLE3303_STRAT</t>
  </si>
  <si>
    <t>DRIVE Pod Name</t>
  </si>
  <si>
    <t>WR42</t>
  </si>
  <si>
    <t>Unsure</t>
  </si>
  <si>
    <t>ASSN_DUR</t>
  </si>
  <si>
    <t>Duration at Complete</t>
  </si>
  <si>
    <t>AC_DUR</t>
  </si>
  <si>
    <t>Early Finish</t>
  </si>
  <si>
    <t>EARLY_FINISH</t>
  </si>
  <si>
    <t>Early Start</t>
  </si>
  <si>
    <t>EARLY_START</t>
  </si>
  <si>
    <t>ASSN_EFFORT</t>
  </si>
  <si>
    <t>Effort Actual</t>
  </si>
  <si>
    <t>EFFORT_ACTUAL</t>
  </si>
  <si>
    <t>EFFORT_ACTUAL_PROD</t>
  </si>
  <si>
    <t>Effort Actual-Roll Up</t>
  </si>
  <si>
    <t>EFFORT_ACTUAL_SUM</t>
  </si>
  <si>
    <t>WEFF_ALLOC_STRAT</t>
  </si>
  <si>
    <t>Effort Allocated Remain</t>
  </si>
  <si>
    <t>EFFORT_REMAIN</t>
  </si>
  <si>
    <t>EFFORT_REMAIN_PROD</t>
  </si>
  <si>
    <t>Effort Allocated Remain-Roll Up</t>
  </si>
  <si>
    <t>EFFORT_REMAIN_SUM</t>
  </si>
  <si>
    <t>WEFF_ALOC_REMN_STRAT</t>
  </si>
  <si>
    <t>Effort Approved</t>
  </si>
  <si>
    <t>EFFORT_APPROVED</t>
  </si>
  <si>
    <t>Effort Percent Complete</t>
  </si>
  <si>
    <t>EFFORT_PERCENT</t>
  </si>
  <si>
    <t>Effort Required</t>
  </si>
  <si>
    <t>EFFORT_ESTIMATE_PEND</t>
  </si>
  <si>
    <t>EFFORT_REQ_PROD</t>
  </si>
  <si>
    <t>Effort Required Full</t>
  </si>
  <si>
    <t>EFFORT_ESTIMATE</t>
  </si>
  <si>
    <t>Effort Required-Roll Up</t>
  </si>
  <si>
    <t>EFFORT_ESTIMATE_SUM</t>
  </si>
  <si>
    <t>WEFF_REQ_STRAT</t>
  </si>
  <si>
    <t>Effort Reserved</t>
  </si>
  <si>
    <t>EFFORT_RESERVED_PEND</t>
  </si>
  <si>
    <t>EFFORT_RESERVED_PROD</t>
  </si>
  <si>
    <t>Effort Reserved Full</t>
  </si>
  <si>
    <t>EFFORT_RESERVED</t>
  </si>
  <si>
    <t>Effort Reserved-Roll Up</t>
  </si>
  <si>
    <t>EFFORT_RESERVED_SUM</t>
  </si>
  <si>
    <t>WEFF_RSV_STRAT</t>
  </si>
  <si>
    <t>Effort Team Actual</t>
  </si>
  <si>
    <t>EFFORT_STA_ACTUAL</t>
  </si>
  <si>
    <t>Effort Team Remain</t>
  </si>
  <si>
    <t>EFFORT_STA_REMAIN</t>
  </si>
  <si>
    <t>Effort Total</t>
  </si>
  <si>
    <t>EFFORT_AC</t>
  </si>
  <si>
    <t>EFFORT_AC_PROD</t>
  </si>
  <si>
    <t>Effort Total-Roll Up</t>
  </si>
  <si>
    <t>EFFORT_AC_SUM</t>
  </si>
  <si>
    <t>Effort Variance</t>
  </si>
  <si>
    <t>EFFORT_VAR</t>
  </si>
  <si>
    <t>EFFORT_VAR_PROD</t>
  </si>
  <si>
    <t>Effort Variance - Roll Up</t>
  </si>
  <si>
    <t>EFFORT_VAR_SUM</t>
  </si>
  <si>
    <t>Effort, Actual</t>
  </si>
  <si>
    <t>ASSN_EFFORT_ACTUAL</t>
  </si>
  <si>
    <t>EFFORT_ACTUAL_LIST</t>
  </si>
  <si>
    <t>Effort, Assigned</t>
  </si>
  <si>
    <t>ASSN_EFFORT_ASSN</t>
  </si>
  <si>
    <t>Effort, Expired</t>
  </si>
  <si>
    <t>ASSN_EFFORT_EXPIRED</t>
  </si>
  <si>
    <t>Effort, Planned</t>
  </si>
  <si>
    <t>EFFORT_PLANNED_LIST</t>
  </si>
  <si>
    <t>Effort, Total</t>
  </si>
  <si>
    <t>ASSN_EFFORT_TOTAL</t>
  </si>
  <si>
    <t>Effort: Current Month</t>
  </si>
  <si>
    <t>EFFORT_MONTH_RES</t>
  </si>
  <si>
    <t>Effort: Current Week</t>
  </si>
  <si>
    <t>EFFORT_WEEK_RES</t>
  </si>
  <si>
    <t>Enable LifeCycle Flag</t>
  </si>
  <si>
    <t>ENABLE_LIFECYCLE_IND</t>
  </si>
  <si>
    <t>Enter Status Flag</t>
  </si>
  <si>
    <t>ENTER_STATUS</t>
  </si>
  <si>
    <t>Enter Status Link</t>
  </si>
  <si>
    <t>PERCENT_LINK</t>
  </si>
  <si>
    <t>Enterprise Services PEO</t>
  </si>
  <si>
    <t>LC_ROLE5526_STRAT</t>
  </si>
  <si>
    <t>Enterprise Services Portfolio Greenlight</t>
  </si>
  <si>
    <t>Str107</t>
  </si>
  <si>
    <t>Enterprise Services Portfolio Size Estimate</t>
  </si>
  <si>
    <t>Str127</t>
  </si>
  <si>
    <t>Enterprise Strategic Initiative (ESI)</t>
  </si>
  <si>
    <t>WR35</t>
  </si>
  <si>
    <t>Entity Type</t>
  </si>
  <si>
    <t>ASSN_ENTITY_TYPE</t>
  </si>
  <si>
    <t>Epic Impacted Pods</t>
  </si>
  <si>
    <t>Wbs74</t>
  </si>
  <si>
    <t>Epic Owner</t>
  </si>
  <si>
    <t>LC_ROLE66_PLAN</t>
  </si>
  <si>
    <t>LC_ROLE66_STRAT</t>
  </si>
  <si>
    <t>LC_ROLE4181_STRAT</t>
  </si>
  <si>
    <t>ESI Alignment</t>
  </si>
  <si>
    <t>WR61</t>
  </si>
  <si>
    <t>Estimate Date</t>
  </si>
  <si>
    <t>ESTIMATE_DATE_LIST</t>
  </si>
  <si>
    <t>Estimated Annualized Value Range</t>
  </si>
  <si>
    <t>WR36</t>
  </si>
  <si>
    <t>Estimated Points</t>
  </si>
  <si>
    <t>POINTS_LIST</t>
  </si>
  <si>
    <t>EV-Cost Variance</t>
  </si>
  <si>
    <t>EV_COST_VAR</t>
  </si>
  <si>
    <t>EV-Earned Value</t>
  </si>
  <si>
    <t>EARNED_VALUE</t>
  </si>
  <si>
    <t>EV-Percent Complete</t>
  </si>
  <si>
    <t>EV_PERCENT</t>
  </si>
  <si>
    <t>EV-Planned Value</t>
  </si>
  <si>
    <t>BL_EFFORT_PLN_SUM</t>
  </si>
  <si>
    <t>EV-Schedule Variance</t>
  </si>
  <si>
    <t>EV_SCH_VAR</t>
  </si>
  <si>
    <t>Exit Rate – Structural (Latest Estimate)</t>
  </si>
  <si>
    <t>1228</t>
  </si>
  <si>
    <t>C1228_strat</t>
  </si>
  <si>
    <t>Exit Rate – Volume (Latest Estimate)</t>
  </si>
  <si>
    <t>1229</t>
  </si>
  <si>
    <t>C1229_strat</t>
  </si>
  <si>
    <t>Exit Rate 100% S (FV)</t>
  </si>
  <si>
    <t>1220</t>
  </si>
  <si>
    <t>C1220_strat</t>
  </si>
  <si>
    <t>Exit Rate 100% V (FV)</t>
  </si>
  <si>
    <t>1224</t>
  </si>
  <si>
    <t>C1224_strat</t>
  </si>
  <si>
    <t>Exit Rate 25% S/75% V (FV)</t>
  </si>
  <si>
    <t>1223</t>
  </si>
  <si>
    <t>C1223_strat</t>
  </si>
  <si>
    <t>Exit Rate 25% Structural (FV)</t>
  </si>
  <si>
    <t>1227</t>
  </si>
  <si>
    <t>C1227_strat</t>
  </si>
  <si>
    <t>Exit Rate 25% Volume (FV)</t>
  </si>
  <si>
    <t>1230</t>
  </si>
  <si>
    <t>C1230_strat</t>
  </si>
  <si>
    <t>Exit Rate 50% S/50% V (FV)</t>
  </si>
  <si>
    <t>1222</t>
  </si>
  <si>
    <t>C1222_strat</t>
  </si>
  <si>
    <t>Exit Rate 50% Structural/50% Volume (FV)</t>
  </si>
  <si>
    <t>1226</t>
  </si>
  <si>
    <t>C1226_strat</t>
  </si>
  <si>
    <t>Exit Rate 75% Structural</t>
  </si>
  <si>
    <t>1225</t>
  </si>
  <si>
    <t>C1225_strat</t>
  </si>
  <si>
    <t>Exit Rate 75% Volume (FV)</t>
  </si>
  <si>
    <t>1231</t>
  </si>
  <si>
    <t>C1231_strat</t>
  </si>
  <si>
    <t>Exit Rate 75%S/25% V</t>
  </si>
  <si>
    <t>1221</t>
  </si>
  <si>
    <t>C1221_strat</t>
  </si>
  <si>
    <t>Expd. Actual</t>
  </si>
  <si>
    <t>EXPD_ACTUAL</t>
  </si>
  <si>
    <t>Expd. Actual-Roll Up</t>
  </si>
  <si>
    <t>EXPD_ACTUAL_SUM</t>
  </si>
  <si>
    <t>Expd. Planned</t>
  </si>
  <si>
    <t>EXPD_PLN</t>
  </si>
  <si>
    <t>Expd. Planned-Roll Up</t>
  </si>
  <si>
    <t>EXPD_PLN_SUM</t>
  </si>
  <si>
    <t>Expd. Remain</t>
  </si>
  <si>
    <t>EXPD_REMAIN</t>
  </si>
  <si>
    <t>Expd. Remain-Roll Up</t>
  </si>
  <si>
    <t>EXPD_REMAIN_SUM</t>
  </si>
  <si>
    <t>Expd. Total at Complete</t>
  </si>
  <si>
    <t>EXPD_TOTAL</t>
  </si>
  <si>
    <t>Expd. Total at Complete-Roll Up</t>
  </si>
  <si>
    <t>EXPD_TOTAL_SUM</t>
  </si>
  <si>
    <t>Expenditure Type</t>
  </si>
  <si>
    <t>$Cost</t>
  </si>
  <si>
    <t>Expenditures, Actual ($EXPD_A)</t>
  </si>
  <si>
    <t>Expenditures, Planned ($EXPD_P)</t>
  </si>
  <si>
    <t>External ID</t>
  </si>
  <si>
    <t>EXPD_ACT_EXT_ID</t>
  </si>
  <si>
    <t>EXPD_PLN_EXT_ID</t>
  </si>
  <si>
    <t>FastTrack Report Configuration</t>
  </si>
  <si>
    <t>RpmCfg</t>
  </si>
  <si>
    <t>Finance Domain Lead</t>
  </si>
  <si>
    <t>LC_ROLE3398_STRAT</t>
  </si>
  <si>
    <t>Financial Allocation %</t>
  </si>
  <si>
    <t>STRAT_ALLO_PERCENT</t>
  </si>
  <si>
    <t>WORK_PERCENT_PROD</t>
  </si>
  <si>
    <t>Financial Plan Updated By</t>
  </si>
  <si>
    <t>LST_FINPLN_UPD_BY</t>
  </si>
  <si>
    <t>Providing Organization (Cbs1)</t>
  </si>
  <si>
    <t>Financial Plan Updated On</t>
  </si>
  <si>
    <t>LST_FINPLN_UPD_ON</t>
  </si>
  <si>
    <t>Forecast Amount in Closed Period (Latest Estimate)</t>
  </si>
  <si>
    <t>1053</t>
  </si>
  <si>
    <t>C1053_strat</t>
  </si>
  <si>
    <t>Free Float</t>
  </si>
  <si>
    <t>FREE_FLOAT</t>
  </si>
  <si>
    <t>FTE</t>
  </si>
  <si>
    <t>FTE_AC</t>
  </si>
  <si>
    <t>FTE-Rolled Up</t>
  </si>
  <si>
    <t>FTE_AC_SUM</t>
  </si>
  <si>
    <t>Full Name</t>
  </si>
  <si>
    <t>USER_NAME_RES</t>
  </si>
  <si>
    <t>Functional Estimate</t>
  </si>
  <si>
    <t>CALCULATED_ESTIMATE</t>
  </si>
  <si>
    <t>GAAP One-time Benefits (Latest Estimate)</t>
  </si>
  <si>
    <t>1158</t>
  </si>
  <si>
    <t>GAAP One-time Benefits (Plan)</t>
  </si>
  <si>
    <t>1163</t>
  </si>
  <si>
    <t>GAAP One-time Benefits (Working Version)</t>
  </si>
  <si>
    <t>1250</t>
  </si>
  <si>
    <t>GAAP One-time Benefits – Structural (FV)</t>
  </si>
  <si>
    <t>1271</t>
  </si>
  <si>
    <t>C1271_strat</t>
  </si>
  <si>
    <t xml:space="preserve">GAAP One-time Benefits 100% S (FV) </t>
  </si>
  <si>
    <t>1264</t>
  </si>
  <si>
    <t>C1264_strat</t>
  </si>
  <si>
    <t>GAAP One-time Benefits 25% S/75% V (FV)</t>
  </si>
  <si>
    <t>1265</t>
  </si>
  <si>
    <t>C1265_strat</t>
  </si>
  <si>
    <t>GAAP One-time Benefits 25% Structural (FV)</t>
  </si>
  <si>
    <t>1268</t>
  </si>
  <si>
    <t>C1268_strat</t>
  </si>
  <si>
    <t>GAAP One-time Benefits 50% S/50% V (FV)</t>
  </si>
  <si>
    <t>1266</t>
  </si>
  <si>
    <t>C1266_strat</t>
  </si>
  <si>
    <t xml:space="preserve">GAAP One-time Benefits 50% Structural (FV) </t>
  </si>
  <si>
    <t>1269</t>
  </si>
  <si>
    <t>C1269_strat</t>
  </si>
  <si>
    <t xml:space="preserve">GAAP One-time Benefits 75% Structural (FV) </t>
  </si>
  <si>
    <t>1270</t>
  </si>
  <si>
    <t>C1270_strat</t>
  </si>
  <si>
    <t>GAAP One-time Benefits 75%S/25% V (FV)</t>
  </si>
  <si>
    <t>1267</t>
  </si>
  <si>
    <t>C1267_strat</t>
  </si>
  <si>
    <t>GAAP One-time Costs (Latest Estimate)</t>
  </si>
  <si>
    <t>1157</t>
  </si>
  <si>
    <t>GAAP One-time Costs (Plan)</t>
  </si>
  <si>
    <t>1164</t>
  </si>
  <si>
    <t>GAAP One-time Costs (Working Version)</t>
  </si>
  <si>
    <t>1251</t>
  </si>
  <si>
    <t>Gantt Chart</t>
  </si>
  <si>
    <t>GANTT</t>
  </si>
  <si>
    <t>Unknown ===&gt; [G]</t>
  </si>
  <si>
    <t>Gate 0 Decision</t>
  </si>
  <si>
    <t>Wbs70</t>
  </si>
  <si>
    <t>Gate 1 Decision</t>
  </si>
  <si>
    <t>Wbs71</t>
  </si>
  <si>
    <t>Gate 2 Decision</t>
  </si>
  <si>
    <t>Wbs72</t>
  </si>
  <si>
    <t>Gate 3 Decision</t>
  </si>
  <si>
    <t>Wbs73</t>
  </si>
  <si>
    <t>Generated Via Outcome</t>
  </si>
  <si>
    <t>GenVia</t>
  </si>
  <si>
    <t>Governance Level</t>
  </si>
  <si>
    <t>Home Domain/Portfolio</t>
  </si>
  <si>
    <t>ID - Request</t>
  </si>
  <si>
    <t>$WR_ID</t>
  </si>
  <si>
    <t>Impact</t>
  </si>
  <si>
    <t>Iss30</t>
  </si>
  <si>
    <t>Impact on any laws or regulation compliance</t>
  </si>
  <si>
    <t>Str78</t>
  </si>
  <si>
    <t>Impact on back office procedures</t>
  </si>
  <si>
    <t>Wbs91</t>
  </si>
  <si>
    <t>Impact on field operation activities</t>
  </si>
  <si>
    <t>Wbs98</t>
  </si>
  <si>
    <t>Impacted Portfolios</t>
  </si>
  <si>
    <t>Impacted Solution(s)</t>
  </si>
  <si>
    <t>WR55</t>
  </si>
  <si>
    <t>Impacted Solutions</t>
  </si>
  <si>
    <t>Wbs68</t>
  </si>
  <si>
    <t>Impacts Data &amp; AI Portfolio?</t>
  </si>
  <si>
    <t>Str112</t>
  </si>
  <si>
    <t>Impacts Platform Portfolio?</t>
  </si>
  <si>
    <t>Impacts Value Prop or Risk to Customer Service?</t>
  </si>
  <si>
    <t>Initiative Owner</t>
  </si>
  <si>
    <t>LC_ROLE67_PLAN</t>
  </si>
  <si>
    <t>LC_ROLE67_STRAT</t>
  </si>
  <si>
    <t>Initiative Stage</t>
  </si>
  <si>
    <t>Wbs106</t>
  </si>
  <si>
    <t>Integrated</t>
  </si>
  <si>
    <t>INTEGR_PREV_PRD</t>
  </si>
  <si>
    <t>Internal Priority</t>
  </si>
  <si>
    <t>Wbs26</t>
  </si>
  <si>
    <t>Investment Approval</t>
  </si>
  <si>
    <t>OpCapAppr</t>
  </si>
  <si>
    <t>Analyze</t>
  </si>
  <si>
    <t>Investment Dependencies</t>
  </si>
  <si>
    <t>INVEST_DEP_PRJ</t>
  </si>
  <si>
    <t>INVEST_DEP_PROD</t>
  </si>
  <si>
    <t>INVEST_DEP_STRAT</t>
  </si>
  <si>
    <t>Investment Dependency State</t>
  </si>
  <si>
    <t>VALIDITY_DEP</t>
  </si>
  <si>
    <t>Dependency</t>
  </si>
  <si>
    <t>Investment Status (REDUNDANT)</t>
  </si>
  <si>
    <t>Wbs27</t>
  </si>
  <si>
    <t>Is this confidential?</t>
  </si>
  <si>
    <t>Is this request vital to business continuity?</t>
  </si>
  <si>
    <t>WR60</t>
  </si>
  <si>
    <t>Issues, Active</t>
  </si>
  <si>
    <t>I_ACTIVE_COUNT</t>
  </si>
  <si>
    <t>Issues, Total</t>
  </si>
  <si>
    <t>I_COUNT</t>
  </si>
  <si>
    <t>Issues,total</t>
  </si>
  <si>
    <t>I_COUNT_PROD</t>
  </si>
  <si>
    <t>L1 Net Recurring Benefits ($, annualized)-Total</t>
  </si>
  <si>
    <t>1044</t>
  </si>
  <si>
    <t>L2 Net Recurring Benefits ($, annualized)-Total</t>
  </si>
  <si>
    <t>1047</t>
  </si>
  <si>
    <t>C1047_strat</t>
  </si>
  <si>
    <t>L2 One Time Benefit ($)-Total</t>
  </si>
  <si>
    <t>C1046_strat</t>
  </si>
  <si>
    <t>L2 One-time Benefit ($)-Total</t>
  </si>
  <si>
    <t>1046</t>
  </si>
  <si>
    <t>1045</t>
  </si>
  <si>
    <t>L3 Epic Lifecycle Step</t>
  </si>
  <si>
    <t>fdx_l3_lc_act_step</t>
  </si>
  <si>
    <t>L3 EPM: Quality Review</t>
  </si>
  <si>
    <t>Wbs107</t>
  </si>
  <si>
    <t>Labor Effort (BV)</t>
  </si>
  <si>
    <t>1292</t>
  </si>
  <si>
    <t>C1292_plan</t>
  </si>
  <si>
    <t>C1292_strat</t>
  </si>
  <si>
    <t>Labor Effort (WV)</t>
  </si>
  <si>
    <t>1286</t>
  </si>
  <si>
    <t>C1286_plan</t>
  </si>
  <si>
    <t>C1286_strat</t>
  </si>
  <si>
    <t>Labor FTE (BV)</t>
  </si>
  <si>
    <t>1293</t>
  </si>
  <si>
    <t>C1293_plan</t>
  </si>
  <si>
    <t>C1293_strat</t>
  </si>
  <si>
    <t>Labor FTE (Latest Estimate)</t>
  </si>
  <si>
    <t>1290</t>
  </si>
  <si>
    <t>C1290_plan</t>
  </si>
  <si>
    <t>C1290_strat</t>
  </si>
  <si>
    <t>Labor FTE (WV)</t>
  </si>
  <si>
    <t>1287</t>
  </si>
  <si>
    <t>C1287_plan</t>
  </si>
  <si>
    <t>C1287_strat</t>
  </si>
  <si>
    <t>Last Signed Timesheet</t>
  </si>
  <si>
    <t>TS_LAST_SIGNED_RES</t>
  </si>
  <si>
    <t>UPDATED_BY_LIST</t>
  </si>
  <si>
    <t>Last Updated On</t>
  </si>
  <si>
    <t>UPDATED_ON_LIST</t>
  </si>
  <si>
    <t>Late Finish</t>
  </si>
  <si>
    <t>LATE_FINISH</t>
  </si>
  <si>
    <t>Late Start</t>
  </si>
  <si>
    <t>LATE_START</t>
  </si>
  <si>
    <t>Late Work/Epic</t>
  </si>
  <si>
    <t>PROJECT_LATE</t>
  </si>
  <si>
    <t>epm_lc_admin</t>
  </si>
  <si>
    <t>Lifecycle Model</t>
  </si>
  <si>
    <t>STRAT_LIFECYCLE_MDL</t>
  </si>
  <si>
    <t>Lifecycle Status</t>
  </si>
  <si>
    <t>Line #</t>
  </si>
  <si>
    <t>LINE_NUM</t>
  </si>
  <si>
    <t>Location</t>
  </si>
  <si>
    <t>Loc</t>
  </si>
  <si>
    <t>Org. Resources ($OrgRes)</t>
  </si>
  <si>
    <t>Locked</t>
  </si>
  <si>
    <t>LOCKED_IND_PLAN</t>
  </si>
  <si>
    <t>Locked by</t>
  </si>
  <si>
    <t>LOCKED_BY_PLAN</t>
  </si>
  <si>
    <t>Locked on</t>
  </si>
  <si>
    <t>LOCKED_ON_PLAN</t>
  </si>
  <si>
    <t>Market Growth Rate</t>
  </si>
  <si>
    <t>PBS4</t>
  </si>
  <si>
    <t>Market Size</t>
  </si>
  <si>
    <t>PBS5</t>
  </si>
  <si>
    <t>Meta Domain</t>
  </si>
  <si>
    <t>level_3_strat</t>
  </si>
  <si>
    <t>Milestone Identifier</t>
  </si>
  <si>
    <t>Wbs714</t>
  </si>
  <si>
    <t>Milestone Type</t>
  </si>
  <si>
    <t>LIST30</t>
  </si>
  <si>
    <t>MlsTpProd</t>
  </si>
  <si>
    <t>Milestone</t>
  </si>
  <si>
    <t>Milestones, Late</t>
  </si>
  <si>
    <t>MILESTONE_LATE</t>
  </si>
  <si>
    <t>Milestones, Missed</t>
  </si>
  <si>
    <t>MILESTONE_MISSED</t>
  </si>
  <si>
    <t>Milestones, On Time</t>
  </si>
  <si>
    <t>MILESTONE_ONTIME</t>
  </si>
  <si>
    <t>Milestones, Scheduled</t>
  </si>
  <si>
    <t>MILESTONE_PLANNED</t>
  </si>
  <si>
    <t>Milestones, Total</t>
  </si>
  <si>
    <t>MILESTONE</t>
  </si>
  <si>
    <t>MILESTONE_PROD</t>
  </si>
  <si>
    <t>Milestones,Completed</t>
  </si>
  <si>
    <t>MILESTONE_COMPLETE</t>
  </si>
  <si>
    <t>Milestones,Remain</t>
  </si>
  <si>
    <t>MILESTONE_REMAIN</t>
  </si>
  <si>
    <t>Money Step MS Date</t>
  </si>
  <si>
    <t>fdx_money_step_date</t>
  </si>
  <si>
    <t>MS Azure Usage Size</t>
  </si>
  <si>
    <t>Str115</t>
  </si>
  <si>
    <t>DESCR_LIST</t>
  </si>
  <si>
    <t>Need Approval</t>
  </si>
  <si>
    <t>NEEDS_APPROVAL_PRD</t>
  </si>
  <si>
    <t>Net Benefits (Latest Estimate)</t>
  </si>
  <si>
    <t>1234</t>
  </si>
  <si>
    <t>C1234_strat</t>
  </si>
  <si>
    <t>Net Recurring Benefit – Forecast (Latest Estimate)</t>
  </si>
  <si>
    <t>1154</t>
  </si>
  <si>
    <t>C1154_strat</t>
  </si>
  <si>
    <t>Net Recurring Benefits (Working Version)</t>
  </si>
  <si>
    <t>1274</t>
  </si>
  <si>
    <t>C1274_strat</t>
  </si>
  <si>
    <t>Net Recurring Benefits – Actuals (Latest Estimate)</t>
  </si>
  <si>
    <t>1150</t>
  </si>
  <si>
    <t>C1150_strat</t>
  </si>
  <si>
    <t>Net Recurring Benefits – LE (Latest Estimate)</t>
  </si>
  <si>
    <t>1146</t>
  </si>
  <si>
    <t>C1146_strat</t>
  </si>
  <si>
    <t>Net Recurring Benefits – LE (Plan)</t>
  </si>
  <si>
    <t>1148</t>
  </si>
  <si>
    <t>C1148_strat</t>
  </si>
  <si>
    <t>Net Recurring Benefits – Structural (Latest Est)</t>
  </si>
  <si>
    <t>1189</t>
  </si>
  <si>
    <t>C1189_strat</t>
  </si>
  <si>
    <t>Net Recurring Benefits – Volume (Latest Estimate)</t>
  </si>
  <si>
    <t>1195</t>
  </si>
  <si>
    <t>C1195_strat</t>
  </si>
  <si>
    <t>Net Recurring Benefits 25% Structural (FV)</t>
  </si>
  <si>
    <t>1188</t>
  </si>
  <si>
    <t>C1188_strat</t>
  </si>
  <si>
    <t>Net Recurring Benefits 25% Volume (FV)</t>
  </si>
  <si>
    <t>1193</t>
  </si>
  <si>
    <t>C1193_strat</t>
  </si>
  <si>
    <t>Net Recurring Benefits 50% S/50%V (FV)</t>
  </si>
  <si>
    <t>1187</t>
  </si>
  <si>
    <t>C1187_strat</t>
  </si>
  <si>
    <t>Net Recurring Benefits 75% Structural (FV)</t>
  </si>
  <si>
    <t>1186</t>
  </si>
  <si>
    <t>C1186_strat</t>
  </si>
  <si>
    <t>Net Recurring Benefits 75% Volume</t>
  </si>
  <si>
    <t>1194</t>
  </si>
  <si>
    <t>C1194_strat</t>
  </si>
  <si>
    <t>NotCrt</t>
  </si>
  <si>
    <t>Notes (NotCrt)</t>
  </si>
  <si>
    <t>NOTES_ICON</t>
  </si>
  <si>
    <t>1242</t>
  </si>
  <si>
    <t>NPV - Partial (Latest Estimate)</t>
  </si>
  <si>
    <t>1241</t>
  </si>
  <si>
    <t>C1241_strat</t>
  </si>
  <si>
    <t>NPV - Total Benefits CY (Latest Estimate)</t>
  </si>
  <si>
    <t>1239</t>
  </si>
  <si>
    <t>C1239_strat</t>
  </si>
  <si>
    <t>NPV - Total Costs Current Year (Latest Estimate)</t>
  </si>
  <si>
    <t>1238</t>
  </si>
  <si>
    <t>C1238_strat</t>
  </si>
  <si>
    <t>NPV - Total Future Costs (Latest Estimate)</t>
  </si>
  <si>
    <t>1237</t>
  </si>
  <si>
    <t>C1237_strat</t>
  </si>
  <si>
    <t>NPV - Total Incremental Benefits (Latest Estimate)</t>
  </si>
  <si>
    <t>1236</t>
  </si>
  <si>
    <t>C1236_strat</t>
  </si>
  <si>
    <t>NPV - Total Net Investment CY (Latest Estimate)</t>
  </si>
  <si>
    <t>1240</t>
  </si>
  <si>
    <t>C1240_strat</t>
  </si>
  <si>
    <t>NRB (Exit Rate) 2028 (Latest Estimate).</t>
  </si>
  <si>
    <t>1281</t>
  </si>
  <si>
    <t>NRB (Exit Rate) 2028 (Plan)</t>
  </si>
  <si>
    <t>1282</t>
  </si>
  <si>
    <t>C1282_strat</t>
  </si>
  <si>
    <t>NRB (Exit Rate) 2028 (Working Version)</t>
  </si>
  <si>
    <t>1283</t>
  </si>
  <si>
    <t>C1283_strat</t>
  </si>
  <si>
    <t>NRB (Exit Rate) Admin (Latest Estimate)</t>
  </si>
  <si>
    <t>1280</t>
  </si>
  <si>
    <t>C1280_strat</t>
  </si>
  <si>
    <t>NRB (Exit Rate) Current FY (Latest Estimate)</t>
  </si>
  <si>
    <t>1048</t>
  </si>
  <si>
    <t>NRB (Exit Rate) Current FY (Plan)</t>
  </si>
  <si>
    <t>1054</t>
  </si>
  <si>
    <t>C1054_strat</t>
  </si>
  <si>
    <t>NRB (Exit Rate) Current FY (Working Version)</t>
  </si>
  <si>
    <t>1272</t>
  </si>
  <si>
    <t>C1272_strat</t>
  </si>
  <si>
    <t>NRB 100% S (FV)</t>
  </si>
  <si>
    <t>1175</t>
  </si>
  <si>
    <t>C1175_strat</t>
  </si>
  <si>
    <t>NRB 100% V (FV)</t>
  </si>
  <si>
    <t>1192</t>
  </si>
  <si>
    <t>C1192_strat</t>
  </si>
  <si>
    <t>NRB 25% S/75% V (FV)</t>
  </si>
  <si>
    <t>1185</t>
  </si>
  <si>
    <t>C1185_strat</t>
  </si>
  <si>
    <t>NRB 50% S/50% V (FV)</t>
  </si>
  <si>
    <t>1184</t>
  </si>
  <si>
    <t>C1184_strat</t>
  </si>
  <si>
    <t>NRB 75% S/25% V (FV)</t>
  </si>
  <si>
    <t>1183</t>
  </si>
  <si>
    <t>C1183_strat</t>
  </si>
  <si>
    <t>Number of Projects</t>
  </si>
  <si>
    <t>PRJ_COUNT_PROD</t>
  </si>
  <si>
    <t>One time Benefits (Latest Estimate)</t>
  </si>
  <si>
    <t>C1167_strat</t>
  </si>
  <si>
    <t>One time Benefits (Plan)</t>
  </si>
  <si>
    <t>C1168_strat</t>
  </si>
  <si>
    <t>One time Benefits – Structural (Latest Estimate)</t>
  </si>
  <si>
    <t>C1204_strat</t>
  </si>
  <si>
    <t>One time Benefits – Volume (Latest Estimate)</t>
  </si>
  <si>
    <t>C1207_strat</t>
  </si>
  <si>
    <t>One time Benefits 100% S (FV)</t>
  </si>
  <si>
    <t>C1196_strat</t>
  </si>
  <si>
    <t>One time Benefits 100% V (FV)</t>
  </si>
  <si>
    <t>C1200_strat</t>
  </si>
  <si>
    <t>One time Benefits 25% S (FV)</t>
  </si>
  <si>
    <t>C1203_strat</t>
  </si>
  <si>
    <t>One time Benefits 25% S/75% V (FV)</t>
  </si>
  <si>
    <t>C1199_strat</t>
  </si>
  <si>
    <t>One time Benefits 25% V (FV)</t>
  </si>
  <si>
    <t>C1205_strat</t>
  </si>
  <si>
    <t>One time Benefits 50% S/50% V (FV)</t>
  </si>
  <si>
    <t>C1198_strat</t>
  </si>
  <si>
    <t>One time Benefits 50% Structural / 50% Volume (FV)</t>
  </si>
  <si>
    <t>C1202_strat</t>
  </si>
  <si>
    <t>One time Benefits 75% S (FV)</t>
  </si>
  <si>
    <t>C1201_strat</t>
  </si>
  <si>
    <t>One time Benefits 75% S/25% V (FV)</t>
  </si>
  <si>
    <t>C1197_strat</t>
  </si>
  <si>
    <t>One time Benefits 75% V (FV)</t>
  </si>
  <si>
    <t>C1206_strat</t>
  </si>
  <si>
    <t>One time Costs (Latest Estimate)</t>
  </si>
  <si>
    <t>C1246_strat</t>
  </si>
  <si>
    <t>One time Costs – Structural (Latest Estimate)</t>
  </si>
  <si>
    <t>C1216_strat</t>
  </si>
  <si>
    <t>One time Costs – Volume (Latest Estimate)</t>
  </si>
  <si>
    <t>C1219_strat</t>
  </si>
  <si>
    <t>One time Costs 100% S (FV)</t>
  </si>
  <si>
    <t>C1208_strat</t>
  </si>
  <si>
    <t>One time Costs 100% V (FV)</t>
  </si>
  <si>
    <t>C1209_strat</t>
  </si>
  <si>
    <t>One time Costs 25% S (FV)</t>
  </si>
  <si>
    <t>C1215_strat</t>
  </si>
  <si>
    <t>One time Costs 25% S/75% V (FV)</t>
  </si>
  <si>
    <t>C1210_strat</t>
  </si>
  <si>
    <t>One time Costs 25% V (FV)</t>
  </si>
  <si>
    <t>C1217_strat</t>
  </si>
  <si>
    <t>One time Costs 50% S/50% V (FV)</t>
  </si>
  <si>
    <t>C1211_strat</t>
  </si>
  <si>
    <t>One time Costs 50% Structural/50% Volume (FV)</t>
  </si>
  <si>
    <t>C1214_strat</t>
  </si>
  <si>
    <t>One time Costs 75% S (FV)</t>
  </si>
  <si>
    <t>C1213_strat</t>
  </si>
  <si>
    <t>One time Costs 75% S/25% V (FV)</t>
  </si>
  <si>
    <t>C1212_strat</t>
  </si>
  <si>
    <t>One time Costs 75% V (FV)</t>
  </si>
  <si>
    <t>C1218_strat</t>
  </si>
  <si>
    <t>One time Expenses – Biz (Latest Estimate)</t>
  </si>
  <si>
    <t>C1170_strat</t>
  </si>
  <si>
    <t>One time Expenses – Biz (Plan)</t>
  </si>
  <si>
    <t>C1172_strat</t>
  </si>
  <si>
    <t>One time Expenses – IT (Latest Estimate)</t>
  </si>
  <si>
    <t>C1169_strat</t>
  </si>
  <si>
    <t>One time Expenses – IT (Plan)</t>
  </si>
  <si>
    <t>C1171_strat</t>
  </si>
  <si>
    <t>One- time Benefits 100% S (FV)</t>
  </si>
  <si>
    <t>1196</t>
  </si>
  <si>
    <t>One-time Benefits (Latest Estimate)</t>
  </si>
  <si>
    <t>1167</t>
  </si>
  <si>
    <t>C1167_plan</t>
  </si>
  <si>
    <t>One-time Benefits (Plan)</t>
  </si>
  <si>
    <t>1168</t>
  </si>
  <si>
    <t>One-time Benefits (Working Version)</t>
  </si>
  <si>
    <t>1260</t>
  </si>
  <si>
    <t>C1260_plan</t>
  </si>
  <si>
    <t>C1260_prod</t>
  </si>
  <si>
    <t>C1260_strat</t>
  </si>
  <si>
    <t>One-time Benefits – Structural (Latest Estimate)</t>
  </si>
  <si>
    <t>1204</t>
  </si>
  <si>
    <t>One-time Benefits – Volume (Latest Estimate)</t>
  </si>
  <si>
    <t>1207</t>
  </si>
  <si>
    <t>One-time Benefits 100% V (FV)</t>
  </si>
  <si>
    <t>1200</t>
  </si>
  <si>
    <t>One-time Benefits 25% S (FV)</t>
  </si>
  <si>
    <t>1203</t>
  </si>
  <si>
    <t>One-time Benefits 25% S/75% V (FV)</t>
  </si>
  <si>
    <t>1199</t>
  </si>
  <si>
    <t>One-time Benefits 25% V (FV)</t>
  </si>
  <si>
    <t>1205</t>
  </si>
  <si>
    <t>One-time Benefits 50% S/50% V (FV)</t>
  </si>
  <si>
    <t>1198</t>
  </si>
  <si>
    <t>One-time Benefits 50% Structural / 50% Volume (FV)</t>
  </si>
  <si>
    <t>1202</t>
  </si>
  <si>
    <t>One-time Benefits 75% S (FV)</t>
  </si>
  <si>
    <t>1201</t>
  </si>
  <si>
    <t>One-time Benefits 75% S/25% V (FV)</t>
  </si>
  <si>
    <t>1197</t>
  </si>
  <si>
    <t>One-time Benefits 75% V (FV)</t>
  </si>
  <si>
    <t>1206</t>
  </si>
  <si>
    <t>One-time Costs (Latest Estimate)</t>
  </si>
  <si>
    <t>1246</t>
  </si>
  <si>
    <t>One-time Costs – Structural (Latest Estimate)</t>
  </si>
  <si>
    <t>1216</t>
  </si>
  <si>
    <t>One-time Costs – Volume (Latest Estimate)</t>
  </si>
  <si>
    <t>1219</t>
  </si>
  <si>
    <t>One-time Costs 100% S (FV)</t>
  </si>
  <si>
    <t>1208</t>
  </si>
  <si>
    <t>One-time Costs 100% V (FV)</t>
  </si>
  <si>
    <t>1209</t>
  </si>
  <si>
    <t>One-time Costs 25% S (FV)</t>
  </si>
  <si>
    <t>1215</t>
  </si>
  <si>
    <t>One-time Costs 25% S/75% V (FV)</t>
  </si>
  <si>
    <t>1210</t>
  </si>
  <si>
    <t>One-time Costs 25% V (FV)</t>
  </si>
  <si>
    <t>1217</t>
  </si>
  <si>
    <t>One-time Costs 50% S/50% V (FV)</t>
  </si>
  <si>
    <t>1211</t>
  </si>
  <si>
    <t>One-time Costs 50% Structural/50% Volume (FV)</t>
  </si>
  <si>
    <t>1214</t>
  </si>
  <si>
    <t>One-time Costs 75% S (FV)</t>
  </si>
  <si>
    <t>1213</t>
  </si>
  <si>
    <t>One-time Costs 75% S/25% V (FV)</t>
  </si>
  <si>
    <t>1212</t>
  </si>
  <si>
    <t>One-time Costs 75% V (FV)</t>
  </si>
  <si>
    <t>1218</t>
  </si>
  <si>
    <t>One-time Expenses – Biz (Latest Estimate)</t>
  </si>
  <si>
    <t>1170</t>
  </si>
  <si>
    <t>One-time Expenses – Biz (Plan)</t>
  </si>
  <si>
    <t>1172</t>
  </si>
  <si>
    <t>One-time Expenses – IT (Latest Estimate)</t>
  </si>
  <si>
    <t>1169</t>
  </si>
  <si>
    <t>One-time Expenses – IT (Plan)</t>
  </si>
  <si>
    <t>1171</t>
  </si>
  <si>
    <t>Organizational Resource</t>
  </si>
  <si>
    <t>ORG_RES</t>
  </si>
  <si>
    <t>Other Information about the Service</t>
  </si>
  <si>
    <t>SCAT_OTHERINFO</t>
  </si>
  <si>
    <t>Outcome Benefits</t>
  </si>
  <si>
    <t>BENEFIT_PROD</t>
  </si>
  <si>
    <t>Outcome Content, Link</t>
  </si>
  <si>
    <t>CONTENT_LINK_PROD</t>
  </si>
  <si>
    <t>Link</t>
  </si>
  <si>
    <t>Outcome Cost</t>
  </si>
  <si>
    <t>COST_PROD</t>
  </si>
  <si>
    <t>Outcome Image</t>
  </si>
  <si>
    <t>IMAGE_PROD</t>
  </si>
  <si>
    <t>Outcome Lifecycle Stage</t>
  </si>
  <si>
    <t>PBS1</t>
  </si>
  <si>
    <t>Outcome Priority</t>
  </si>
  <si>
    <t>PBS7</t>
  </si>
  <si>
    <t>Outcome Roadmap</t>
  </si>
  <si>
    <t>GANTT_PROD</t>
  </si>
  <si>
    <t>Outcome Seq ID</t>
  </si>
  <si>
    <t>PROD_STRUCTURE_CODE</t>
  </si>
  <si>
    <t>Outcome Stage</t>
  </si>
  <si>
    <t>PBS6</t>
  </si>
  <si>
    <t>Outcome Status</t>
  </si>
  <si>
    <t>PBS2</t>
  </si>
  <si>
    <t>Proposed/Requested</t>
  </si>
  <si>
    <t>Outcome Type</t>
  </si>
  <si>
    <t>PBS8</t>
  </si>
  <si>
    <t>Solution</t>
  </si>
  <si>
    <t>Outcome URL</t>
  </si>
  <si>
    <t>URL_PROD</t>
  </si>
  <si>
    <t>Overdue Timesheets</t>
  </si>
  <si>
    <t>TS_OVERDUE_RES</t>
  </si>
  <si>
    <t>Parent Description</t>
  </si>
  <si>
    <t>PARENT_DESCR_RES</t>
  </si>
  <si>
    <t>PEL/Solution Management Approver 1</t>
  </si>
  <si>
    <t>LC_ROLE96104_PLAN</t>
  </si>
  <si>
    <t>PEL/Solution Management Approver 2</t>
  </si>
  <si>
    <t>LC_ROLE96105_PLAN</t>
  </si>
  <si>
    <t>PEL/Solution Mgmt Approver 1: Approved for L3?</t>
  </si>
  <si>
    <t>Wbs96</t>
  </si>
  <si>
    <t>PEL/Solution Mgmt Approver 2: Approved for L3?</t>
  </si>
  <si>
    <t>Wbs97</t>
  </si>
  <si>
    <t>PEO</t>
  </si>
  <si>
    <t>LC_ROLE96100_PLAN</t>
  </si>
  <si>
    <t>Placement</t>
  </si>
  <si>
    <t>MW_PLACEMENT</t>
  </si>
  <si>
    <t>Planned Effort</t>
  </si>
  <si>
    <t>LIST_PLANNED_EFFORT</t>
  </si>
  <si>
    <t>Platform PEO</t>
  </si>
  <si>
    <t>LC_ROLE5525_STRAT</t>
  </si>
  <si>
    <t>Platform Portfolio Greenlight</t>
  </si>
  <si>
    <t>Str105</t>
  </si>
  <si>
    <t>Platform Portfolio Size Estimate</t>
  </si>
  <si>
    <t>Str126</t>
  </si>
  <si>
    <t>Pod</t>
  </si>
  <si>
    <t>level_5_strat</t>
  </si>
  <si>
    <t>Points</t>
  </si>
  <si>
    <t>LIST_POINTS</t>
  </si>
  <si>
    <t>Points, Earned</t>
  </si>
  <si>
    <t>LIST_POINTS_EAR_PLAN</t>
  </si>
  <si>
    <t>Points, Planned</t>
  </si>
  <si>
    <t>LIST_POINTS_PLN_PLAN</t>
  </si>
  <si>
    <t>PP Activity Status</t>
  </si>
  <si>
    <t>PPActSt</t>
  </si>
  <si>
    <t>PP Blocked</t>
  </si>
  <si>
    <t>PPBlocked</t>
  </si>
  <si>
    <t>PP Cost Status</t>
  </si>
  <si>
    <t>PPCostSt</t>
  </si>
  <si>
    <t>PP Created By</t>
  </si>
  <si>
    <t>PP_CARD_CREATED_BY</t>
  </si>
  <si>
    <t>PP_CARD_LINK_TXT</t>
  </si>
  <si>
    <t>PP_CARD_LINK_URL</t>
  </si>
  <si>
    <t>PP Label</t>
  </si>
  <si>
    <t>PP_CARD_LABEL</t>
  </si>
  <si>
    <t>PP Milestone Status</t>
  </si>
  <si>
    <t>PPMileSt</t>
  </si>
  <si>
    <t>PP Project Status</t>
  </si>
  <si>
    <t>PPPrjSt</t>
  </si>
  <si>
    <t>PP Quality Status</t>
  </si>
  <si>
    <t>PPQualSt</t>
  </si>
  <si>
    <t>PP Sentiment Score</t>
  </si>
  <si>
    <t>PP_SENTI_SCORE</t>
  </si>
  <si>
    <t>PP Tags</t>
  </si>
  <si>
    <t>PP_TAGS</t>
  </si>
  <si>
    <t>PP Time Status</t>
  </si>
  <si>
    <t>PPTimeSt</t>
  </si>
  <si>
    <t>PP Updated By</t>
  </si>
  <si>
    <t>PP_CARD_UPDATED_BY</t>
  </si>
  <si>
    <t>Predecessors</t>
  </si>
  <si>
    <t>CPM_PREDEC</t>
  </si>
  <si>
    <t>Previous  Actual</t>
  </si>
  <si>
    <t>EFFORT_ACTUAL_PREV</t>
  </si>
  <si>
    <t>Previous Actual-Roll Up</t>
  </si>
  <si>
    <t>EFF_ACTUAL_PREV_SUM</t>
  </si>
  <si>
    <t>Previous Effort Total</t>
  </si>
  <si>
    <t>EFFORT_AC_PREV</t>
  </si>
  <si>
    <t>Previous Effort Total - Roll Up</t>
  </si>
  <si>
    <t>EFF_AC_PREV_SUM</t>
  </si>
  <si>
    <t>Previous Finish</t>
  </si>
  <si>
    <t>PREVIOUS_FINISH</t>
  </si>
  <si>
    <t>Previous Percent Complete</t>
  </si>
  <si>
    <t>PERCENT_COMPL_PREV</t>
  </si>
  <si>
    <t>Previous Remain</t>
  </si>
  <si>
    <t>EFFORT_REMAIN_PREV</t>
  </si>
  <si>
    <t>Previous Remain-Roll Up</t>
  </si>
  <si>
    <t>EFF_REMAIN_PREV_SUM</t>
  </si>
  <si>
    <t>Previous Required</t>
  </si>
  <si>
    <t>EFFORT_ESTIMATE_PREV</t>
  </si>
  <si>
    <t>Previous Required-Roll Up</t>
  </si>
  <si>
    <t>EFF_EST_PREV_SUM</t>
  </si>
  <si>
    <t>Previous Reserved</t>
  </si>
  <si>
    <t>EFFORT_RESERVED_PREV</t>
  </si>
  <si>
    <t>Previous Reserved-Roll Up</t>
  </si>
  <si>
    <t>EFF_RSV_PREV_SUM</t>
  </si>
  <si>
    <t>Previous Start</t>
  </si>
  <si>
    <t>PREVIOUS_START</t>
  </si>
  <si>
    <t>Primary DRIVE Domain Lead Name</t>
  </si>
  <si>
    <t>LC_ROLE3396_STRAT</t>
  </si>
  <si>
    <t>Primary Resource Role</t>
  </si>
  <si>
    <t>ROLE_PRIM_RES</t>
  </si>
  <si>
    <t>Primary Team</t>
  </si>
  <si>
    <t>PRIM_TEAM_RES</t>
  </si>
  <si>
    <t>Progress As Planned</t>
  </si>
  <si>
    <t>PROGRESS_AS_PLANNED</t>
  </si>
  <si>
    <t>Progress Requirement Options</t>
  </si>
  <si>
    <t>Wbs15</t>
  </si>
  <si>
    <t>Maintain Pending Effort</t>
  </si>
  <si>
    <t>Progress Reserves Options</t>
  </si>
  <si>
    <t>Wbs17</t>
  </si>
  <si>
    <t>Expire Effort and Respect Finish Dates</t>
  </si>
  <si>
    <t>Progress Tasks &amp; Allocations Options</t>
  </si>
  <si>
    <t>Wbs16</t>
  </si>
  <si>
    <t>Project Administrator</t>
  </si>
  <si>
    <t>PW_PROJ_ADM</t>
  </si>
  <si>
    <t>Projected Date</t>
  </si>
  <si>
    <t>ST_PROJECTED_DATE</t>
  </si>
  <si>
    <t>Projected Estimate</t>
  </si>
  <si>
    <t>ST_PROJECTED_EFFORT</t>
  </si>
  <si>
    <t>ProjectPlace Template</t>
  </si>
  <si>
    <t>PPTpl</t>
  </si>
  <si>
    <t>ProjectPlace Visibility</t>
  </si>
  <si>
    <t>PPVis</t>
  </si>
  <si>
    <t>Proposed Duration</t>
  </si>
  <si>
    <t>TARGET_DUR</t>
  </si>
  <si>
    <t>Proposed Finish</t>
  </si>
  <si>
    <t>TARGET_FINISH</t>
  </si>
  <si>
    <t>Proposed Start</t>
  </si>
  <si>
    <t>TARGET_START</t>
  </si>
  <si>
    <t>Providing Organization</t>
  </si>
  <si>
    <t>Cbs1</t>
  </si>
  <si>
    <t>Published By</t>
  </si>
  <si>
    <t>PUBLISHED_BY_PLAN</t>
  </si>
  <si>
    <t>PUBLISHED_BY_PROD</t>
  </si>
  <si>
    <t>PUBLISHED_BY_STRAT</t>
  </si>
  <si>
    <t>Published From</t>
  </si>
  <si>
    <t>PUBLISHED_FROM_PLAN</t>
  </si>
  <si>
    <t>PUBLISHED_FROM_PROD</t>
  </si>
  <si>
    <t>PUBLISHED_FROM_STRAT</t>
  </si>
  <si>
    <t>Published On</t>
  </si>
  <si>
    <t>PUBLISHED_ON_PLAN</t>
  </si>
  <si>
    <t>PUBLISHED_ON_PROD</t>
  </si>
  <si>
    <t>PUBLISHED_ON_STRAT</t>
  </si>
  <si>
    <t>Published Rank</t>
  </si>
  <si>
    <t>PUBLISHED_RANK_PLAN</t>
  </si>
  <si>
    <t>PUBLISHED_RANK_PROD</t>
  </si>
  <si>
    <t>PUBLISHED_RANK_STRAT</t>
  </si>
  <si>
    <t>Rank</t>
  </si>
  <si>
    <t>RANK_LIST</t>
  </si>
  <si>
    <t>Ready for SL1?</t>
  </si>
  <si>
    <t>Ready for SL3?</t>
  </si>
  <si>
    <t>Str66</t>
  </si>
  <si>
    <t>Recoverable Flag</t>
  </si>
  <si>
    <t>Wbs10</t>
  </si>
  <si>
    <t>Recoverable</t>
  </si>
  <si>
    <t>Recurring Benefits (Latest Estimate)</t>
  </si>
  <si>
    <t>1141</t>
  </si>
  <si>
    <t>C1141_plan</t>
  </si>
  <si>
    <t>C1141_strat</t>
  </si>
  <si>
    <t>Recurring Benefits (Plan)</t>
  </si>
  <si>
    <t>1142</t>
  </si>
  <si>
    <t>C1142_strat</t>
  </si>
  <si>
    <t>Recurring Benefits (Working Version)</t>
  </si>
  <si>
    <t>1247</t>
  </si>
  <si>
    <t>C1247_plan</t>
  </si>
  <si>
    <t>C1247_prod</t>
  </si>
  <si>
    <t>C1247_strat</t>
  </si>
  <si>
    <t>Recurring Benefits – Actuals (Latest Estimate)</t>
  </si>
  <si>
    <t>1143</t>
  </si>
  <si>
    <t>C1143_strat</t>
  </si>
  <si>
    <t>Recurring Benefits – Forecast (Latest Estimate)</t>
  </si>
  <si>
    <t>1144</t>
  </si>
  <si>
    <t>C1144_strat</t>
  </si>
  <si>
    <t>Recurring Benefits 100% S (FV)</t>
  </si>
  <si>
    <t>1173</t>
  </si>
  <si>
    <t>C1173_strat</t>
  </si>
  <si>
    <t>Recurring Benefits 100% V (FV)</t>
  </si>
  <si>
    <t>1190</t>
  </si>
  <si>
    <t>C1190_strat</t>
  </si>
  <si>
    <t>Recurring Benefits 25% S/75% V (FV)</t>
  </si>
  <si>
    <t>1180</t>
  </si>
  <si>
    <t>C1180_strat</t>
  </si>
  <si>
    <t>Recurring Benefits 50%S/50% V (FV)</t>
  </si>
  <si>
    <t>1178</t>
  </si>
  <si>
    <t>C1178_strat</t>
  </si>
  <si>
    <t>Recurring Benefits 75% S/25% V (FV)</t>
  </si>
  <si>
    <t>1176</t>
  </si>
  <si>
    <t>C1176_strat</t>
  </si>
  <si>
    <t>Recurring Costs (Latest Estimate)</t>
  </si>
  <si>
    <t>1145</t>
  </si>
  <si>
    <t>C1145_strat</t>
  </si>
  <si>
    <t>Recurring Costs (Plan)</t>
  </si>
  <si>
    <t>1147</t>
  </si>
  <si>
    <t>C1147_strat</t>
  </si>
  <si>
    <t>Recurring Costs (Working Version)</t>
  </si>
  <si>
    <t>1273</t>
  </si>
  <si>
    <t>C1273_strat</t>
  </si>
  <si>
    <t>Recurring Costs – Actuals (Latest Estimate)</t>
  </si>
  <si>
    <t>1149</t>
  </si>
  <si>
    <t>C1149_strat</t>
  </si>
  <si>
    <t>Recurring Costs – Forecast (Latest Estimate)</t>
  </si>
  <si>
    <t>1153</t>
  </si>
  <si>
    <t>C1153_strat</t>
  </si>
  <si>
    <t>Recurring Costs 100% S (FV)</t>
  </si>
  <si>
    <t>1174</t>
  </si>
  <si>
    <t>C1174_strat</t>
  </si>
  <si>
    <t>Recurring Costs 100% V (FV)</t>
  </si>
  <si>
    <t>1191</t>
  </si>
  <si>
    <t>C1191_strat</t>
  </si>
  <si>
    <t>Recurring Costs 25% S/75% V (FV)</t>
  </si>
  <si>
    <t>1181</t>
  </si>
  <si>
    <t>C1181_strat</t>
  </si>
  <si>
    <t>Recurring Costs 50% S/50% V (FV)</t>
  </si>
  <si>
    <t>1179</t>
  </si>
  <si>
    <t>C1179_strat</t>
  </si>
  <si>
    <t>Recurring Costs 75% S/25% V (FV)</t>
  </si>
  <si>
    <t>1177</t>
  </si>
  <si>
    <t>C1177_strat</t>
  </si>
  <si>
    <t>Region</t>
  </si>
  <si>
    <t>Str46</t>
  </si>
  <si>
    <t>Relative Market Share</t>
  </si>
  <si>
    <t>PBS3</t>
  </si>
  <si>
    <t>Release</t>
  </si>
  <si>
    <t>Wbs12_PLAN</t>
  </si>
  <si>
    <t>Releases ($Release)</t>
  </si>
  <si>
    <t>RELEASE_DATE_PROD</t>
  </si>
  <si>
    <t>Release Detail</t>
  </si>
  <si>
    <t>RELEASE_DETAIL</t>
  </si>
  <si>
    <t>Release Name</t>
  </si>
  <si>
    <t>RELEASE_PROD</t>
  </si>
  <si>
    <t>Remain Alloc.</t>
  </si>
  <si>
    <t>MW_REMAIN</t>
  </si>
  <si>
    <t>Remarks</t>
  </si>
  <si>
    <t>ASSN_REMARK</t>
  </si>
  <si>
    <t>Reported - This Period</t>
  </si>
  <si>
    <t>REPORTED_PRD</t>
  </si>
  <si>
    <t>Request Status</t>
  </si>
  <si>
    <t>WR1</t>
  </si>
  <si>
    <t>New</t>
  </si>
  <si>
    <t>Request Type</t>
  </si>
  <si>
    <t>WR44</t>
  </si>
  <si>
    <t>Requested By</t>
  </si>
  <si>
    <t>ASSN_RQ_BY</t>
  </si>
  <si>
    <t>ST_REQUESTED_BY</t>
  </si>
  <si>
    <t>Requested Finish Variance</t>
  </si>
  <si>
    <t>REQ_VAR</t>
  </si>
  <si>
    <t>Requested On</t>
  </si>
  <si>
    <t>ASSN_RQ_ON</t>
  </si>
  <si>
    <t xml:space="preserve">ST_REQUESTED_ON </t>
  </si>
  <si>
    <t>Requester</t>
  </si>
  <si>
    <t>REQ_REQUESTED_BY</t>
  </si>
  <si>
    <t>REQUEST_ALLO</t>
  </si>
  <si>
    <t>Requirement ID</t>
  </si>
  <si>
    <t>ASSN_REQ_ID</t>
  </si>
  <si>
    <t>Requirement Name</t>
  </si>
  <si>
    <t>ASSN_REQ_DESCR</t>
  </si>
  <si>
    <t>Resolution</t>
  </si>
  <si>
    <t>TICKET02</t>
  </si>
  <si>
    <t>Resolution Date</t>
  </si>
  <si>
    <t>ST_ACTUAL_DATE</t>
  </si>
  <si>
    <t>Resource Calendar</t>
  </si>
  <si>
    <t>CALENDAR_RES</t>
  </si>
  <si>
    <t>Resource Comments</t>
  </si>
  <si>
    <t>COMMENT_RES</t>
  </si>
  <si>
    <t>Resource Name</t>
  </si>
  <si>
    <t>ASSN_RES_CODE_DESCR</t>
  </si>
  <si>
    <t>Resource Quantity</t>
  </si>
  <si>
    <t>QTY_RES</t>
  </si>
  <si>
    <t>Resource Role</t>
  </si>
  <si>
    <t>Obs20</t>
  </si>
  <si>
    <t>Resource Roles</t>
  </si>
  <si>
    <t>ROLE_RES</t>
  </si>
  <si>
    <t>Resource Seq. ID</t>
  </si>
  <si>
    <t>STRUCTURE_CODE_RES</t>
  </si>
  <si>
    <t>Resource System Activation Date</t>
  </si>
  <si>
    <t>START_DATE_RES</t>
  </si>
  <si>
    <t>Resource System Deactivation Date</t>
  </si>
  <si>
    <t>TERM_DATE_RES</t>
  </si>
  <si>
    <t>Resource Type</t>
  </si>
  <si>
    <t>Obs30</t>
  </si>
  <si>
    <t>Resource Vendor</t>
  </si>
  <si>
    <t>AGR3</t>
  </si>
  <si>
    <t>RES_LIST</t>
  </si>
  <si>
    <t>Resources, Allocated</t>
  </si>
  <si>
    <t>RES_ALLO</t>
  </si>
  <si>
    <t>Resources, Allocated With ResourceCode</t>
  </si>
  <si>
    <t>RES_ALLO_RESCODE</t>
  </si>
  <si>
    <t>Resources, Required</t>
  </si>
  <si>
    <t>RES_REQ</t>
  </si>
  <si>
    <t>Resources, Reserved</t>
  </si>
  <si>
    <t>RES_RSRV</t>
  </si>
  <si>
    <t>Resourcing Status</t>
  </si>
  <si>
    <t>Wbs723</t>
  </si>
  <si>
    <t>Reviewed responses above with Leadership?</t>
  </si>
  <si>
    <t>Str79</t>
  </si>
  <si>
    <t>Risk (Risk)</t>
  </si>
  <si>
    <t>CRI8</t>
  </si>
  <si>
    <t>Risk Probability</t>
  </si>
  <si>
    <t>Rsk30</t>
  </si>
  <si>
    <t>Risk Scoring 1 - Required Date</t>
  </si>
  <si>
    <t>Wbs61</t>
  </si>
  <si>
    <t>Risk Scoring 2 - Impact on Resources</t>
  </si>
  <si>
    <t>Wbs62</t>
  </si>
  <si>
    <t>Risk Scoring 3 - Technical Complexity</t>
  </si>
  <si>
    <t>Wbs63</t>
  </si>
  <si>
    <t>Risk Scoring 4 - Constraint by Time, Money or Qual</t>
  </si>
  <si>
    <t>Wbs64</t>
  </si>
  <si>
    <t>Risk Scoring 5 - Expertise Availability</t>
  </si>
  <si>
    <t>Wbs65</t>
  </si>
  <si>
    <t>Rsk31</t>
  </si>
  <si>
    <t>Risks, Active</t>
  </si>
  <si>
    <t>R_ACTIVE_COUNT</t>
  </si>
  <si>
    <t>Risks, Total</t>
  </si>
  <si>
    <t>R_COUNT</t>
  </si>
  <si>
    <t>Risks,total</t>
  </si>
  <si>
    <t>R_COUNT_PROD</t>
  </si>
  <si>
    <t>1235</t>
  </si>
  <si>
    <t>Root Cause</t>
  </si>
  <si>
    <t>Wbs715</t>
  </si>
  <si>
    <t>Schedule Duration</t>
  </si>
  <si>
    <t>SCHEDULE_DUR</t>
  </si>
  <si>
    <t>ASSN_FINISH</t>
  </si>
  <si>
    <t>ASSN_START</t>
  </si>
  <si>
    <t>Schedule Variance</t>
  </si>
  <si>
    <t>SCHEDULE_VAR</t>
  </si>
  <si>
    <t>LK_E1_SCHED_VR_STR</t>
  </si>
  <si>
    <t>Scheduling Status</t>
  </si>
  <si>
    <t>Wbs722</t>
  </si>
  <si>
    <t>Scoring 1 - Regulatory and Compliance</t>
  </si>
  <si>
    <t>Wbs41</t>
  </si>
  <si>
    <t>Scoring 2 - Securing New Business</t>
  </si>
  <si>
    <t>Wbs42</t>
  </si>
  <si>
    <t>Scoring 3 - Financial Business Impact</t>
  </si>
  <si>
    <t>Wbs43</t>
  </si>
  <si>
    <t>Scoring 4 - Reduction in Business Risk</t>
  </si>
  <si>
    <t>Wbs44</t>
  </si>
  <si>
    <t>Scoring 5 - Contribution to Business Strategy</t>
  </si>
  <si>
    <t>Wbs45</t>
  </si>
  <si>
    <t>Scoring 6 - Cross Business Impacts</t>
  </si>
  <si>
    <t>Wbs46</t>
  </si>
  <si>
    <t>Sentiment Score</t>
  </si>
  <si>
    <t>SENTIMENT_SCORE_PLAN</t>
  </si>
  <si>
    <t>Seq.ID</t>
  </si>
  <si>
    <t>MW_SEQID</t>
  </si>
  <si>
    <t>Service Catalog Provider (REDUNDANT)</t>
  </si>
  <si>
    <t>SCAT2</t>
  </si>
  <si>
    <t>Service Catalog Status (REDUNDANT)</t>
  </si>
  <si>
    <t>SCAT1</t>
  </si>
  <si>
    <t>Service Description</t>
  </si>
  <si>
    <t>TICKET01</t>
  </si>
  <si>
    <t>Shared Assignments - ProjectPlace</t>
  </si>
  <si>
    <t>PPShAsgn</t>
  </si>
  <si>
    <t>SharePoint</t>
  </si>
  <si>
    <t>SHAREPOINT</t>
  </si>
  <si>
    <t>SHAREPOINT_PROD</t>
  </si>
  <si>
    <t>Skill</t>
  </si>
  <si>
    <t>SL1: Approved for L1?</t>
  </si>
  <si>
    <t>Slippage</t>
  </si>
  <si>
    <t>SLIPPAGE</t>
  </si>
  <si>
    <t>Slipped Tasks</t>
  </si>
  <si>
    <t>SLIPPED</t>
  </si>
  <si>
    <t>Spare</t>
  </si>
  <si>
    <t>Com2</t>
  </si>
  <si>
    <t>Obs</t>
  </si>
  <si>
    <t>Obs7</t>
  </si>
  <si>
    <t>Resp</t>
  </si>
  <si>
    <t>spare</t>
  </si>
  <si>
    <t>Wbs100</t>
  </si>
  <si>
    <t>Wbs101</t>
  </si>
  <si>
    <t>Wbs13</t>
  </si>
  <si>
    <t>Wbs14</t>
  </si>
  <si>
    <t>Wbs23</t>
  </si>
  <si>
    <t>Wbs6</t>
  </si>
  <si>
    <t>Wbs88</t>
  </si>
  <si>
    <t>Wbs9</t>
  </si>
  <si>
    <t>Wbs99</t>
  </si>
  <si>
    <t>Spare Multi-Select</t>
  </si>
  <si>
    <t>Obs5</t>
  </si>
  <si>
    <t>Obs6</t>
  </si>
  <si>
    <t>Spent</t>
  </si>
  <si>
    <t>MW_SPENT</t>
  </si>
  <si>
    <t>Sponsor Name</t>
  </si>
  <si>
    <t>Sprint Finish (REDUNDANT)</t>
  </si>
  <si>
    <t>SPRINT_FINISH</t>
  </si>
  <si>
    <t>Sprint Start (REDUNDANT)</t>
  </si>
  <si>
    <t>SPRINT_START</t>
  </si>
  <si>
    <t>A: L0</t>
  </si>
  <si>
    <t>Standard Activity Type</t>
  </si>
  <si>
    <t>ASSN_STD_ACT_TYPE</t>
  </si>
  <si>
    <t>Start Up Cost</t>
  </si>
  <si>
    <t>SCAT_STARTUP_COST</t>
  </si>
  <si>
    <t>State</t>
  </si>
  <si>
    <t>ASSN_STATE</t>
  </si>
  <si>
    <t>CRI2</t>
  </si>
  <si>
    <t>Open</t>
  </si>
  <si>
    <t>Story Points Earned-Roll Up</t>
  </si>
  <si>
    <t>POINTS_EARNED_SUM</t>
  </si>
  <si>
    <t>Story Points Planned-Roll Up</t>
  </si>
  <si>
    <t>POINTS_PLANNED_SUM</t>
  </si>
  <si>
    <t>Strategic Roadmap</t>
  </si>
  <si>
    <t>GANTT_STRAT</t>
  </si>
  <si>
    <t>Strategic Theme</t>
  </si>
  <si>
    <t>WR52</t>
  </si>
  <si>
    <t>Strategy Milestone</t>
  </si>
  <si>
    <t>STRATEGY_MILESTONE</t>
  </si>
  <si>
    <t>Strategy Seq ID</t>
  </si>
  <si>
    <t>STRAT_STRUCTURE_CODE</t>
  </si>
  <si>
    <t>Structural and/or Volume Impacts</t>
  </si>
  <si>
    <t>Str37</t>
  </si>
  <si>
    <t>Submit for Triage</t>
  </si>
  <si>
    <t>Submitted to Triage</t>
  </si>
  <si>
    <t>FD_REQ_SUBMT_TRIAGE</t>
  </si>
  <si>
    <t>FD_ST_SUBMT_TRIAGE</t>
  </si>
  <si>
    <t>Successors</t>
  </si>
  <si>
    <t>CPM_SUCCES</t>
  </si>
  <si>
    <t>Supply Chain Operations PEO</t>
  </si>
  <si>
    <t>LC_ROLE5527_STRAT</t>
  </si>
  <si>
    <t>Supply Chain Operations Portfolio Greenlight</t>
  </si>
  <si>
    <t>Str108</t>
  </si>
  <si>
    <t>Supply Chain Portfolio Size Estimate</t>
  </si>
  <si>
    <t>Str125</t>
  </si>
  <si>
    <t>Support Tickets</t>
  </si>
  <si>
    <t>$SR</t>
  </si>
  <si>
    <t>SVP Finance</t>
  </si>
  <si>
    <t>LC_ROLE3435_STRAT</t>
  </si>
  <si>
    <t>Sync with CTM</t>
  </si>
  <si>
    <t>SyncTroux</t>
  </si>
  <si>
    <t>Sync with ProjectPlace</t>
  </si>
  <si>
    <t>PPSync</t>
  </si>
  <si>
    <t>ST_TARGET_DATE</t>
  </si>
  <si>
    <t>TARGET_DATE_LIST</t>
  </si>
  <si>
    <t>Target Duration</t>
  </si>
  <si>
    <t>STRAT_TARGET_DUR</t>
  </si>
  <si>
    <t>Target Estimate</t>
  </si>
  <si>
    <t>ST_ESTIMATED_EFFORT</t>
  </si>
  <si>
    <t>STRAT_TARGET_FINISH</t>
  </si>
  <si>
    <t>Target Finish Variance</t>
  </si>
  <si>
    <t>STRAT_TARGET_VAR</t>
  </si>
  <si>
    <t>STRAT_TARGET_START</t>
  </si>
  <si>
    <t>Team</t>
  </si>
  <si>
    <t>TEAM_CODE_LIST</t>
  </si>
  <si>
    <t>Teamcenter (REDUNDANT)</t>
  </si>
  <si>
    <t>TEAM_CENTER</t>
  </si>
  <si>
    <t>Teams</t>
  </si>
  <si>
    <t>Technology Component</t>
  </si>
  <si>
    <t>Wbs87</t>
  </si>
  <si>
    <t>Ticket Status</t>
  </si>
  <si>
    <t>Wbs21</t>
  </si>
  <si>
    <t>Requested</t>
  </si>
  <si>
    <t>Ticketable Flag</t>
  </si>
  <si>
    <t>TICKETABLE_IND</t>
  </si>
  <si>
    <t>Tickets, Active</t>
  </si>
  <si>
    <t>TKT_ACTIVE_COUNT</t>
  </si>
  <si>
    <t>Tickets, Link</t>
  </si>
  <si>
    <t>TKT_LINK</t>
  </si>
  <si>
    <t>Tickets, Total</t>
  </si>
  <si>
    <t>TKT_COUNT</t>
  </si>
  <si>
    <t>Time and Billing Control</t>
  </si>
  <si>
    <t>ResType</t>
  </si>
  <si>
    <t>Time Reported Flag</t>
  </si>
  <si>
    <t>HAS_TIME_REPORTED</t>
  </si>
  <si>
    <t>Time to Value</t>
  </si>
  <si>
    <t>Str99</t>
  </si>
  <si>
    <t>Timesheet Hours Per Week</t>
  </si>
  <si>
    <t>HOURS_WEEK_RES</t>
  </si>
  <si>
    <t>Timesheets Submitted</t>
  </si>
  <si>
    <t>TS_NUM_RES</t>
  </si>
  <si>
    <t>Timesheets To Approve</t>
  </si>
  <si>
    <t>AP_NEEDED_RES</t>
  </si>
  <si>
    <t>Title</t>
  </si>
  <si>
    <t>MW_TITLE</t>
  </si>
  <si>
    <t>ST_DESCRIPTION</t>
  </si>
  <si>
    <t>LC_ROLE3399_STRAT</t>
  </si>
  <si>
    <t>Tolerance %</t>
  </si>
  <si>
    <t>ASSN_TOLERANCE_PCT</t>
  </si>
  <si>
    <t>Tolerance Days</t>
  </si>
  <si>
    <t>ASSN_TOLERANCE_DAYS</t>
  </si>
  <si>
    <t>Total At Complete</t>
  </si>
  <si>
    <t>MW_TOTAL_EFFORT</t>
  </si>
  <si>
    <t>Total Benefits (Latest Estimate)</t>
  </si>
  <si>
    <t>1232</t>
  </si>
  <si>
    <t>C1232_plan</t>
  </si>
  <si>
    <t>C1232_prod</t>
  </si>
  <si>
    <t>C1232_strat</t>
  </si>
  <si>
    <t>Total Benefits (Working Version)</t>
  </si>
  <si>
    <t>1279</t>
  </si>
  <si>
    <t>C1279_plan</t>
  </si>
  <si>
    <t>C1279_prod</t>
  </si>
  <si>
    <t>Total CAPEX (Latest Estimate)</t>
  </si>
  <si>
    <t>1276</t>
  </si>
  <si>
    <t>C1276_plan</t>
  </si>
  <si>
    <t>C1276_prod</t>
  </si>
  <si>
    <t>Total CAPEX (Working Version)</t>
  </si>
  <si>
    <t>1278</t>
  </si>
  <si>
    <t>C1278_plan</t>
  </si>
  <si>
    <t>C1278_prod</t>
  </si>
  <si>
    <t>Total Costs (Latest Estimate)</t>
  </si>
  <si>
    <t>1233</t>
  </si>
  <si>
    <t>C1233_strat</t>
  </si>
  <si>
    <t>Total Costs to Achieve (Latest Estimate)</t>
  </si>
  <si>
    <t>1275</t>
  </si>
  <si>
    <t>C1275_plan</t>
  </si>
  <si>
    <t>C1275_prod</t>
  </si>
  <si>
    <t>Total Costs to Achieve (Working Version)</t>
  </si>
  <si>
    <t>1277</t>
  </si>
  <si>
    <t>C1277_plan</t>
  </si>
  <si>
    <t>C1277_prod</t>
  </si>
  <si>
    <t>Total Float</t>
  </si>
  <si>
    <t>TOTAL_FLOAT</t>
  </si>
  <si>
    <t>Total Labor Costs (BV)</t>
  </si>
  <si>
    <t>1294</t>
  </si>
  <si>
    <t>C1294_plan</t>
  </si>
  <si>
    <t>C1294_strat</t>
  </si>
  <si>
    <t>1291</t>
  </si>
  <si>
    <t>C1291_strat</t>
  </si>
  <si>
    <t>Total Labor Costs (WV)</t>
  </si>
  <si>
    <t>1288</t>
  </si>
  <si>
    <t>C1288_plan</t>
  </si>
  <si>
    <t>C1288_strat</t>
  </si>
  <si>
    <t>Total Labor Effort (Latest Estimate)</t>
  </si>
  <si>
    <t>1289</t>
  </si>
  <si>
    <t>C1289_plan</t>
  </si>
  <si>
    <t>C1289_strat</t>
  </si>
  <si>
    <t>REQ_DISPATCHED_BY</t>
  </si>
  <si>
    <t>Triage Recommendation to Pod Lead</t>
  </si>
  <si>
    <t>WR62</t>
  </si>
  <si>
    <t>Updated By</t>
  </si>
  <si>
    <t>ST_UPDATED_BY</t>
  </si>
  <si>
    <t>Updated On</t>
  </si>
  <si>
    <t>ST_UPDATED_ON</t>
  </si>
  <si>
    <t>User Business Value</t>
  </si>
  <si>
    <t>Wbs32</t>
  </si>
  <si>
    <t>User Email</t>
  </si>
  <si>
    <t>USER_EMAIL_RES</t>
  </si>
  <si>
    <t>User ID</t>
  </si>
  <si>
    <t>MW_USERID</t>
  </si>
  <si>
    <t>USER_ID_RES</t>
  </si>
  <si>
    <t>Utilization %</t>
  </si>
  <si>
    <t>ASSN_UTIL</t>
  </si>
  <si>
    <t>Utilization: Current Month</t>
  </si>
  <si>
    <t>UTIL_MONTH_RES</t>
  </si>
  <si>
    <t>Utilization: Current Week</t>
  </si>
  <si>
    <t>UTIL_WEEK_RES</t>
  </si>
  <si>
    <t>Variance</t>
  </si>
  <si>
    <t>MW_VARIANCE</t>
  </si>
  <si>
    <t>What is the risk exposure?</t>
  </si>
  <si>
    <t>What is the type of risk?</t>
  </si>
  <si>
    <t>Where Gen.</t>
  </si>
  <si>
    <t>MW_WHERE_GEN</t>
  </si>
  <si>
    <t>Work Actual Finish</t>
  </si>
  <si>
    <t>Work Actual Start</t>
  </si>
  <si>
    <t>STRAT_WK_ACT_STA</t>
  </si>
  <si>
    <t>Work Actual/Schedule Duration</t>
  </si>
  <si>
    <t>STRAT_WK_SCH_ACT_DUR</t>
  </si>
  <si>
    <t>Work Actual/Schedule Finish</t>
  </si>
  <si>
    <t>Work Actual/Schedule Start</t>
  </si>
  <si>
    <t>STRAT_WK_SCH_ACT_STA</t>
  </si>
  <si>
    <t>Work Estimation Measures</t>
  </si>
  <si>
    <t>Wbs200</t>
  </si>
  <si>
    <t>Work Finish Date</t>
  </si>
  <si>
    <t>AC_FINISH_PROD</t>
  </si>
  <si>
    <t>Work Finish Variance</t>
  </si>
  <si>
    <t>STRAT_WK_SCHD_VAR</t>
  </si>
  <si>
    <t>ASSN_PPL_DESCR</t>
  </si>
  <si>
    <t>WORK_NAME_LIST</t>
  </si>
  <si>
    <t>Work Schedule Finish</t>
  </si>
  <si>
    <t>STRAT_WK_SCHD_FIN</t>
  </si>
  <si>
    <t>Work Schedule Start</t>
  </si>
  <si>
    <t>STRAT_WK_SCHD_STA</t>
  </si>
  <si>
    <t>Work Start Date</t>
  </si>
  <si>
    <t>AC_START_PROD</t>
  </si>
  <si>
    <t>Workflow</t>
  </si>
  <si>
    <t>WORKFLOW</t>
  </si>
  <si>
    <t>zz Benefit Status</t>
  </si>
  <si>
    <t>Wbs725</t>
  </si>
  <si>
    <t>zz Business Capabilities</t>
  </si>
  <si>
    <t>$Cap</t>
  </si>
  <si>
    <t>zz Category Tag</t>
  </si>
  <si>
    <t>WR32</t>
  </si>
  <si>
    <t>zz Cost Status</t>
  </si>
  <si>
    <t>Wbs721</t>
  </si>
  <si>
    <t>zz Create Associated ProjectPlace Workspace</t>
  </si>
  <si>
    <t>Wbs36</t>
  </si>
  <si>
    <t>zz CRI Priority</t>
  </si>
  <si>
    <t>CRI3</t>
  </si>
  <si>
    <t>zz CRI Type</t>
  </si>
  <si>
    <t>CRI1</t>
  </si>
  <si>
    <t>zz Demand Path</t>
  </si>
  <si>
    <t>WR38</t>
  </si>
  <si>
    <t>ZZ Demand SubType</t>
  </si>
  <si>
    <t>WR51</t>
  </si>
  <si>
    <t>zz Epic Demand Type</t>
  </si>
  <si>
    <t>zz Epic T-Shirt Size</t>
  </si>
  <si>
    <t>ZZ Epic Type of Value</t>
  </si>
  <si>
    <t>zz Escalation Level</t>
  </si>
  <si>
    <t>CRI31</t>
  </si>
  <si>
    <t>zz Execution Stage</t>
  </si>
  <si>
    <t>Wbs29</t>
  </si>
  <si>
    <t>Concept</t>
  </si>
  <si>
    <t>zz Impacted ART(s)</t>
  </si>
  <si>
    <t>Wbs69</t>
  </si>
  <si>
    <t>zz Initiative Owner Back-Up</t>
  </si>
  <si>
    <t>LC_ROLE3333_STRAT</t>
  </si>
  <si>
    <t>zz Job Size</t>
  </si>
  <si>
    <t>Wbs35</t>
  </si>
  <si>
    <t>zz OOS R1 SL1 Prioritization Range</t>
  </si>
  <si>
    <t>WR49</t>
  </si>
  <si>
    <t>zz Primary Value Driver</t>
  </si>
  <si>
    <t>WR54</t>
  </si>
  <si>
    <t>zz Quality Status</t>
  </si>
  <si>
    <t>Wbs724</t>
  </si>
  <si>
    <t>zz Regulatory</t>
  </si>
  <si>
    <t>Wbs3</t>
  </si>
  <si>
    <t>Wbs1</t>
  </si>
  <si>
    <t>zz Requester Priority</t>
  </si>
  <si>
    <t>Wbs25</t>
  </si>
  <si>
    <t>zz RR | OE Value</t>
  </si>
  <si>
    <t>Wbs33</t>
  </si>
  <si>
    <t>zz Scope Status</t>
  </si>
  <si>
    <t>Wbs726</t>
  </si>
  <si>
    <t>zz Strategic Alignment</t>
  </si>
  <si>
    <t>Wbs7</t>
  </si>
  <si>
    <t>zz Strategic Alignment-Copy</t>
  </si>
  <si>
    <t>Wbs77</t>
  </si>
  <si>
    <t>ZZ Strategic Theme</t>
  </si>
  <si>
    <t>WR34</t>
  </si>
  <si>
    <t>zz Time Criticality Agile</t>
  </si>
  <si>
    <t>Wbs34</t>
  </si>
  <si>
    <t>ZZ Type of Value</t>
  </si>
  <si>
    <t>WR33</t>
  </si>
  <si>
    <t>ZZ Type of Value (L0)</t>
  </si>
  <si>
    <t>WR48</t>
  </si>
  <si>
    <t>zz WBS Template</t>
  </si>
  <si>
    <t>Wbs192</t>
  </si>
  <si>
    <t>zz Work Manager</t>
  </si>
  <si>
    <t>zz Work Risk</t>
  </si>
  <si>
    <t>Wbs708</t>
  </si>
  <si>
    <t>zz Work Sponsor</t>
  </si>
  <si>
    <t>Wbs2</t>
  </si>
  <si>
    <t>ZZ-Impacted Area(s)</t>
  </si>
  <si>
    <t>WR30</t>
  </si>
  <si>
    <t>ZZ-Time Criticality</t>
  </si>
  <si>
    <t>WR41</t>
  </si>
  <si>
    <t>LC_ROLE190988_PLAN</t>
  </si>
  <si>
    <t>LC_ROLE190988_STRAT</t>
  </si>
  <si>
    <t>Business Case Requirements</t>
  </si>
  <si>
    <t>LC_ROLE190987_PLAN</t>
  </si>
  <si>
    <t>LC_ROLE190987_STRAT</t>
  </si>
  <si>
    <t>LC_ROLE190985_PLAN</t>
  </si>
  <si>
    <t>LC_ROLE190985_STRAT</t>
  </si>
  <si>
    <t>LC_ROLE191004_PLAN</t>
  </si>
  <si>
    <t>LC_ROLE191248_PLAN</t>
  </si>
  <si>
    <t>Does this request support a D&amp;T Digital Transformation Strategy?</t>
  </si>
  <si>
    <t>Does this request support a DRIVE Strategic Program?</t>
  </si>
  <si>
    <t>Does this require Limited Visibility?</t>
  </si>
  <si>
    <t>Does this work support either of these type of Programs?</t>
  </si>
  <si>
    <t>LC_ROLE191005_PLAN</t>
  </si>
  <si>
    <t>LC_ROLE4181_PLAN</t>
  </si>
  <si>
    <t>LC_ROLE190986_PLAN</t>
  </si>
  <si>
    <t>LC_ROLE190986_STRAT</t>
  </si>
  <si>
    <t>Investment Dependencies with ProductCode</t>
  </si>
  <si>
    <t>INVEST_DEP_PROD_CODE</t>
  </si>
  <si>
    <t>Investment Dependencies with ProjectCode</t>
  </si>
  <si>
    <t>INVEST_DEP_PRJ_CODE</t>
  </si>
  <si>
    <t>Investment Dependencies with StrategyCode</t>
  </si>
  <si>
    <t>INV_DEP_STRAT_CODE</t>
  </si>
  <si>
    <t>L3 D&amp;T SMO Review</t>
  </si>
  <si>
    <t>Wbs175</t>
  </si>
  <si>
    <t>L3 Epic Approval</t>
  </si>
  <si>
    <t>Planview Admin</t>
  </si>
  <si>
    <t>LC_ROLE191294_PLAN</t>
  </si>
  <si>
    <t>LC_ROLE190984_PLAN</t>
  </si>
  <si>
    <t>LC_ROLE190984_STRAT</t>
  </si>
  <si>
    <t>LC_ROLE190983_PLAN</t>
  </si>
  <si>
    <t>LC_ROLE190983_STRAT</t>
  </si>
  <si>
    <t>Ready for L3 Epic Approval?</t>
  </si>
  <si>
    <t>Ready for L3 EPM Quality Check?</t>
  </si>
  <si>
    <t>Request Approved?</t>
  </si>
  <si>
    <t>Risk Subtype (Does this request address a risk or requirement to one of the following?)</t>
  </si>
  <si>
    <t>Show on Strategy &amp; Project</t>
  </si>
  <si>
    <t>SL3 D&amp;T Finance Approval</t>
  </si>
  <si>
    <t>Wbs171</t>
  </si>
  <si>
    <t>SL3 D&amp;T SMO Review</t>
  </si>
  <si>
    <t>Wbs170</t>
  </si>
  <si>
    <t>SL3 DTU Approval</t>
  </si>
  <si>
    <t>Wbs172</t>
  </si>
  <si>
    <t>SL4 Close Value Bundle - Program Owner Approval</t>
  </si>
  <si>
    <t>SL4 Close Work Bundle - Business Finance Approval</t>
  </si>
  <si>
    <t>SL4 Close Work Bundle -D&amp;T Finance Approval</t>
  </si>
  <si>
    <t>Wbs173</t>
  </si>
  <si>
    <t>LC_ROLE190989_PLAN</t>
  </si>
  <si>
    <t>LC_ROLE190989_STRAT</t>
  </si>
  <si>
    <t>LC_ROLE3399_PLAN</t>
  </si>
  <si>
    <t>Total Log Count</t>
  </si>
  <si>
    <t>TOTAL_LOG_COUNT</t>
  </si>
  <si>
    <t>LC_ROLE191370_PLAN</t>
  </si>
  <si>
    <t>Triage Decision</t>
  </si>
  <si>
    <t>LC_ROLE191003_PLAN</t>
  </si>
  <si>
    <t>zz?Impacts Data &amp; AI Portfolio?</t>
  </si>
  <si>
    <t>zzCCH Lead</t>
  </si>
  <si>
    <t>zzCommercial PEO</t>
  </si>
  <si>
    <t>zzData &amp; AI PEO</t>
  </si>
  <si>
    <t>zzDomain Sponsor</t>
  </si>
  <si>
    <t>zzDRIVE Pod Lead</t>
  </si>
  <si>
    <t>zzDRIVE Pod Lead Name</t>
  </si>
  <si>
    <t>zzEnterprise Services PEO</t>
  </si>
  <si>
    <t>zzEpic Owner</t>
  </si>
  <si>
    <t>zzFinance Domain Lead</t>
  </si>
  <si>
    <t>zzInitiative Owner</t>
  </si>
  <si>
    <t>zzPEL/Solution Management Approver 1</t>
  </si>
  <si>
    <t>zzPEL/Solution Management Approver 2</t>
  </si>
  <si>
    <t>zzPlatform PEO</t>
  </si>
  <si>
    <t>zzPrimary DRIVE Domain Lead Name</t>
  </si>
  <si>
    <t>zzSupply Chain Operations PEO</t>
  </si>
  <si>
    <t>&lt;New&gt;</t>
  </si>
  <si>
    <t>This should be sourced from an existing field</t>
  </si>
  <si>
    <t>???</t>
  </si>
  <si>
    <t>EPG Approver</t>
  </si>
  <si>
    <t>PEO Approver</t>
  </si>
  <si>
    <t>SL3 Approver???</t>
  </si>
  <si>
    <t>Are there any fields we would source the data from?</t>
  </si>
  <si>
    <t>SL3: Approved for L3?</t>
  </si>
  <si>
    <t>Domain To POD Structure</t>
  </si>
  <si>
    <t>Portfolio to ART Structure</t>
  </si>
  <si>
    <t>Strategic Themes &amp; Enterprise Strategic Initiatives</t>
  </si>
  <si>
    <t>Demand is generated by Domains / Pods which mostly comes from the business. A demand item CAN cross multiple domains, but this is RARE</t>
  </si>
  <si>
    <t>Demand is assigned to Portfolios-&gt;Solutions-&gt;ARTs-&gt;Teams via Initiatives-&gt;Epics-&gt;Capabilities-&gt;Features-&gt;Stories. Portfolios have the ability to reject demand or delay the assignment. Demand can cross multiple portfolios, which is uncommon but not rare. Demand is often cross-Solution or Cross-ART.</t>
  </si>
  <si>
    <t>ESIs are logical grouping of Initiatives. Not all Business-only or Biz w/ Tech demand will be aligned to an ESI. Local demand will RARELY be connected to an ESI. ESIs are point in time, but have some stability. Demand will RARELY cross ESIs
Strategic Themes are a new concept / not currently leveraged, but we want to have them in the future. An initiative will often cross multiple strategic themes.
Initiative type exists today, but we likely want to change it moving forward. Likely an Initiative is assigned to only one Type</t>
  </si>
  <si>
    <t>DRIVE_Meta_Domain</t>
  </si>
  <si>
    <t>Drive_Domain</t>
  </si>
  <si>
    <t>Drive_Pod</t>
  </si>
  <si>
    <t>Pod Father Key</t>
  </si>
  <si>
    <t>structure_code</t>
  </si>
  <si>
    <t>Sub Pod</t>
  </si>
  <si>
    <t>Meta_Domain</t>
  </si>
  <si>
    <t>Meta_Domain_Lead_Name</t>
  </si>
  <si>
    <t>OLD_Drive_Domain</t>
  </si>
  <si>
    <t>Drive_Domain_Common_Name</t>
  </si>
  <si>
    <t>Drive_Domain_Sponsor</t>
  </si>
  <si>
    <t>Drive_Domain_Lead_Name</t>
  </si>
  <si>
    <t>Drive_Domain_Financial_Stakeholder</t>
  </si>
  <si>
    <t>Drive_TO_Finance_Stakeholder</t>
  </si>
  <si>
    <t>Drive_SVP_Finance_Stakeholder</t>
  </si>
  <si>
    <t>Pod (precisely what's in Wave today)</t>
  </si>
  <si>
    <t>Drive_Pod_Lead_Name</t>
  </si>
  <si>
    <t>Portfolio</t>
  </si>
  <si>
    <t>ART</t>
  </si>
  <si>
    <t>Portfolio (New)</t>
  </si>
  <si>
    <t>Portfolio (Old)</t>
  </si>
  <si>
    <t>Value Driver</t>
  </si>
  <si>
    <t>Score</t>
  </si>
  <si>
    <t>L0 Score</t>
  </si>
  <si>
    <t>ESI</t>
  </si>
  <si>
    <t>Strategic Themes</t>
  </si>
  <si>
    <t>Time Criticality</t>
  </si>
  <si>
    <t>Type of Value</t>
  </si>
  <si>
    <t>Financial Value (NRB Hard) Range</t>
  </si>
  <si>
    <t>Financial Value (NRB Soft) Range</t>
  </si>
  <si>
    <t>Confidence Level</t>
  </si>
  <si>
    <t>Defered Risk</t>
  </si>
  <si>
    <t xml:space="preserve">Time to Value </t>
  </si>
  <si>
    <t>Cost Range</t>
  </si>
  <si>
    <t>Structural vs Volume</t>
  </si>
  <si>
    <t>How many colleagues are affected by the change?</t>
  </si>
  <si>
    <t>How significant will the change be for the colleagues who are affected?</t>
  </si>
  <si>
    <t>To what extent are the people who are affected by this change, (likely to be) willing and able to make the change?</t>
  </si>
  <si>
    <t>CCH_Quoted_ServiceLevel</t>
  </si>
  <si>
    <t>Work Dependencies</t>
  </si>
  <si>
    <t>Regions</t>
  </si>
  <si>
    <t>Account Parent</t>
  </si>
  <si>
    <t>Account</t>
  </si>
  <si>
    <t>CoA (level1)</t>
  </si>
  <si>
    <t>CoA (level2) Current</t>
  </si>
  <si>
    <t>Cost Impact Type (level 1)</t>
  </si>
  <si>
    <t>Cost Impact Type (level 2)</t>
  </si>
  <si>
    <t>CAPEX Impact Type (level 1)</t>
  </si>
  <si>
    <t>CAPEX Impact Type (level 2)</t>
  </si>
  <si>
    <t>Revenue</t>
  </si>
  <si>
    <t>Entry Type</t>
  </si>
  <si>
    <t>CoA (level2) (Current)</t>
  </si>
  <si>
    <t>CoA (level2) (New)</t>
  </si>
  <si>
    <t>Legacy Opco</t>
  </si>
  <si>
    <t>new P&amp;L</t>
  </si>
  <si>
    <t>Frequency &amp; Direction:</t>
  </si>
  <si>
    <t>Version</t>
  </si>
  <si>
    <t>Milestone Type_FDW</t>
  </si>
  <si>
    <t>Milestone Status</t>
  </si>
  <si>
    <t>Milestone Progress</t>
  </si>
  <si>
    <t>Milestone Priority</t>
  </si>
  <si>
    <t>PV Field Type</t>
  </si>
  <si>
    <t>Epic T-Size</t>
  </si>
  <si>
    <t>Reporting Approach</t>
  </si>
  <si>
    <t>VP Sponsor</t>
  </si>
  <si>
    <t>Request_Status</t>
  </si>
  <si>
    <t>Demand_Type</t>
  </si>
  <si>
    <t>Demand_SubType</t>
  </si>
  <si>
    <t>Approval Options-Approvers (SL3 and earlier</t>
  </si>
  <si>
    <t>Approval Options-Approvers (SL4 &amp; SL5)</t>
  </si>
  <si>
    <t>Approval Options-EPM/Tiage</t>
  </si>
  <si>
    <t>L1 Sequencing Priority</t>
  </si>
  <si>
    <t>Lifecycle_Status</t>
  </si>
  <si>
    <t>Health_Status</t>
  </si>
  <si>
    <t>Criteria 1 (Days)</t>
  </si>
  <si>
    <t>Criteria 2 (Stage)</t>
  </si>
  <si>
    <t>Output</t>
  </si>
  <si>
    <t>FY</t>
  </si>
  <si>
    <t>Special_Projects</t>
  </si>
  <si>
    <t>Leadership_Review</t>
  </si>
  <si>
    <t>NPV</t>
  </si>
  <si>
    <t>NPV Range</t>
  </si>
  <si>
    <t>Gaap vs nongaap</t>
  </si>
  <si>
    <t>SL1 Prioritization Score</t>
  </si>
  <si>
    <t>SL1 Prioritization Score Bin</t>
  </si>
  <si>
    <t>Latest Month Actuals Completed</t>
  </si>
  <si>
    <t>L Stage</t>
  </si>
  <si>
    <t>Measure and Unit</t>
  </si>
  <si>
    <t>Aggregation_Mode</t>
  </si>
  <si>
    <t>KPI_Type</t>
  </si>
  <si>
    <t>Risk_Type</t>
  </si>
  <si>
    <t>Value Drivers</t>
  </si>
  <si>
    <t>Financial Version Name</t>
  </si>
  <si>
    <t>Risk Status</t>
  </si>
  <si>
    <t>Milestone Status (Current Field)</t>
  </si>
  <si>
    <t>Current Logic in Wave</t>
  </si>
  <si>
    <t>Mapping to Milestone Progress</t>
  </si>
  <si>
    <t>Azure Subscription List</t>
  </si>
  <si>
    <t>Purpose</t>
  </si>
  <si>
    <t>Portfolio Greenlight</t>
  </si>
  <si>
    <t>External Spend Category</t>
  </si>
  <si>
    <t>International &amp; Air</t>
  </si>
  <si>
    <t>Air Hub Transformation</t>
  </si>
  <si>
    <t>FXE HT - Digital Tools</t>
  </si>
  <si>
    <t>FXE AN - Crew</t>
  </si>
  <si>
    <t>3210</t>
  </si>
  <si>
    <t>APAC and MEISA Domain</t>
  </si>
  <si>
    <t>Richard Smith, Kawal Preet, Kami Viswanathan, Wouter Roels</t>
  </si>
  <si>
    <t>APAC - Air</t>
  </si>
  <si>
    <t>Shrikant Sharma</t>
  </si>
  <si>
    <t>Commercial</t>
  </si>
  <si>
    <t>COM - Commercial Platform</t>
  </si>
  <si>
    <t>COM - CP - Customer API &amp; Platforms Services</t>
  </si>
  <si>
    <t>COM - CE - Case Enterprise Business Service</t>
  </si>
  <si>
    <t>None</t>
  </si>
  <si>
    <t>0-None</t>
  </si>
  <si>
    <t>Efficiency</t>
  </si>
  <si>
    <t>Run and change our business</t>
  </si>
  <si>
    <t>Minimal: &gt;15 months</t>
  </si>
  <si>
    <t>Brand</t>
  </si>
  <si>
    <t>1: Unknown</t>
  </si>
  <si>
    <t>Per $1M</t>
  </si>
  <si>
    <t xml:space="preserve">Unknown </t>
  </si>
  <si>
    <t>Minimal: &lt;20%</t>
  </si>
  <si>
    <t>1: Minimal</t>
  </si>
  <si>
    <t>Maximum: &gt; 15 months</t>
  </si>
  <si>
    <t>Minimal (&lt;=$250K)</t>
  </si>
  <si>
    <t>1. Front-end (Shown)</t>
  </si>
  <si>
    <t>Structural</t>
  </si>
  <si>
    <t>10,001+</t>
  </si>
  <si>
    <t>Significant: fundamental shift in ways of working</t>
  </si>
  <si>
    <t>Open to change, but some barriers to overcome</t>
  </si>
  <si>
    <t>Quoted/actual Transits</t>
  </si>
  <si>
    <t>Accounting &amp; Reporting</t>
  </si>
  <si>
    <t>Europe</t>
  </si>
  <si>
    <t>Benefits or Cost to Achieve</t>
  </si>
  <si>
    <t>Cost Savings or Costs/Expenses</t>
  </si>
  <si>
    <t>Administrative</t>
  </si>
  <si>
    <t>Contributions</t>
  </si>
  <si>
    <t>CAPEX</t>
  </si>
  <si>
    <t>Aircraft and Related Equipment</t>
  </si>
  <si>
    <t>ATA</t>
  </si>
  <si>
    <t>Confirmed Actuals</t>
  </si>
  <si>
    <t>Benefits</t>
  </si>
  <si>
    <t>Communications</t>
  </si>
  <si>
    <t>FedEx Corporation</t>
  </si>
  <si>
    <t>FedEx Corporate</t>
  </si>
  <si>
    <t>Recurring benefits</t>
  </si>
  <si>
    <t>Recurring costs</t>
  </si>
  <si>
    <t>Change Management</t>
  </si>
  <si>
    <t>Alpha</t>
  </si>
  <si>
    <t>1: Low</t>
  </si>
  <si>
    <t>text</t>
  </si>
  <si>
    <t>No-No legal or regulatory implications</t>
  </si>
  <si>
    <t>XS: (TBD)</t>
  </si>
  <si>
    <t>Planview Portfolios (Non-Financial Plan)</t>
  </si>
  <si>
    <t>A. Sain</t>
  </si>
  <si>
    <t>Business Only</t>
  </si>
  <si>
    <t>Legal</t>
  </si>
  <si>
    <t>Ready</t>
  </si>
  <si>
    <t>Approved</t>
  </si>
  <si>
    <t>Low</t>
  </si>
  <si>
    <t>Active</t>
  </si>
  <si>
    <t>ANY</t>
  </si>
  <si>
    <t>&lt;Not&gt; L3,SL3,L4,SL4,L5</t>
  </si>
  <si>
    <t>FY22</t>
  </si>
  <si>
    <t>Dim-weight</t>
  </si>
  <si>
    <t>&gt;$50M</t>
  </si>
  <si>
    <t>No - 3rd Party</t>
  </si>
  <si>
    <t># of applications</t>
  </si>
  <si>
    <t>Sum</t>
  </si>
  <si>
    <t>Health</t>
  </si>
  <si>
    <t>Customer Service</t>
  </si>
  <si>
    <t>Incremental Revenue</t>
  </si>
  <si>
    <t>5 - Almost certain</t>
  </si>
  <si>
    <t>5 - Critical (Showstopper)</t>
  </si>
  <si>
    <t>Drive Bankable Plan</t>
  </si>
  <si>
    <t>If Status = Completed</t>
  </si>
  <si>
    <t>Apollo</t>
  </si>
  <si>
    <t>Baseline</t>
  </si>
  <si>
    <t>Can Support</t>
  </si>
  <si>
    <t>AOD</t>
  </si>
  <si>
    <t>FXE HT - Physical Automation</t>
  </si>
  <si>
    <t>FXE AN - Density</t>
  </si>
  <si>
    <t>3208</t>
  </si>
  <si>
    <t>Commercial Domain</t>
  </si>
  <si>
    <t>US &amp; Canada Ground Operations</t>
  </si>
  <si>
    <t>John Smith</t>
  </si>
  <si>
    <t>FXE Air Network</t>
  </si>
  <si>
    <t>Airline</t>
  </si>
  <si>
    <t>Richard Smith</t>
  </si>
  <si>
    <t>Justin Brownlee</t>
  </si>
  <si>
    <t>Paul Silvestro</t>
  </si>
  <si>
    <t>William Hopp</t>
  </si>
  <si>
    <t>Thomas Wittman</t>
  </si>
  <si>
    <t>APAC - AU Domestic</t>
  </si>
  <si>
    <t>Peter Langley</t>
  </si>
  <si>
    <t>COM - CP - Customer Authentication &amp; Mgmt Portal</t>
  </si>
  <si>
    <t>Data &amp; AI</t>
  </si>
  <si>
    <t>Office</t>
  </si>
  <si>
    <t>COM - Create Shipment</t>
  </si>
  <si>
    <t>COM - CE - Claims</t>
  </si>
  <si>
    <t>Safety</t>
  </si>
  <si>
    <t>Clearance Strategy</t>
  </si>
  <si>
    <t>Enabler</t>
  </si>
  <si>
    <t>Digitize our customers' supply chains</t>
  </si>
  <si>
    <t>Low: 12-15 months</t>
  </si>
  <si>
    <t>Cost Avoidance</t>
  </si>
  <si>
    <t>2: Minimal: &lt;$1M</t>
  </si>
  <si>
    <t>Range Lower</t>
  </si>
  <si>
    <t>Minimal: &lt;$1M</t>
  </si>
  <si>
    <t>Low: 20-50%</t>
  </si>
  <si>
    <t>2: Low</t>
  </si>
  <si>
    <t>High: 7 - 15 months</t>
  </si>
  <si>
    <t>Low (&gt;250K and &lt;=1,250K)</t>
  </si>
  <si>
    <t>2. Back-end (Metadata &amp; Admin)</t>
  </si>
  <si>
    <t>Accounting and reporting</t>
  </si>
  <si>
    <t>Volume</t>
  </si>
  <si>
    <t>1,001 - 10,000</t>
  </si>
  <si>
    <t>Moderate change: some shift to ways of working</t>
  </si>
  <si>
    <t>Willing and able to change</t>
  </si>
  <si>
    <t>Coverage</t>
  </si>
  <si>
    <t>Accounts Payable &amp; Disbursements</t>
  </si>
  <si>
    <t>Canada</t>
  </si>
  <si>
    <t>Insurance</t>
  </si>
  <si>
    <t>CAPEX Other</t>
  </si>
  <si>
    <t>Charter</t>
  </si>
  <si>
    <t>Forecast</t>
  </si>
  <si>
    <t>Allocated Fees</t>
  </si>
  <si>
    <t>FedEx Dataworks</t>
  </si>
  <si>
    <t>One time benefits</t>
  </si>
  <si>
    <t>One time expenses-Biz</t>
  </si>
  <si>
    <t>Finance</t>
  </si>
  <si>
    <t>Beta</t>
  </si>
  <si>
    <t>In Progress</t>
  </si>
  <si>
    <t>Early</t>
  </si>
  <si>
    <t>2: Medium</t>
  </si>
  <si>
    <t>alt</t>
  </si>
  <si>
    <t>Customer Relations</t>
  </si>
  <si>
    <t>Yes-Change existing procedures to maintain compl.</t>
  </si>
  <si>
    <t>S: (TBD)</t>
  </si>
  <si>
    <t>Planview Portfolios (Financial Plan)</t>
  </si>
  <si>
    <t>Aashish Gahlaut</t>
  </si>
  <si>
    <t>Submitted for Triage</t>
  </si>
  <si>
    <t>B: SL1</t>
  </si>
  <si>
    <t>Biz w/ Tech</t>
  </si>
  <si>
    <t>Protect Purple</t>
  </si>
  <si>
    <t>Not Ready - Feedback Requested</t>
  </si>
  <si>
    <t>Reject</t>
  </si>
  <si>
    <t>Not Approved - Feedback Requested</t>
  </si>
  <si>
    <t>On Hold</t>
  </si>
  <si>
    <t>Some Issues</t>
  </si>
  <si>
    <t>&lt;0</t>
  </si>
  <si>
    <t>Accelerated</t>
  </si>
  <si>
    <t>FY23</t>
  </si>
  <si>
    <t>EU Bunker</t>
  </si>
  <si>
    <t>No value</t>
  </si>
  <si>
    <t>No - Capital</t>
  </si>
  <si>
    <t># of brands</t>
  </si>
  <si>
    <t>Average (counting blanks as 0)</t>
  </si>
  <si>
    <t>Leading indicator</t>
  </si>
  <si>
    <t>People</t>
  </si>
  <si>
    <t>4 - Highly likely</t>
  </si>
  <si>
    <t>4 - High</t>
  </si>
  <si>
    <t>Latest Estimate (Actual/Forecast)</t>
  </si>
  <si>
    <t>Resolved</t>
  </si>
  <si>
    <t>Cancelled</t>
  </si>
  <si>
    <t>If Status = Cancelled</t>
  </si>
  <si>
    <t>Atlas</t>
  </si>
  <si>
    <t>Xsmall</t>
  </si>
  <si>
    <t>Can Support with Tradeoffs</t>
  </si>
  <si>
    <t>CT Air / Ocean</t>
  </si>
  <si>
    <t>FXE HT - Sort Efficiencies</t>
  </si>
  <si>
    <t>FXE AN - Fleet</t>
  </si>
  <si>
    <t>3212</t>
  </si>
  <si>
    <t>Enterprise Excellence Domain</t>
  </si>
  <si>
    <t>Enterprise Excellence</t>
  </si>
  <si>
    <t>John Dietrich, Rob Carter, Tracy Brightman</t>
  </si>
  <si>
    <t>AMEA</t>
  </si>
  <si>
    <t>APAC</t>
  </si>
  <si>
    <t>Kawal Preet</t>
  </si>
  <si>
    <t>Andrea Suppupo</t>
  </si>
  <si>
    <t>Philip Cheng</t>
  </si>
  <si>
    <t>APAC - Clearance</t>
  </si>
  <si>
    <t>Jimmy Chen</t>
  </si>
  <si>
    <t>COM - CP - FedEx Developer Portal</t>
  </si>
  <si>
    <t>Enterprise Services</t>
  </si>
  <si>
    <t>Dataworks</t>
  </si>
  <si>
    <t>COM - Customer Experience</t>
  </si>
  <si>
    <t>COM - CE - Customer Experience Desktop</t>
  </si>
  <si>
    <t>Talent &amp; Culture</t>
  </si>
  <si>
    <t>Customer Migration</t>
  </si>
  <si>
    <t>Growth</t>
  </si>
  <si>
    <t>Move up the value chain in e-commerce</t>
  </si>
  <si>
    <t>Medium: 6 – 12 months</t>
  </si>
  <si>
    <t>Cost Savings/Reductions</t>
  </si>
  <si>
    <t>3: Low: $1M-$5M</t>
  </si>
  <si>
    <t>Range Upper</t>
  </si>
  <si>
    <t>Low: $1M-$5M</t>
  </si>
  <si>
    <t>Medium 50% – 70%</t>
  </si>
  <si>
    <t>3: Medium</t>
  </si>
  <si>
    <t>Medium: 4 - 6 months</t>
  </si>
  <si>
    <t>Medium (&gt;1,250K and &lt;=3,500K)</t>
  </si>
  <si>
    <t>3. Reporting Field</t>
  </si>
  <si>
    <t>Accounts payable and disbursements</t>
  </si>
  <si>
    <t>Both (75% Structural / 25% Volume)</t>
  </si>
  <si>
    <t>101 - 1,000</t>
  </si>
  <si>
    <t>Basic change: no shift to ways of working</t>
  </si>
  <si>
    <t>Unwilling and/or unable - requires effort</t>
  </si>
  <si>
    <t>Service Levels</t>
  </si>
  <si>
    <t>Billing &amp; Collections</t>
  </si>
  <si>
    <t>USA</t>
  </si>
  <si>
    <t>Publications &amp; Dues</t>
  </si>
  <si>
    <t>Facilities and Material Handling Equipment</t>
  </si>
  <si>
    <t>Digital</t>
  </si>
  <si>
    <t>Cost to Achieve</t>
  </si>
  <si>
    <t>FedEx Express</t>
  </si>
  <si>
    <t>FedEx Freight</t>
  </si>
  <si>
    <t>One time expenses-IT</t>
  </si>
  <si>
    <t>Human Resources</t>
  </si>
  <si>
    <t>Data Ingestion Dependency</t>
  </si>
  <si>
    <t>Delayed</t>
  </si>
  <si>
    <t>3: High</t>
  </si>
  <si>
    <t>multi</t>
  </si>
  <si>
    <t>Customs Clearance</t>
  </si>
  <si>
    <t>Yes-New laws/regulation &amp; new compl. procedures</t>
  </si>
  <si>
    <t>M: (TBD)</t>
  </si>
  <si>
    <t>FastTrack Analytics (Non-Financial Plan)</t>
  </si>
  <si>
    <t>Adam Psarianos</t>
  </si>
  <si>
    <t>C: L1</t>
  </si>
  <si>
    <t>Local Enhancement</t>
  </si>
  <si>
    <t>Regulatory</t>
  </si>
  <si>
    <t>CCH Review Not Required</t>
  </si>
  <si>
    <t>High</t>
  </si>
  <si>
    <t>Attention Needed</t>
  </si>
  <si>
    <t>&lt;8</t>
  </si>
  <si>
    <t>Unchanged</t>
  </si>
  <si>
    <t>FY24</t>
  </si>
  <si>
    <t>P4</t>
  </si>
  <si>
    <t>Not Applicable (I am a member of management)</t>
  </si>
  <si>
    <t>$20M-$25M</t>
  </si>
  <si>
    <t>No - Facility exit</t>
  </si>
  <si>
    <t># of buildings closed</t>
  </si>
  <si>
    <t>Average (ignoring blanks)</t>
  </si>
  <si>
    <t>Other</t>
  </si>
  <si>
    <t>Process</t>
  </si>
  <si>
    <t>Cost Savings/Reduction</t>
  </si>
  <si>
    <t>3 - 50/50 likelihood</t>
  </si>
  <si>
    <t>3 - Moderate</t>
  </si>
  <si>
    <t>Owned</t>
  </si>
  <si>
    <t>Initiative cancelled</t>
  </si>
  <si>
    <t>If (LW) Weekly status (from initiative tab) = Cancelled or On Hold</t>
  </si>
  <si>
    <t>Atlas Labs</t>
  </si>
  <si>
    <t>Small</t>
  </si>
  <si>
    <t>Can Support with Additional Resources/Funding</t>
  </si>
  <si>
    <t>CT Linehaul / Rail</t>
  </si>
  <si>
    <t>FXE AN - Fuel</t>
  </si>
  <si>
    <t>3213</t>
  </si>
  <si>
    <t>Europe Domain</t>
  </si>
  <si>
    <t>Commercial &amp; Service Excellence</t>
  </si>
  <si>
    <t>Brie Carere, Scott Ray</t>
  </si>
  <si>
    <t>Brie Carere</t>
  </si>
  <si>
    <t>DJ Miller</t>
  </si>
  <si>
    <t>Mark Mantaro</t>
  </si>
  <si>
    <t>Matthew Hicks</t>
  </si>
  <si>
    <t>APAC - ECommerce</t>
  </si>
  <si>
    <t>APAC - ECommerce &amp; Commercial</t>
  </si>
  <si>
    <t>Mathew Mazhuvancheryparambath</t>
  </si>
  <si>
    <t>COM - CP - Purple Common Core</t>
  </si>
  <si>
    <t>Platform</t>
  </si>
  <si>
    <t>Enterprise Business Systems (fka Backoffice)</t>
  </si>
  <si>
    <t>COM - Independent ARTs</t>
  </si>
  <si>
    <t>COM - CE - Digital Interactive Customer Experience</t>
  </si>
  <si>
    <t>Strategic Positioning &amp; Advancement</t>
  </si>
  <si>
    <t>Digital Intelligence</t>
  </si>
  <si>
    <t>Gen AI</t>
  </si>
  <si>
    <t>High: &lt; 6 months</t>
  </si>
  <si>
    <t>Customer Experience/Satisfaction</t>
  </si>
  <si>
    <t>4: Medium: $5M-$10M</t>
  </si>
  <si>
    <t>Medium: $5M-$10M</t>
  </si>
  <si>
    <t>High: 70%-90%</t>
  </si>
  <si>
    <t>4: High</t>
  </si>
  <si>
    <t>Low: 1 - 3 months</t>
  </si>
  <si>
    <t>High (&gt;$3,500K and &lt;=7,000K)</t>
  </si>
  <si>
    <t>Billing and Collection</t>
  </si>
  <si>
    <t>Both (50% Structural / 50% Volume)</t>
  </si>
  <si>
    <t>26 - 100</t>
  </si>
  <si>
    <t>Financial Planning &amp; Analysis</t>
  </si>
  <si>
    <t>Latin America</t>
  </si>
  <si>
    <t>Taxes, Licenses and Permits</t>
  </si>
  <si>
    <t>Facilities and Other</t>
  </si>
  <si>
    <t>Freight Revenue Less Fuel</t>
  </si>
  <si>
    <t>Exit Rate</t>
  </si>
  <si>
    <t>Business Realignment</t>
  </si>
  <si>
    <t>Meetings, Travel &amp; Entertain</t>
  </si>
  <si>
    <t>Meetings/Travel/Entertainment</t>
  </si>
  <si>
    <t>FedEx Logistics</t>
  </si>
  <si>
    <t>latest estimate</t>
  </si>
  <si>
    <t>Implementation</t>
  </si>
  <si>
    <t>Deployment and Release</t>
  </si>
  <si>
    <t>At Risk</t>
  </si>
  <si>
    <t>Facility Management</t>
  </si>
  <si>
    <t>L: (TBD)</t>
  </si>
  <si>
    <t>FastTrack Analytics (Financial Plan)</t>
  </si>
  <si>
    <t>Adam Smith</t>
  </si>
  <si>
    <t>Submitted for SL1</t>
  </si>
  <si>
    <t>D: SL2</t>
  </si>
  <si>
    <t>Lifecycle Management</t>
  </si>
  <si>
    <t>Very High</t>
  </si>
  <si>
    <t>&lt;15</t>
  </si>
  <si>
    <t>Delayed (8 to 14 days)</t>
  </si>
  <si>
    <t>FY25</t>
  </si>
  <si>
    <t>Project Marshall</t>
  </si>
  <si>
    <t>$0-$5M</t>
  </si>
  <si>
    <t>No - Internal Labor and T&amp;E</t>
  </si>
  <si>
    <t># of buildings opened</t>
  </si>
  <si>
    <t>Last non-blank value</t>
  </si>
  <si>
    <t>Top Leading KPI</t>
  </si>
  <si>
    <t>IT Systems</t>
  </si>
  <si>
    <t>Regulatory Compliance</t>
  </si>
  <si>
    <t>2 - Less Likely</t>
  </si>
  <si>
    <t>2 - Low</t>
  </si>
  <si>
    <t>Accepted</t>
  </si>
  <si>
    <t>Not started</t>
  </si>
  <si>
    <t>If Status = Not Started and Milestone completion date &gt;= today's date</t>
  </si>
  <si>
    <t>CDP</t>
  </si>
  <si>
    <t>Does Not Recommend Supporting at This Time</t>
  </si>
  <si>
    <t>Facilities Engineering &amp; Network</t>
  </si>
  <si>
    <t>FXE AN - Global Partner Network (GPN)</t>
  </si>
  <si>
    <t>3209</t>
  </si>
  <si>
    <t>Surface Operations Domain</t>
  </si>
  <si>
    <t>IT</t>
  </si>
  <si>
    <t>Data and Tech</t>
  </si>
  <si>
    <t>Sriram Krishnasamy</t>
  </si>
  <si>
    <t>John Jamison</t>
  </si>
  <si>
    <t>APAC - EGER</t>
  </si>
  <si>
    <t>Kenneth McMahon</t>
  </si>
  <si>
    <t>COM - CS - Deployed Shipping Solutions</t>
  </si>
  <si>
    <t>Supply Chain Operations</t>
  </si>
  <si>
    <t>Platinum: Architecture and Modernization Platform (AMP)</t>
  </si>
  <si>
    <t>COM - Manage Shipment</t>
  </si>
  <si>
    <t>COM - CE - Matrix</t>
  </si>
  <si>
    <t>Operational Excellence</t>
  </si>
  <si>
    <t>Digital Experience</t>
  </si>
  <si>
    <t>Innovation (Non Gen AI)</t>
  </si>
  <si>
    <t>Maximum: Critical delivery</t>
  </si>
  <si>
    <t>Revenue Growth (Customer Acquisition)</t>
  </si>
  <si>
    <t>5: High: $10M-$35M</t>
  </si>
  <si>
    <t>High: $10M-$35M</t>
  </si>
  <si>
    <t>Maximum: 90%-100%</t>
  </si>
  <si>
    <t>e</t>
  </si>
  <si>
    <t>5: Maximum</t>
  </si>
  <si>
    <t>Minimal: Immediate ( &lt; 1month)</t>
  </si>
  <si>
    <t>Maximum (&gt;7,000K)</t>
  </si>
  <si>
    <t>Financial Planning and Analysis</t>
  </si>
  <si>
    <t>Both (25% Structural / 75% Volume)</t>
  </si>
  <si>
    <t>11 - 25</t>
  </si>
  <si>
    <t>Asia/Middle East/India/Africa (AMEA)</t>
  </si>
  <si>
    <t>Fuel Surcharge</t>
  </si>
  <si>
    <t>KPIs</t>
  </si>
  <si>
    <t>Professional and Legal Fees</t>
  </si>
  <si>
    <t>Professional Fees</t>
  </si>
  <si>
    <t>FedEx Ground</t>
  </si>
  <si>
    <t>FedEx Office</t>
  </si>
  <si>
    <t>Development and Testing</t>
  </si>
  <si>
    <t>Fleet and Equipment</t>
  </si>
  <si>
    <t>XL: (TBD)</t>
  </si>
  <si>
    <t>Custom Reporting (Non-Financial Plan)</t>
  </si>
  <si>
    <t>Aimee DiCicco-Ruhl</t>
  </si>
  <si>
    <t>Dispatched/Approved for L1</t>
  </si>
  <si>
    <t>E: L2</t>
  </si>
  <si>
    <t>&lt;31</t>
  </si>
  <si>
    <t>Delayed (15 to 30 days)</t>
  </si>
  <si>
    <t>FY26</t>
  </si>
  <si>
    <t>Project Quicksilver</t>
  </si>
  <si>
    <t>$10M-$15M</t>
  </si>
  <si>
    <t>No - Other</t>
  </si>
  <si>
    <t>Logic is to take anything up to the number as a maximum</t>
  </si>
  <si>
    <t># of buildings transformed</t>
  </si>
  <si>
    <t>Value at the last month</t>
  </si>
  <si>
    <t>Value linked</t>
  </si>
  <si>
    <t>Third Parties</t>
  </si>
  <si>
    <t>Service/Operational Efficiency</t>
  </si>
  <si>
    <t>1- Very Unlikely</t>
  </si>
  <si>
    <t>1 - Very Low</t>
  </si>
  <si>
    <t>Mitigated</t>
  </si>
  <si>
    <t>On plan</t>
  </si>
  <si>
    <t>If Status = Started AND Milestone completion date &gt; 7 days away</t>
  </si>
  <si>
    <t>CIP</t>
  </si>
  <si>
    <t>Large</t>
  </si>
  <si>
    <t>Facilities Managed Services</t>
  </si>
  <si>
    <t>FXE AN - GOC</t>
  </si>
  <si>
    <t>3214</t>
  </si>
  <si>
    <t>Freight Domain</t>
  </si>
  <si>
    <t>FXG Dock</t>
  </si>
  <si>
    <t>Dock</t>
  </si>
  <si>
    <t>Jim Moore</t>
  </si>
  <si>
    <t>Zoe Faul</t>
  </si>
  <si>
    <t>APAC - Ground</t>
  </si>
  <si>
    <t>Tony Loke</t>
  </si>
  <si>
    <t>COM - CS - Online Shipping ART</t>
  </si>
  <si>
    <t>Platinum: Enterprise Data and Analytics (EDA)</t>
  </si>
  <si>
    <t>COM - Retail Solution</t>
  </si>
  <si>
    <t>COM - CE - Polaris</t>
  </si>
  <si>
    <t>Dynamic Pricing</t>
  </si>
  <si>
    <t>Revenue Growth (Yield)</t>
  </si>
  <si>
    <t>6: Maximum: &gt;$35M</t>
  </si>
  <si>
    <t>Maximum: &gt;$35M</t>
  </si>
  <si>
    <t>0 - 10</t>
  </si>
  <si>
    <t>Marketing</t>
  </si>
  <si>
    <t>International HQ</t>
  </si>
  <si>
    <t>Payroll Benefits</t>
  </si>
  <si>
    <t>Group Insurance</t>
  </si>
  <si>
    <t>Linehaul (Trailers, Switchers, Dollies)</t>
  </si>
  <si>
    <t>International Dom</t>
  </si>
  <si>
    <t>Depreciation and Amortization</t>
  </si>
  <si>
    <t>FedEx Supply Chain</t>
  </si>
  <si>
    <t>Money Step</t>
  </si>
  <si>
    <t>Fuel Supply and Administration</t>
  </si>
  <si>
    <t>Custom Reporting (Financial Plan)</t>
  </si>
  <si>
    <t>Alan Graf</t>
  </si>
  <si>
    <t>Rejected</t>
  </si>
  <si>
    <t>F: SL3</t>
  </si>
  <si>
    <t>&gt;31</t>
  </si>
  <si>
    <t>Delayed (more than 30 days)</t>
  </si>
  <si>
    <t>Recharge</t>
  </si>
  <si>
    <t>$45M-$50M</t>
  </si>
  <si>
    <t>No - Severance</t>
  </si>
  <si>
    <t>E: L2 (Epic-Level)</t>
  </si>
  <si>
    <t># of calls</t>
  </si>
  <si>
    <t>Revenue Protection</t>
  </si>
  <si>
    <t>Late to start</t>
  </si>
  <si>
    <t>If Work starting date is prior than today's date and Status = Not Started</t>
  </si>
  <si>
    <t>Clearance</t>
  </si>
  <si>
    <t>Global Fuel</t>
  </si>
  <si>
    <t>FXE AN - Hubs and Ramps</t>
  </si>
  <si>
    <t>3215</t>
  </si>
  <si>
    <t>Airline Domain</t>
  </si>
  <si>
    <t>John Dietrich</t>
  </si>
  <si>
    <t>Tracy Brightman</t>
  </si>
  <si>
    <t>Tyson Neas</t>
  </si>
  <si>
    <t>Commercial - CX</t>
  </si>
  <si>
    <t>APAC - SEA</t>
  </si>
  <si>
    <t>Audrey Chong</t>
  </si>
  <si>
    <t>Platinum: Info Sec</t>
  </si>
  <si>
    <t>COM - Revenue</t>
  </si>
  <si>
    <t>Sustainability</t>
  </si>
  <si>
    <t>Europe - Commercial</t>
  </si>
  <si>
    <t>Health Insurance</t>
  </si>
  <si>
    <t>Operations Technology</t>
  </si>
  <si>
    <t>International Export Package</t>
  </si>
  <si>
    <t>Direct Field Costs</t>
  </si>
  <si>
    <t>International/Air</t>
  </si>
  <si>
    <t>Other dependency</t>
  </si>
  <si>
    <t>GA</t>
  </si>
  <si>
    <t>Outsourcing and Vendor Risk Management</t>
  </si>
  <si>
    <t>N/A - System Generated</t>
  </si>
  <si>
    <t>Alan Meluskey</t>
  </si>
  <si>
    <t>G: L3</t>
  </si>
  <si>
    <t>Reimagination - Surge</t>
  </si>
  <si>
    <t>$15M-$20M</t>
  </si>
  <si>
    <t>Yes - 3rd Party</t>
  </si>
  <si>
    <t>E: L2- Impact</t>
  </si>
  <si>
    <t># of claims</t>
  </si>
  <si>
    <t>New in Dataworks</t>
  </si>
  <si>
    <t>Due soon</t>
  </si>
  <si>
    <t>If Milestone completion date is &lt;= 7 days</t>
  </si>
  <si>
    <t>Confluent platform</t>
  </si>
  <si>
    <t>FXE AN - Network Transformations</t>
  </si>
  <si>
    <t>3207</t>
  </si>
  <si>
    <t>Global Clearance Domain</t>
  </si>
  <si>
    <t>Wouter Roels</t>
  </si>
  <si>
    <t>Simon Alexander</t>
  </si>
  <si>
    <t>Commercial - Digital/CX</t>
  </si>
  <si>
    <t>Neil Gibson</t>
  </si>
  <si>
    <t>Platinum: Infrastructure</t>
  </si>
  <si>
    <t>COM - Sales &amp; Commercial Data Enablement</t>
  </si>
  <si>
    <t>Financial</t>
  </si>
  <si>
    <t>Europe - Operations</t>
  </si>
  <si>
    <t>Safety/Legal Risk</t>
  </si>
  <si>
    <t>Payroll</t>
  </si>
  <si>
    <t>Operations</t>
  </si>
  <si>
    <t>Other Benefits and VC</t>
  </si>
  <si>
    <t>Package Handling and Ground Support Equipment</t>
  </si>
  <si>
    <t>International Other</t>
  </si>
  <si>
    <t>Fuel</t>
  </si>
  <si>
    <t>FedEx SCS</t>
  </si>
  <si>
    <t>SGA</t>
  </si>
  <si>
    <t>Technology / Systems</t>
  </si>
  <si>
    <t>Route Management</t>
  </si>
  <si>
    <t>Alana Griffin</t>
  </si>
  <si>
    <t>H: SL4</t>
  </si>
  <si>
    <t>Surge</t>
  </si>
  <si>
    <t>$40M-$45M</t>
  </si>
  <si>
    <t>Yes - Facility exit</t>
  </si>
  <si>
    <t>E: L2- KPI</t>
  </si>
  <si>
    <t># of customers</t>
  </si>
  <si>
    <t>Lagging</t>
  </si>
  <si>
    <t>Value Leakage</t>
  </si>
  <si>
    <t>Late</t>
  </si>
  <si>
    <t>If Milestone completion date is prior than today's date and Status &lt;&gt; Completed</t>
  </si>
  <si>
    <t>Core-Commerce</t>
  </si>
  <si>
    <t>Linehaul (International)</t>
  </si>
  <si>
    <t>FXE AN - Tech Ops</t>
  </si>
  <si>
    <t>3211</t>
  </si>
  <si>
    <t>P&amp;D Domain</t>
  </si>
  <si>
    <t>Freight</t>
  </si>
  <si>
    <t>Ben Krone, Clint McCoy</t>
  </si>
  <si>
    <t>Jerome Miller</t>
  </si>
  <si>
    <t>Commercial - Healthcare</t>
  </si>
  <si>
    <t>Mike Schween</t>
  </si>
  <si>
    <t>Platinum: Platform</t>
  </si>
  <si>
    <t>D&amp;AI - Independent ARTs</t>
  </si>
  <si>
    <t>Pricing</t>
  </si>
  <si>
    <t>Payroll Taxes</t>
  </si>
  <si>
    <t>CapEx-Security</t>
  </si>
  <si>
    <t>IPFS</t>
  </si>
  <si>
    <t>Infrastructure</t>
  </si>
  <si>
    <t>FedEx Services</t>
  </si>
  <si>
    <t>Surface</t>
  </si>
  <si>
    <t>Safety and Security protocols</t>
  </si>
  <si>
    <t>Alison Dack</t>
  </si>
  <si>
    <t>I: L4</t>
  </si>
  <si>
    <t>Tricolor</t>
  </si>
  <si>
    <t>$30M-$35M</t>
  </si>
  <si>
    <t>Yes - Other</t>
  </si>
  <si>
    <t>E: L2- Milestone</t>
  </si>
  <si>
    <t># of days to resolve</t>
  </si>
  <si>
    <t>Delivery Timing</t>
  </si>
  <si>
    <t>Databricks Unity</t>
  </si>
  <si>
    <t>Ops Supplies &amp; Print</t>
  </si>
  <si>
    <t>3200</t>
  </si>
  <si>
    <t>Safety Domain</t>
  </si>
  <si>
    <t>FXE Global Clearance</t>
  </si>
  <si>
    <t>Global Clearance</t>
  </si>
  <si>
    <t>Grant Cochrane</t>
  </si>
  <si>
    <t>Cameron Nabors</t>
  </si>
  <si>
    <t>Commercial - Int’l Freight</t>
  </si>
  <si>
    <t>Commercial - Digital/Dataworks</t>
  </si>
  <si>
    <t>Air Ops</t>
  </si>
  <si>
    <t>ES - Back Office</t>
  </si>
  <si>
    <t>Network 2.0</t>
  </si>
  <si>
    <t>Sales strategy and execution</t>
  </si>
  <si>
    <t>Planning &amp; Engineering</t>
  </si>
  <si>
    <t>Pension / Post Retirement</t>
  </si>
  <si>
    <t>Vehicles and Trailers</t>
  </si>
  <si>
    <t>IXF</t>
  </si>
  <si>
    <t>Insurance excluding Building</t>
  </si>
  <si>
    <t>OpCo dependency</t>
  </si>
  <si>
    <t>Service Level/Shipment Handling/Scan Compliance</t>
  </si>
  <si>
    <t>Allan Brown</t>
  </si>
  <si>
    <t>J: SL5</t>
  </si>
  <si>
    <t>$25M-$30M</t>
  </si>
  <si>
    <t>Yes - Severance</t>
  </si>
  <si>
    <t>E: L2- Risk</t>
  </si>
  <si>
    <t># of FTEs</t>
  </si>
  <si>
    <t>DELTA</t>
  </si>
  <si>
    <t>Packaging</t>
  </si>
  <si>
    <t>3197</t>
  </si>
  <si>
    <t>Data and Tech Domain</t>
  </si>
  <si>
    <t>FXG Linehaul / Network</t>
  </si>
  <si>
    <t>Linehaul</t>
  </si>
  <si>
    <t>Dave McIntyre</t>
  </si>
  <si>
    <t>Adam Baker, Alex Thomas</t>
  </si>
  <si>
    <t>Commercial - International Parcel</t>
  </si>
  <si>
    <t>Stephen Smith</t>
  </si>
  <si>
    <t>ES - Operations Support</t>
  </si>
  <si>
    <t>Network Optimization</t>
  </si>
  <si>
    <t>Sourcing and Procurement</t>
  </si>
  <si>
    <t>Pension / Retirement</t>
  </si>
  <si>
    <t>Other Revenue</t>
  </si>
  <si>
    <t>Maintenance and Repairs</t>
  </si>
  <si>
    <t>Pilot</t>
  </si>
  <si>
    <t>Time Keeping</t>
  </si>
  <si>
    <t>Alyssa Tokorcheck</t>
  </si>
  <si>
    <t>K: L5</t>
  </si>
  <si>
    <t>$35M-$40M</t>
  </si>
  <si>
    <t># of incidents</t>
  </si>
  <si>
    <t>DRMP</t>
  </si>
  <si>
    <t>3198</t>
  </si>
  <si>
    <t>Network 2.0 Domain</t>
  </si>
  <si>
    <t>MEISA</t>
  </si>
  <si>
    <t>Kami Viswanathan</t>
  </si>
  <si>
    <t>Nitin Navneet Tatiwala</t>
  </si>
  <si>
    <t>Commercial - LTL &amp; Domestic Express Freight</t>
  </si>
  <si>
    <t>Brian Marie</t>
  </si>
  <si>
    <t>Express - AMEA</t>
  </si>
  <si>
    <t>PF - Enterprise Foundation Services</t>
  </si>
  <si>
    <t>One FedEx</t>
  </si>
  <si>
    <t>Tax</t>
  </si>
  <si>
    <t>Sales Strategy &amp; Execution</t>
  </si>
  <si>
    <t>Recruiting &amp; Relocation</t>
  </si>
  <si>
    <t>PSALMS</t>
  </si>
  <si>
    <t>Operating Expenses</t>
  </si>
  <si>
    <t>Planning and Requirements</t>
  </si>
  <si>
    <t>Training</t>
  </si>
  <si>
    <t>Amanda Holland</t>
  </si>
  <si>
    <t>$5M-$10M</t>
  </si>
  <si>
    <t># of subscriptions</t>
  </si>
  <si>
    <t>DWX Internal</t>
  </si>
  <si>
    <t>PUD</t>
  </si>
  <si>
    <t>3201</t>
  </si>
  <si>
    <t>Procurement Domain</t>
  </si>
  <si>
    <t>Richard Smith, John Smith</t>
  </si>
  <si>
    <t>Steve Myers</t>
  </si>
  <si>
    <t>Scott Higgins, Megan Melichar</t>
  </si>
  <si>
    <t>Commercial - Marketing / Comms</t>
  </si>
  <si>
    <t>Daniel Gates</t>
  </si>
  <si>
    <t>COM - IA - Customer Integration &amp; Supply Chain Solutions</t>
  </si>
  <si>
    <t>Express EU</t>
  </si>
  <si>
    <t>PF - Information Security</t>
  </si>
  <si>
    <t>COM - IA - CSR Enablement Apps</t>
  </si>
  <si>
    <t>Prioritization Weights</t>
  </si>
  <si>
    <t>Tech Simplification</t>
  </si>
  <si>
    <t>Planning and Engineering</t>
  </si>
  <si>
    <t>Sourcing &amp; Procurement</t>
  </si>
  <si>
    <t>Retirement Savings / Absence</t>
  </si>
  <si>
    <t>US Domestic Freight</t>
  </si>
  <si>
    <t>Other Expenses</t>
  </si>
  <si>
    <t>POC</t>
  </si>
  <si>
    <t>Use of Contracted Service Providers</t>
  </si>
  <si>
    <t>Amanda Lambert</t>
  </si>
  <si>
    <t>Negative value</t>
  </si>
  <si>
    <t>G: L3- Impact</t>
  </si>
  <si>
    <t># of transactions</t>
  </si>
  <si>
    <t>EDIP</t>
  </si>
  <si>
    <t>Security</t>
  </si>
  <si>
    <t>3202</t>
  </si>
  <si>
    <t>Service Excellence Domain</t>
  </si>
  <si>
    <t>FXG P&amp;D</t>
  </si>
  <si>
    <t>P&amp;D</t>
  </si>
  <si>
    <t>Clayton Gurwell</t>
  </si>
  <si>
    <t>Andrew Cockeram</t>
  </si>
  <si>
    <t>Commercial - Retail and Returns</t>
  </si>
  <si>
    <t>Bonnie Voldeng</t>
  </si>
  <si>
    <t>PF - IT Operations &amp; Management</t>
  </si>
  <si>
    <t>COM - IA - CSR Specialty</t>
  </si>
  <si>
    <t>TriColor</t>
  </si>
  <si>
    <t>Statutory Taxes and Insurance</t>
  </si>
  <si>
    <t>US Domestic Other</t>
  </si>
  <si>
    <t>Purchased Transportation</t>
  </si>
  <si>
    <t>Amanda Williams</t>
  </si>
  <si>
    <t>G: L3 (Epic-Level)</t>
  </si>
  <si>
    <t>% accuracy</t>
  </si>
  <si>
    <t>Enterprise Analytics (eAtlas)</t>
  </si>
  <si>
    <t>Temp Labor</t>
  </si>
  <si>
    <t>3195</t>
  </si>
  <si>
    <t>Dock Domain</t>
  </si>
  <si>
    <t>Procurement</t>
  </si>
  <si>
    <t>John Dietrich, Claude Russ</t>
  </si>
  <si>
    <t>Leslie Benners</t>
  </si>
  <si>
    <t>Tyson Neas, Mark Mantaro</t>
  </si>
  <si>
    <t>Commercial - Revenue Management</t>
  </si>
  <si>
    <t>Ground</t>
  </si>
  <si>
    <t>PF - Network &amp; Infrastructure Management</t>
  </si>
  <si>
    <t>L0</t>
  </si>
  <si>
    <t>Weights</t>
  </si>
  <si>
    <t>Tuition Reimbursement</t>
  </si>
  <si>
    <t>US Domestic Pkg</t>
  </si>
  <si>
    <t>Rentals and Landing Fees</t>
  </si>
  <si>
    <t>Amar Sakaan</t>
  </si>
  <si>
    <t>% automated</t>
  </si>
  <si>
    <t>Enterprise Costing</t>
  </si>
  <si>
    <t>Uniforms</t>
  </si>
  <si>
    <t>5618</t>
  </si>
  <si>
    <t>Linehaul Domain</t>
  </si>
  <si>
    <t>FXG Safety</t>
  </si>
  <si>
    <t>Clarence Dozier</t>
  </si>
  <si>
    <t>David Scopa</t>
  </si>
  <si>
    <t>Commercial - Revenue Quality</t>
  </si>
  <si>
    <t>Chris Werner</t>
  </si>
  <si>
    <t>COM - IA - Customer Technologies</t>
  </si>
  <si>
    <t>Logistics</t>
  </si>
  <si>
    <t>SCO - Clearance</t>
  </si>
  <si>
    <t xml:space="preserve">Value Framework </t>
  </si>
  <si>
    <t>Value Framework</t>
  </si>
  <si>
    <t>Vacation/Other/Statutory</t>
  </si>
  <si>
    <t>Amar Shah</t>
  </si>
  <si>
    <t>% cage rate</t>
  </si>
  <si>
    <t>Market</t>
  </si>
  <si>
    <t>FDX</t>
  </si>
  <si>
    <t>Vehicle / GSE</t>
  </si>
  <si>
    <t>MEISA - India</t>
  </si>
  <si>
    <t>3196</t>
  </si>
  <si>
    <t>C-APAC and MEISA Domain</t>
  </si>
  <si>
    <t>Service Excellence</t>
  </si>
  <si>
    <t>Scott Ray, Richard Smith</t>
  </si>
  <si>
    <t>Commercial - Sales</t>
  </si>
  <si>
    <t>Chris Strickland</t>
  </si>
  <si>
    <t>COM - IA - Digital Access</t>
  </si>
  <si>
    <t>Operations Common Core</t>
  </si>
  <si>
    <t>SCO - Independent ARTs</t>
  </si>
  <si>
    <t>None, Accounting and reporting, Accounts payable and disbursements, Billing and Collection, Financial Planning and Analysis, Human Resources, Marketing, Payroll, Pricing, Sales strategy and execution, Sourcing and Procurement, Tax, Planning and Engineering, Other</t>
  </si>
  <si>
    <t>Variable Compensation - Benefits</t>
  </si>
  <si>
    <t>Salaries and Wages</t>
  </si>
  <si>
    <t>Amy Langston</t>
  </si>
  <si>
    <t>% closed</t>
  </si>
  <si>
    <t>Finance Insight Platform</t>
  </si>
  <si>
    <t>MEISA - MEA</t>
  </si>
  <si>
    <t>3199</t>
  </si>
  <si>
    <t>C-Commercial Domain</t>
  </si>
  <si>
    <t>Express Operations</t>
  </si>
  <si>
    <t>Surface Operations</t>
  </si>
  <si>
    <t>Scott Ray, John Smith</t>
  </si>
  <si>
    <t>Commercial - SAM Enablement</t>
  </si>
  <si>
    <t>Chris Gibney</t>
  </si>
  <si>
    <t>COM - IA - Global Information eXchange</t>
  </si>
  <si>
    <t>US Express Ops</t>
  </si>
  <si>
    <t>SCO - Linehaul</t>
  </si>
  <si>
    <t>Workers Compensation - Benefits</t>
  </si>
  <si>
    <t>Andrea Cox</t>
  </si>
  <si>
    <t>% compliant</t>
  </si>
  <si>
    <t>FXG Finance</t>
  </si>
  <si>
    <t>EU - Air</t>
  </si>
  <si>
    <t>2995</t>
  </si>
  <si>
    <t>C-Enterprise Excellence Domain</t>
  </si>
  <si>
    <t>Commercial - Southern Border</t>
  </si>
  <si>
    <t>Chris Nichols</t>
  </si>
  <si>
    <t>COM - IA - RELY ART</t>
  </si>
  <si>
    <t>SCO - Pick-up &amp; Delivery</t>
  </si>
  <si>
    <t>Andrea Sapuppo</t>
  </si>
  <si>
    <t>ProjectPlace</t>
  </si>
  <si>
    <t>% cost reduction</t>
  </si>
  <si>
    <t>Global Vaccine</t>
  </si>
  <si>
    <t>EU - Business Support</t>
  </si>
  <si>
    <t>2985</t>
  </si>
  <si>
    <t>C-Europe Domain</t>
  </si>
  <si>
    <t>Commercial - US Product</t>
  </si>
  <si>
    <t>Randy Scarborough</t>
  </si>
  <si>
    <t>COM - MS - Custom Clearance Platform</t>
  </si>
  <si>
    <t>SCO - Shipment Operations</t>
  </si>
  <si>
    <t>Financial Value (Hard in millions)</t>
  </si>
  <si>
    <t>FedEx Account Structure</t>
  </si>
  <si>
    <t>Depreciation &amp; Amortization</t>
  </si>
  <si>
    <t>Variable Compensation</t>
  </si>
  <si>
    <t>Andrea Thompson</t>
  </si>
  <si>
    <t>ZZ-Archived</t>
  </si>
  <si>
    <t>% of revenue</t>
  </si>
  <si>
    <t>GRIP</t>
  </si>
  <si>
    <t>EU - Commercial</t>
  </si>
  <si>
    <t>2996</t>
  </si>
  <si>
    <t>C-Surface Operations Domain</t>
  </si>
  <si>
    <t>EE - Facilities</t>
  </si>
  <si>
    <t>Rakesh Shalia</t>
  </si>
  <si>
    <t>COM - MS - eIAN</t>
  </si>
  <si>
    <t>SCO - Sort</t>
  </si>
  <si>
    <t>Financial Value</t>
  </si>
  <si>
    <t>Financial Value (Soft)</t>
  </si>
  <si>
    <t>All Other Direct Field Costs</t>
  </si>
  <si>
    <t>Workers Compensation</t>
  </si>
  <si>
    <t>Andrew Gosheron</t>
  </si>
  <si>
    <t>ZZ-External</t>
  </si>
  <si>
    <t>% of revenue - SAM</t>
  </si>
  <si>
    <t>HEAP</t>
  </si>
  <si>
    <t>EU - CWC</t>
  </si>
  <si>
    <t>2988</t>
  </si>
  <si>
    <t>C-Freight Domain</t>
  </si>
  <si>
    <t>EE - Finance</t>
  </si>
  <si>
    <t>Chris Golden</t>
  </si>
  <si>
    <t>COM - MS - JOIN ART</t>
  </si>
  <si>
    <t>SCO - Transportation Network</t>
  </si>
  <si>
    <t>Total</t>
  </si>
  <si>
    <t>Financial Value (Hard)</t>
  </si>
  <si>
    <t>Field Salaries &amp; Wages</t>
  </si>
  <si>
    <t>Andrew Lynn</t>
  </si>
  <si>
    <t>ZZ-Reporting Only</t>
  </si>
  <si>
    <t>% of total cost</t>
  </si>
  <si>
    <t>Janus</t>
  </si>
  <si>
    <t>EU - ERN</t>
  </si>
  <si>
    <t>2994</t>
  </si>
  <si>
    <t>C-Airline Domain</t>
  </si>
  <si>
    <t>EE - HR</t>
  </si>
  <si>
    <t>Brandon Tolbert</t>
  </si>
  <si>
    <t>COM - MS - Manage Services ART</t>
  </si>
  <si>
    <t>SCO - Warehouse</t>
  </si>
  <si>
    <t>Andrew Wagner</t>
  </si>
  <si>
    <t>Accidents per 1M miles</t>
  </si>
  <si>
    <t>KPI</t>
  </si>
  <si>
    <t>EU - France</t>
  </si>
  <si>
    <t>2998</t>
  </si>
  <si>
    <t>C-Global Clearance Domain</t>
  </si>
  <si>
    <t>EE - Legal</t>
  </si>
  <si>
    <t>Claude Russ</t>
  </si>
  <si>
    <t>COM - MS - NativeMobile ART</t>
  </si>
  <si>
    <t>Andries Waalberg</t>
  </si>
  <si>
    <t>Adoption Rate</t>
  </si>
  <si>
    <t>LIP</t>
  </si>
  <si>
    <t>EU - Front Door</t>
  </si>
  <si>
    <t>2999</t>
  </si>
  <si>
    <t>C-Dock Domain</t>
  </si>
  <si>
    <t>EE - Security</t>
  </si>
  <si>
    <t>Mandy Lambert</t>
  </si>
  <si>
    <t>COM - MS - Notifications ART</t>
  </si>
  <si>
    <t>Postage</t>
  </si>
  <si>
    <t>Andy Samples</t>
  </si>
  <si>
    <t>ADV</t>
  </si>
  <si>
    <t>Mojo</t>
  </si>
  <si>
    <t>EU - Integration Roadmap</t>
  </si>
  <si>
    <t>2986</t>
  </si>
  <si>
    <t>C-Linehaul Domain</t>
  </si>
  <si>
    <t>EE - Ship to Collect</t>
  </si>
  <si>
    <t>Dick Heiser</t>
  </si>
  <si>
    <t>COM - MS - Reporting (FCR) ART</t>
  </si>
  <si>
    <t>Aircraft Fuel</t>
  </si>
  <si>
    <t>Andy Taelman</t>
  </si>
  <si>
    <t>ADV per customer</t>
  </si>
  <si>
    <t>OIP</t>
  </si>
  <si>
    <t>EU - Italy</t>
  </si>
  <si>
    <t>2990</t>
  </si>
  <si>
    <t>C-P&amp;D Domain</t>
  </si>
  <si>
    <t>EE - Spans &amp; Layers</t>
  </si>
  <si>
    <t>Chris Connors</t>
  </si>
  <si>
    <t>COM - MS - Visibility ART</t>
  </si>
  <si>
    <t>Cost</t>
  </si>
  <si>
    <t>Vehicle Fuel</t>
  </si>
  <si>
    <t>Angela Wheland</t>
  </si>
  <si>
    <t>API success rate</t>
  </si>
  <si>
    <t>OpenAI POC</t>
  </si>
  <si>
    <t>EU - NPS</t>
  </si>
  <si>
    <t>2989</t>
  </si>
  <si>
    <t>C-Safety Domain</t>
  </si>
  <si>
    <t>Mike Callender</t>
  </si>
  <si>
    <t>COM - RS - Back Office Shared Services</t>
  </si>
  <si>
    <t>COM - REV - ePAT ART</t>
  </si>
  <si>
    <t>Building Insurance &amp; Property Tax</t>
  </si>
  <si>
    <t>Ann Higgins</t>
  </si>
  <si>
    <t>Container Utilization</t>
  </si>
  <si>
    <t>Oscar</t>
  </si>
  <si>
    <t>EU - Poland</t>
  </si>
  <si>
    <t>2992</t>
  </si>
  <si>
    <t>C-Data and Tech Domain</t>
  </si>
  <si>
    <t>COM - RS - Convenience</t>
  </si>
  <si>
    <t>COM - REV - EU Pricing &amp; Rating ART</t>
  </si>
  <si>
    <t>Rent</t>
  </si>
  <si>
    <t>Ann Lamia</t>
  </si>
  <si>
    <t>Cost % of revenue</t>
  </si>
  <si>
    <t>Racer</t>
  </si>
  <si>
    <t>EU - PUD</t>
  </si>
  <si>
    <t>2991</t>
  </si>
  <si>
    <t>C-Network 2.0 Domain</t>
  </si>
  <si>
    <t>EU - Clearance</t>
  </si>
  <si>
    <t>Floor Hommen</t>
  </si>
  <si>
    <t>COM - RS - Data Machine Engineering</t>
  </si>
  <si>
    <t>COM - REV - Freight ART</t>
  </si>
  <si>
    <t>Telephone</t>
  </si>
  <si>
    <t>Ann Mullis</t>
  </si>
  <si>
    <t>Cost per claim</t>
  </si>
  <si>
    <t>S3lick</t>
  </si>
  <si>
    <t>EU - Sort</t>
  </si>
  <si>
    <t>2993</t>
  </si>
  <si>
    <t>C-Procurement Domain</t>
  </si>
  <si>
    <t>Delphine Slootmaker, Mateusz Polatynski</t>
  </si>
  <si>
    <t>COM - RS - eCommerce</t>
  </si>
  <si>
    <t>COM - REV - Invoicing ART</t>
  </si>
  <si>
    <t>PLPD</t>
  </si>
  <si>
    <t>Ann-Marie McIntosh</t>
  </si>
  <si>
    <t>Cost per cu ft</t>
  </si>
  <si>
    <t>ShopChain Plaform</t>
  </si>
  <si>
    <t>EU - Sustainability</t>
  </si>
  <si>
    <t>2997</t>
  </si>
  <si>
    <t>C-Service Excellence Domain</t>
  </si>
  <si>
    <t>Brenda McWilliams-Piatek</t>
  </si>
  <si>
    <t>COM - RS - Platforms</t>
  </si>
  <si>
    <t>COM - REV - Pricing ART</t>
  </si>
  <si>
    <t>Anthony Langley</t>
  </si>
  <si>
    <t>Cost per flight hour</t>
  </si>
  <si>
    <t>SIE</t>
  </si>
  <si>
    <t>EU - UK</t>
  </si>
  <si>
    <t>2987</t>
  </si>
  <si>
    <t>Damir Babic</t>
  </si>
  <si>
    <t>COM - RS - Returns Technology</t>
  </si>
  <si>
    <t>COM - REV - Rating Calc ART</t>
  </si>
  <si>
    <t>Aircraft Maintenance and Repair</t>
  </si>
  <si>
    <t>Anthony Norris</t>
  </si>
  <si>
    <t>Cost per FTE</t>
  </si>
  <si>
    <t>THIVE</t>
  </si>
  <si>
    <t>FXE GC - Container Freight Stations</t>
  </si>
  <si>
    <t>3218</t>
  </si>
  <si>
    <t>Mark Timmermans</t>
  </si>
  <si>
    <t>COM - RS - Store</t>
  </si>
  <si>
    <t>COM - REV - Rating Services ART</t>
  </si>
  <si>
    <t>Facility Maintenance &amp; Repairs</t>
  </si>
  <si>
    <t>April Parker</t>
  </si>
  <si>
    <t>Cost per hour</t>
  </si>
  <si>
    <t>Victor</t>
  </si>
  <si>
    <t>FXE GC - Customer Experience</t>
  </si>
  <si>
    <t>3222</t>
  </si>
  <si>
    <t>Eser Sezek</t>
  </si>
  <si>
    <t>COM - REV - Settlement ART</t>
  </si>
  <si>
    <t>Janitorial Services</t>
  </si>
  <si>
    <t>Ari Spitzer</t>
  </si>
  <si>
    <t>Cost per mile</t>
  </si>
  <si>
    <t>FXE GC - EU Clearance</t>
  </si>
  <si>
    <t>5480</t>
  </si>
  <si>
    <t>EU - Germany</t>
  </si>
  <si>
    <t>Joey Chow</t>
  </si>
  <si>
    <t>COM - REV - Shared Services ART</t>
  </si>
  <si>
    <t>Linehaul Maintenance</t>
  </si>
  <si>
    <t>Ariel Diaz</t>
  </si>
  <si>
    <t>Cost per package</t>
  </si>
  <si>
    <t>IT - Application Optimization</t>
  </si>
  <si>
    <t>FXE GC - FTN</t>
  </si>
  <si>
    <t>3220</t>
  </si>
  <si>
    <t>Rogier van der Horst</t>
  </si>
  <si>
    <t>Maintenance - Facility/Vehicle/Equipment</t>
  </si>
  <si>
    <t>Arthur Foster</t>
  </si>
  <si>
    <t>Cost per pound</t>
  </si>
  <si>
    <t>IT - Excellence</t>
  </si>
  <si>
    <t>FXE GC - GCSS</t>
  </si>
  <si>
    <t>3219</t>
  </si>
  <si>
    <t>Guillermo Valdes</t>
  </si>
  <si>
    <t>Material Handling Maintenance &amp; Repair</t>
  </si>
  <si>
    <t>Arthur Litman</t>
  </si>
  <si>
    <t>Cost per stop</t>
  </si>
  <si>
    <t>IT - Infrastructure Optimization</t>
  </si>
  <si>
    <t>FXE GC - GECC</t>
  </si>
  <si>
    <t>3221</t>
  </si>
  <si>
    <t>Andre Beckers</t>
  </si>
  <si>
    <t>Other Maintenance</t>
  </si>
  <si>
    <t>Bala Vaidyanathan</t>
  </si>
  <si>
    <t>Customer churn %</t>
  </si>
  <si>
    <t>IT - ITAM</t>
  </si>
  <si>
    <t>FXE GC - GEMINI</t>
  </si>
  <si>
    <t>3216</t>
  </si>
  <si>
    <t>Mariusz Mik</t>
  </si>
  <si>
    <t>Advertising &amp; Promotion</t>
  </si>
  <si>
    <t>Barbara Wallander</t>
  </si>
  <si>
    <t>Customer Confidence Score</t>
  </si>
  <si>
    <t>IT - Workforce Strategy</t>
  </si>
  <si>
    <t>FXE GC - LEGO</t>
  </si>
  <si>
    <t>5481</t>
  </si>
  <si>
    <t>Hanns Hubertus</t>
  </si>
  <si>
    <t>Leases &amp; Rentals</t>
  </si>
  <si>
    <t>Basil Khalil</t>
  </si>
  <si>
    <t>Load Factor</t>
  </si>
  <si>
    <t>FXG D - DPS</t>
  </si>
  <si>
    <t>FXE GC - Northbound (NB) Clearance Optimization</t>
  </si>
  <si>
    <t>3223</t>
  </si>
  <si>
    <t>Pete Thompson</t>
  </si>
  <si>
    <t>Other Operating</t>
  </si>
  <si>
    <t>Behcet Inanc</t>
  </si>
  <si>
    <t>MBG %</t>
  </si>
  <si>
    <t>FXG D - Execution</t>
  </si>
  <si>
    <t>FXE GC - Trade Management Systems (TMS)</t>
  </si>
  <si>
    <t>3217</t>
  </si>
  <si>
    <t>EU - Service</t>
  </si>
  <si>
    <t>Jonathan Pierret, Louise Whitehouse</t>
  </si>
  <si>
    <t>Printing &amp; Duplication</t>
  </si>
  <si>
    <t>Belinda Watkins</t>
  </si>
  <si>
    <t>Miles per cu ft</t>
  </si>
  <si>
    <t>FXG D - Field Mgmt &amp; Clerical Staffing</t>
  </si>
  <si>
    <t>Express Operations - Dock</t>
  </si>
  <si>
    <t>3204</t>
  </si>
  <si>
    <t>Rob Peto</t>
  </si>
  <si>
    <t>COM - S&amp;CDE - Core</t>
  </si>
  <si>
    <t>COM - S&amp;CDE - Commercial Data Enablement</t>
  </si>
  <si>
    <t>All Other Accounts</t>
  </si>
  <si>
    <t>Benjamin Huwer</t>
  </si>
  <si>
    <t>Miles per package</t>
  </si>
  <si>
    <t>FXG D - Planning</t>
  </si>
  <si>
    <t>Express Operations - Fleet</t>
  </si>
  <si>
    <t>Jeff Tallman</t>
  </si>
  <si>
    <t>Bad Debt</t>
  </si>
  <si>
    <t>Benjamin Krone</t>
  </si>
  <si>
    <t>Miles per pound</t>
  </si>
  <si>
    <t>FXG D - Staffing</t>
  </si>
  <si>
    <t>Express Operations - Linehaul (middle mile)</t>
  </si>
  <si>
    <t>3206</t>
  </si>
  <si>
    <t>COM - S&amp;CDE - Customer Relationship Management</t>
  </si>
  <si>
    <t>Bennett Merida</t>
  </si>
  <si>
    <t>NPS Score</t>
  </si>
  <si>
    <t>Express Operations - P&amp;D</t>
  </si>
  <si>
    <t>3205</t>
  </si>
  <si>
    <t>Tom Barry</t>
  </si>
  <si>
    <t>D&amp;AI - IA - EDA</t>
  </si>
  <si>
    <t>D&amp;AI - IA -  FDNA</t>
  </si>
  <si>
    <t>Crew Travel</t>
  </si>
  <si>
    <t>Bethany Rocheleau</t>
  </si>
  <si>
    <t>OM per customer</t>
  </si>
  <si>
    <t>Express Operations - Safety</t>
  </si>
  <si>
    <t>5484</t>
  </si>
  <si>
    <t>Brian Marflack</t>
  </si>
  <si>
    <t>D&amp;AI - IA -  VEDA</t>
  </si>
  <si>
    <t>Customer Labor</t>
  </si>
  <si>
    <t>Betty Hale</t>
  </si>
  <si>
    <t>On time %</t>
  </si>
  <si>
    <t>3224</t>
  </si>
  <si>
    <t>Tom Lopez</t>
  </si>
  <si>
    <t>Customs/Duties/Taxes</t>
  </si>
  <si>
    <t>Beverly Wilhelm</t>
  </si>
  <si>
    <t>On time delivery %</t>
  </si>
  <si>
    <t>3225</t>
  </si>
  <si>
    <t>Tina Hughes</t>
  </si>
  <si>
    <t>ES - BO - EBS - Costing ART</t>
  </si>
  <si>
    <t>Feeder Operations/Air Navigation</t>
  </si>
  <si>
    <t>Bhanu Manne</t>
  </si>
  <si>
    <t>Other - Use Line Notes</t>
  </si>
  <si>
    <t>3237</t>
  </si>
  <si>
    <t>Amar Sakaan, Ray Carroll</t>
  </si>
  <si>
    <t>ES - BO - EBS - Enterprise Legal Systems ART</t>
  </si>
  <si>
    <t>Hardware/Software</t>
  </si>
  <si>
    <t>Billy Willard</t>
  </si>
  <si>
    <t>Packages per labor hour</t>
  </si>
  <si>
    <t>3231</t>
  </si>
  <si>
    <t>Kevin Burkhart</t>
  </si>
  <si>
    <t>ES - BO - EBS - HR Technology ART</t>
  </si>
  <si>
    <t>Hiring</t>
  </si>
  <si>
    <t>Bobbi Wells</t>
  </si>
  <si>
    <t>Packages per stop</t>
  </si>
  <si>
    <t>3236</t>
  </si>
  <si>
    <t>Patrick Dimento</t>
  </si>
  <si>
    <t>ES - BO - Financial Accounting Systems ART</t>
  </si>
  <si>
    <t>Legal Fees/Settlements/Reserves</t>
  </si>
  <si>
    <t>Bobby Willis</t>
  </si>
  <si>
    <t>Post Call Survey Score</t>
  </si>
  <si>
    <t>3229</t>
  </si>
  <si>
    <t>Jeff Euler</t>
  </si>
  <si>
    <t>ES - BO - Payroll Technology ART</t>
  </si>
  <si>
    <t>PT Motor %</t>
  </si>
  <si>
    <t>3232</t>
  </si>
  <si>
    <t>Paul Tronsor</t>
  </si>
  <si>
    <t>ES - BO - Tax, Treasury, and Fuel ART</t>
  </si>
  <si>
    <t>Miscellaneous Operating Expense</t>
  </si>
  <si>
    <t>PT Rail %</t>
  </si>
  <si>
    <t>5650</t>
  </si>
  <si>
    <t>Ken Wilson, Tom Barry</t>
  </si>
  <si>
    <t>ES - OS - Fleet Asset Management (FAM)</t>
  </si>
  <si>
    <t>Non-Payroll Taxes</t>
  </si>
  <si>
    <t>Brandon Waits</t>
  </si>
  <si>
    <t>Rate / mile</t>
  </si>
  <si>
    <t>3233</t>
  </si>
  <si>
    <t>ES - OS - Responsible Corporate Citizenship (RCC)</t>
  </si>
  <si>
    <t>Operating Supplies/Uniforms/Printing</t>
  </si>
  <si>
    <t>Revenue per customer</t>
  </si>
  <si>
    <t>3234</t>
  </si>
  <si>
    <t>Joshua Canfield</t>
  </si>
  <si>
    <t>PF - EFS - Address</t>
  </si>
  <si>
    <t>Operating Taxes and Licenses</t>
  </si>
  <si>
    <t>Postage Freight</t>
  </si>
  <si>
    <t>Brent Meyers</t>
  </si>
  <si>
    <t>Revenue per package</t>
  </si>
  <si>
    <t>3226</t>
  </si>
  <si>
    <t>Martin Hubert</t>
  </si>
  <si>
    <t>PF - EFS - Customer</t>
  </si>
  <si>
    <t>Other P&amp;D</t>
  </si>
  <si>
    <t>Brent Mohair</t>
  </si>
  <si>
    <t>Revenue per pound</t>
  </si>
  <si>
    <t>3227</t>
  </si>
  <si>
    <t>Tom Wicinski</t>
  </si>
  <si>
    <t>PF - EFS - Customer Prod Support</t>
  </si>
  <si>
    <t>Other Wages</t>
  </si>
  <si>
    <t>Supplies</t>
  </si>
  <si>
    <t>Brian DeCair</t>
  </si>
  <si>
    <t>Service Level %</t>
  </si>
  <si>
    <t>3235</t>
  </si>
  <si>
    <t>Terri Tennison</t>
  </si>
  <si>
    <t>PF - EFS - EFS Unified Systems</t>
  </si>
  <si>
    <t>Outside Service Contracts</t>
  </si>
  <si>
    <t>Advertising and Promotion</t>
  </si>
  <si>
    <t>Brian Faughnan</t>
  </si>
  <si>
    <t>Sorts / week</t>
  </si>
  <si>
    <t>3228</t>
  </si>
  <si>
    <t>Bill Schweitzer</t>
  </si>
  <si>
    <t>PF - EFS - GEFS</t>
  </si>
  <si>
    <t>Advertising/Communications</t>
  </si>
  <si>
    <t>Brian Marflak</t>
  </si>
  <si>
    <t>Stops per resource</t>
  </si>
  <si>
    <t>3230</t>
  </si>
  <si>
    <t>PF - EFS - Product, Location, &amp; Geo-Political</t>
  </si>
  <si>
    <t>Retail Sales Charges</t>
  </si>
  <si>
    <t>Brian Philips</t>
  </si>
  <si>
    <t>Surcharge waiver %</t>
  </si>
  <si>
    <t>SE - Enterprise</t>
  </si>
  <si>
    <t>3241</t>
  </si>
  <si>
    <t>FXE GC – GCSS</t>
  </si>
  <si>
    <t>Ralph Carter</t>
  </si>
  <si>
    <t>PF - EFS - Shipment</t>
  </si>
  <si>
    <t>Revenue Supplies/Postage</t>
  </si>
  <si>
    <t>Brian Poland</t>
  </si>
  <si>
    <t>User per brand</t>
  </si>
  <si>
    <t>SE - FXF</t>
  </si>
  <si>
    <t>3240</t>
  </si>
  <si>
    <t>Doug Belding</t>
  </si>
  <si>
    <t>PF - InfoSec - Business Agility</t>
  </si>
  <si>
    <t>Weight / package</t>
  </si>
  <si>
    <t>SE - International</t>
  </si>
  <si>
    <t>3238</t>
  </si>
  <si>
    <t>FXE GC – GEMINI</t>
  </si>
  <si>
    <t>PF - InfoSec - CRISPS</t>
  </si>
  <si>
    <t>Bruce Townsend</t>
  </si>
  <si>
    <t>Yield per package</t>
  </si>
  <si>
    <t>SE - Surface</t>
  </si>
  <si>
    <t>3242</t>
  </si>
  <si>
    <t>PF - InfoSec - Cyber Risk Metrics</t>
  </si>
  <si>
    <t>T&amp;E</t>
  </si>
  <si>
    <t>Bryan Scherer</t>
  </si>
  <si>
    <t>Yield per pound</t>
  </si>
  <si>
    <t>3257</t>
  </si>
  <si>
    <t>FXE GC – Northbound (NB) Clearance Optimization</t>
  </si>
  <si>
    <t>PF - InfoSec - Data Privacy</t>
  </si>
  <si>
    <t>Tolls &amp; Registration</t>
  </si>
  <si>
    <t>Buck McGugan</t>
  </si>
  <si>
    <t>FXF - Custom Critical</t>
  </si>
  <si>
    <t>5486</t>
  </si>
  <si>
    <t>Jason Campbell</t>
  </si>
  <si>
    <t>PF - InfoSec - Defend e-Commerce PMO (EPMO)</t>
  </si>
  <si>
    <t>Burnetta Williams</t>
  </si>
  <si>
    <t>FXF - Dock</t>
  </si>
  <si>
    <t>3253</t>
  </si>
  <si>
    <t>Cory Herrman</t>
  </si>
  <si>
    <t>PF - InfoSec - Digital Forensics</t>
  </si>
  <si>
    <t>Utilities</t>
  </si>
  <si>
    <t>C Sharp</t>
  </si>
  <si>
    <t>FXF - FAST</t>
  </si>
  <si>
    <t>3251</t>
  </si>
  <si>
    <t>Matt Ducher, Brandon Ali</t>
  </si>
  <si>
    <t>PF - InfoSec - Enterprise Compliance</t>
  </si>
  <si>
    <t>Insurance and Claims</t>
  </si>
  <si>
    <t>Camila Lima</t>
  </si>
  <si>
    <t>FXF - LH</t>
  </si>
  <si>
    <t>3252</t>
  </si>
  <si>
    <t>Trevor Bettley</t>
  </si>
  <si>
    <t>PF - InfoSec - Enterprise Data Governance</t>
  </si>
  <si>
    <t>Aircraft Leases</t>
  </si>
  <si>
    <t>Carl Asmus</t>
  </si>
  <si>
    <t>FXF - P&amp;D</t>
  </si>
  <si>
    <t>3249</t>
  </si>
  <si>
    <t>Doug Clavier</t>
  </si>
  <si>
    <t>PF - InfoSec - Enterprise IT Risk Management</t>
  </si>
  <si>
    <t>Landing / Ramp Fees</t>
  </si>
  <si>
    <t>Carla Maiocchi</t>
  </si>
  <si>
    <t>FXF - Revenue Quality</t>
  </si>
  <si>
    <t>3245</t>
  </si>
  <si>
    <t>Mike Lyons</t>
  </si>
  <si>
    <t>PF - InfoSec - Enterprise Security Assurance</t>
  </si>
  <si>
    <t>Rentals - Facility / Vehicle / Equipment</t>
  </si>
  <si>
    <t>Carlos Etheredge</t>
  </si>
  <si>
    <t>FXF - Safety</t>
  </si>
  <si>
    <t>3247</t>
  </si>
  <si>
    <t>Darren Plumlee</t>
  </si>
  <si>
    <t>PF - InfoSec - Fraud Discovery Hunt</t>
  </si>
  <si>
    <t>Field Clerical Wages</t>
  </si>
  <si>
    <t>Carlton Anderson</t>
  </si>
  <si>
    <t>3248</t>
  </si>
  <si>
    <t>David Ojeda</t>
  </si>
  <si>
    <t>PF - InfoSec - Global Agile Transformation</t>
  </si>
  <si>
    <t>Field Management Wages</t>
  </si>
  <si>
    <t>Carmen Zamora</t>
  </si>
  <si>
    <t>3250</t>
  </si>
  <si>
    <t>Joe Vitaliano</t>
  </si>
  <si>
    <t>PF - InfoSec - GRC Business Enablement</t>
  </si>
  <si>
    <t>Package Handler Wages</t>
  </si>
  <si>
    <t>Carmon Lannom</t>
  </si>
  <si>
    <t>3244</t>
  </si>
  <si>
    <t>Ian Payner</t>
  </si>
  <si>
    <t>PF - InfoSec - Head of Region (AMEA Build Run)</t>
  </si>
  <si>
    <t>Other Operating Expenses</t>
  </si>
  <si>
    <t>Carole Woodward</t>
  </si>
  <si>
    <t>3246</t>
  </si>
  <si>
    <t>Mark Grebinoski</t>
  </si>
  <si>
    <t>PF - InfoSec - Head of Region (China Engagement)</t>
  </si>
  <si>
    <t>Salaries and Wages - Fixed</t>
  </si>
  <si>
    <t>Cary Blancett</t>
  </si>
  <si>
    <t>PM - AOD</t>
  </si>
  <si>
    <t>3271</t>
  </si>
  <si>
    <t>Dawn Perry</t>
  </si>
  <si>
    <t>PF - InfoSec - IT Governance (Liaison and Customer Assurance)</t>
  </si>
  <si>
    <t>Salaries and Wages - Pilot Pay</t>
  </si>
  <si>
    <t>Cary Pappas</t>
  </si>
  <si>
    <t>PM - Capabilities &amp; Enablers</t>
  </si>
  <si>
    <t>3263</t>
  </si>
  <si>
    <t>FXG LHN - Dispatch Rules</t>
  </si>
  <si>
    <t>Kyle Hahn</t>
  </si>
  <si>
    <t>PF - InfoSec - Product Security Governance &amp; Technology</t>
  </si>
  <si>
    <t>Salaries and Wages - Variable</t>
  </si>
  <si>
    <t>Outside Service Contract</t>
  </si>
  <si>
    <t>Cathy Ross</t>
  </si>
  <si>
    <t>PM - CT Air / Ocean</t>
  </si>
  <si>
    <t>5654</t>
  </si>
  <si>
    <t>FXG LHN - Equipment Balance</t>
  </si>
  <si>
    <t>Kirk Bradley</t>
  </si>
  <si>
    <t>PF - InfoSec - Risk Data Engineering</t>
  </si>
  <si>
    <t>Salaries and Wages excluding Field</t>
  </si>
  <si>
    <t>Chacko Verghese</t>
  </si>
  <si>
    <t>PM - CT Linehaul / Rail</t>
  </si>
  <si>
    <t>5488</t>
  </si>
  <si>
    <t>FXG LHN - Facility Infrastructure (Rent &amp; Maint)</t>
  </si>
  <si>
    <t>Rachel Ryman</t>
  </si>
  <si>
    <t>PF - InfoSec - Risk Data Science</t>
  </si>
  <si>
    <t>Charles Buchas</t>
  </si>
  <si>
    <t>PM - Engineering &amp; Network</t>
  </si>
  <si>
    <t>5489</t>
  </si>
  <si>
    <t>FXG LHN - Facility Infrastructure (Rent &amp; Maintenance)</t>
  </si>
  <si>
    <t>FXG LHN - Mode Optimization</t>
  </si>
  <si>
    <t>Zachary Ambrisco</t>
  </si>
  <si>
    <t>PF - InfoSec - Risky Business</t>
  </si>
  <si>
    <t>Purchased Trans</t>
  </si>
  <si>
    <t>Charles Malone</t>
  </si>
  <si>
    <t>PM - Facilities Managed Services</t>
  </si>
  <si>
    <t>3260</t>
  </si>
  <si>
    <t>FXG LHN - N2.0: LHN</t>
  </si>
  <si>
    <t>Jason Honeycutt</t>
  </si>
  <si>
    <t>PF - InfoSec - Standards, M&amp;A Plannings, ISO Intl VRM</t>
  </si>
  <si>
    <t>Charles Thomson</t>
  </si>
  <si>
    <t>PM - Global Fuel</t>
  </si>
  <si>
    <t>3258</t>
  </si>
  <si>
    <t>FXG LHN - Network Optimization</t>
  </si>
  <si>
    <t>Chris Giesey</t>
  </si>
  <si>
    <t>PF - InfoSec - Threat Intelligence</t>
  </si>
  <si>
    <t>Charlotte Richardson</t>
  </si>
  <si>
    <t>PM - Ops Supplies</t>
  </si>
  <si>
    <t>3265</t>
  </si>
  <si>
    <t>FXG LHN - Power Play</t>
  </si>
  <si>
    <t>Craig Molinaro</t>
  </si>
  <si>
    <t>PF - InfoSec - Transformation Guardians</t>
  </si>
  <si>
    <t>Revenue Growth or Revenue Degradation</t>
  </si>
  <si>
    <t>Cheryl O'Brien</t>
  </si>
  <si>
    <t>PM - Packaging</t>
  </si>
  <si>
    <t>5492</t>
  </si>
  <si>
    <t>FXG LHN - Technology &amp; Modernization</t>
  </si>
  <si>
    <t>Jackie Makinen</t>
  </si>
  <si>
    <t>PF - InfoSec - X-Men</t>
  </si>
  <si>
    <t>PM - Professional Fees</t>
  </si>
  <si>
    <t>3262</t>
  </si>
  <si>
    <t>FXG P&amp;D - CSP Input Costs</t>
  </si>
  <si>
    <t>Daysha Love</t>
  </si>
  <si>
    <t>PF - ITOM - End-User Compute</t>
  </si>
  <si>
    <t>Chris Demos</t>
  </si>
  <si>
    <t>PM - Professional Service</t>
  </si>
  <si>
    <t>3267</t>
  </si>
  <si>
    <t>FXG P&amp;D - Economy</t>
  </si>
  <si>
    <t>Sushil Sehrawat</t>
  </si>
  <si>
    <t>PF - ITOM - Enterprise Service Desk</t>
  </si>
  <si>
    <t>Chris Goossens</t>
  </si>
  <si>
    <t>PM - Security</t>
  </si>
  <si>
    <t>3269</t>
  </si>
  <si>
    <t>FXG P&amp;D - Non-CSP Spends</t>
  </si>
  <si>
    <t>Julie Receski</t>
  </si>
  <si>
    <t>PF - ITOM - Incident Operations Center</t>
  </si>
  <si>
    <t>PM - Temp Labor</t>
  </si>
  <si>
    <t>5493</t>
  </si>
  <si>
    <t>FXG P&amp;D - On Road Productivity</t>
  </si>
  <si>
    <t>PF - ITOM - IT Asset Management</t>
  </si>
  <si>
    <t>Chris Suhoza</t>
  </si>
  <si>
    <t>PM - Uniforms</t>
  </si>
  <si>
    <t>5494</t>
  </si>
  <si>
    <t>FXG P&amp;D - Operating model</t>
  </si>
  <si>
    <t>Richard Lapradd</t>
  </si>
  <si>
    <t>PF - ITOM - IT Command Center</t>
  </si>
  <si>
    <t>Christiaan van der Waal</t>
  </si>
  <si>
    <t>Network 2.0 - Facilities</t>
  </si>
  <si>
    <t>PM - Vehicles / GSE</t>
  </si>
  <si>
    <t>3266</t>
  </si>
  <si>
    <t>FXG P&amp;D - Packages / Stop</t>
  </si>
  <si>
    <t>Heath Baker</t>
  </si>
  <si>
    <t>PF - ITOM - Network Operations Control</t>
  </si>
  <si>
    <t>Christina Conrad</t>
  </si>
  <si>
    <t>Network 2.0 - Middle Mile</t>
  </si>
  <si>
    <t>3280</t>
  </si>
  <si>
    <t>FXG S - Accountability &amp; Claims</t>
  </si>
  <si>
    <t>PF - ITOM - ServiceNow</t>
  </si>
  <si>
    <t>Christine Belling</t>
  </si>
  <si>
    <t>Network 2.0 - Operations &amp; Service Support (NOSS)</t>
  </si>
  <si>
    <t>3278</t>
  </si>
  <si>
    <t>FXG S - Technology &amp; Certification</t>
  </si>
  <si>
    <t>PF - NIM - AMP</t>
  </si>
  <si>
    <t>Christine Richards</t>
  </si>
  <si>
    <t>Network 2.0 - P&amp;D</t>
  </si>
  <si>
    <t>3281</t>
  </si>
  <si>
    <t>Joe Stephan</t>
  </si>
  <si>
    <t>PF - NIM - Data Service &amp; Rely</t>
  </si>
  <si>
    <t>Christopher Brown</t>
  </si>
  <si>
    <t>Network 2.0 - Technology</t>
  </si>
  <si>
    <t>3279</t>
  </si>
  <si>
    <t>IT - Application Rationalization: Back Office</t>
  </si>
  <si>
    <t>Ali Zaidi</t>
  </si>
  <si>
    <t>PF - NIM - Engineering</t>
  </si>
  <si>
    <t>Christopher Gant</t>
  </si>
  <si>
    <t>Network 2.0 - Workforce &amp; Communications</t>
  </si>
  <si>
    <t>3282</t>
  </si>
  <si>
    <t>IT - Application Rationalization: Commercial</t>
  </si>
  <si>
    <t>Frank Jary</t>
  </si>
  <si>
    <t>PF - NIM - Enterprise Network Services</t>
  </si>
  <si>
    <t>Christopher Wood</t>
  </si>
  <si>
    <t>3277</t>
  </si>
  <si>
    <t>IT - Application Rationalization: Operations</t>
  </si>
  <si>
    <t>Kirt Satam</t>
  </si>
  <si>
    <t>PF - NIM - Field Operations and Implementation</t>
  </si>
  <si>
    <t>Christopher Young</t>
  </si>
  <si>
    <t>3272</t>
  </si>
  <si>
    <t>IT - Infrastructure International</t>
  </si>
  <si>
    <t>PF - NIM - Planning, Network, and Solution Management</t>
  </si>
  <si>
    <t>Chui-Fun Angelia Hong</t>
  </si>
  <si>
    <t>IT - Infrastructure US</t>
  </si>
  <si>
    <t>Arthi Nagarajan</t>
  </si>
  <si>
    <t>PF - NIM - Systems &amp; Messaging</t>
  </si>
  <si>
    <t>3274</t>
  </si>
  <si>
    <t>Taarek Hinedi, Pallavi Singhal</t>
  </si>
  <si>
    <t>SCO - CLR - APAC OpSol - G1.0</t>
  </si>
  <si>
    <t>3276</t>
  </si>
  <si>
    <t>Jason Evers</t>
  </si>
  <si>
    <t>SCO - CLR - EU Clearance</t>
  </si>
  <si>
    <t>SCO - CLR - Brokerage Trade Solutions</t>
  </si>
  <si>
    <t>Clay Roach</t>
  </si>
  <si>
    <t>3275</t>
  </si>
  <si>
    <t>Kyle Han</t>
  </si>
  <si>
    <t>Clement Klank</t>
  </si>
  <si>
    <t>3273</t>
  </si>
  <si>
    <t>Steve Condo</t>
  </si>
  <si>
    <t>SCO - CLR - GEMINI</t>
  </si>
  <si>
    <t>Clifford Hardt</t>
  </si>
  <si>
    <t>3283</t>
  </si>
  <si>
    <t>Steve Stayduhar, Matt Edwards</t>
  </si>
  <si>
    <t>SCO - CLR - International Ground</t>
  </si>
  <si>
    <t>Clint McCoy</t>
  </si>
  <si>
    <t>3288</t>
  </si>
  <si>
    <t>Shawn Weis</t>
  </si>
  <si>
    <t>SCO - CLR - LETS LAC</t>
  </si>
  <si>
    <t>Connie Lewis Lensing</t>
  </si>
  <si>
    <t>3285</t>
  </si>
  <si>
    <t>Angela Wheland, Dick Heiser, Gareth Aiken, Stacey Heitzenrater</t>
  </si>
  <si>
    <t>SCO - CLR - MEISA - Clearance</t>
  </si>
  <si>
    <t>Courtney Keen</t>
  </si>
  <si>
    <t>3287</t>
  </si>
  <si>
    <t>Aditi Khanna</t>
  </si>
  <si>
    <t>SCO - CLR - Regulatory</t>
  </si>
  <si>
    <t>Craig Lilley</t>
  </si>
  <si>
    <t>5506</t>
  </si>
  <si>
    <t>SCO - CLR - Reimagine</t>
  </si>
  <si>
    <t>Crystal Oliver</t>
  </si>
  <si>
    <t>3284</t>
  </si>
  <si>
    <t>Quincy McGlown</t>
  </si>
  <si>
    <t>SCO - CLR - Trade Tools</t>
  </si>
  <si>
    <t>Cynthia Allen</t>
  </si>
  <si>
    <t>3289</t>
  </si>
  <si>
    <t>PM - Contingent Labor</t>
  </si>
  <si>
    <t>Jason Holz</t>
  </si>
  <si>
    <t>SCO - IA - P&amp;P</t>
  </si>
  <si>
    <t>SCO - IA - APAC AUS-NZ Consolidated ART</t>
  </si>
  <si>
    <t>Cynthia Spangler</t>
  </si>
  <si>
    <t>3286</t>
  </si>
  <si>
    <t>PM - Contract Transportation</t>
  </si>
  <si>
    <t>SCO - IA - SPS/SPOTS</t>
  </si>
  <si>
    <t>SCO - IA - APAC OpSol - All for One</t>
  </si>
  <si>
    <t>Cynthia Wyckoff</t>
  </si>
  <si>
    <t>3301</t>
  </si>
  <si>
    <t>PM - Facilities</t>
  </si>
  <si>
    <t>SCO - IA - TVS</t>
  </si>
  <si>
    <t>SCO - IA - FAAR</t>
  </si>
  <si>
    <t>D. John Jackson</t>
  </si>
  <si>
    <t>5508</t>
  </si>
  <si>
    <t>D. Mark Connell</t>
  </si>
  <si>
    <t>3302</t>
  </si>
  <si>
    <t>PM - Health</t>
  </si>
  <si>
    <t>Greg Paulus</t>
  </si>
  <si>
    <t>D. Mark Hogan</t>
  </si>
  <si>
    <t>3298</t>
  </si>
  <si>
    <t>PM - Ops Equipment</t>
  </si>
  <si>
    <t>Justin Troy</t>
  </si>
  <si>
    <t>Daniel Lubic</t>
  </si>
  <si>
    <t>3300</t>
  </si>
  <si>
    <t>PM - Ops Equipment Maint.</t>
  </si>
  <si>
    <t>SCO - LH - Air Freight Cargo Systems (AFCS)</t>
  </si>
  <si>
    <t>Daniel Mullally</t>
  </si>
  <si>
    <t>3299</t>
  </si>
  <si>
    <t>SCO - LH - FCC Custom Critical</t>
  </si>
  <si>
    <t>SCO - LH - EU - Linehaul</t>
  </si>
  <si>
    <t>Daniel Vines</t>
  </si>
  <si>
    <t>3294</t>
  </si>
  <si>
    <t>SCO - LH - FXL - Air, Commercial &amp; Specialty Solutions (ACSS)</t>
  </si>
  <si>
    <t>Darin Schmanke</t>
  </si>
  <si>
    <t>3295</t>
  </si>
  <si>
    <t>PM - Revenue &amp; Ops Supplies</t>
  </si>
  <si>
    <t>SCO - LH - FXL - FTN - Shared Services</t>
  </si>
  <si>
    <t>Darren Cantrelle</t>
  </si>
  <si>
    <t>3290</t>
  </si>
  <si>
    <t>SCO - LH - FXL - Transportation &amp; Brokerage</t>
  </si>
  <si>
    <t>3291</t>
  </si>
  <si>
    <t>PM - Vehicles</t>
  </si>
  <si>
    <t>SCO - LH - FXL Customer Experience</t>
  </si>
  <si>
    <t>Darryl Regan</t>
  </si>
  <si>
    <t>3293</t>
  </si>
  <si>
    <t>PM - VP&amp;M</t>
  </si>
  <si>
    <t>George Richardson</t>
  </si>
  <si>
    <t>SCO - LH - GFO (Air Ops)</t>
  </si>
  <si>
    <t>Darryl Sherman</t>
  </si>
  <si>
    <t>3292</t>
  </si>
  <si>
    <t>Neil Both</t>
  </si>
  <si>
    <t>SCO - LH - LHE</t>
  </si>
  <si>
    <t>Dave Miller</t>
  </si>
  <si>
    <t>3296</t>
  </si>
  <si>
    <t>Brandon Maus</t>
  </si>
  <si>
    <t>David Bronczek</t>
  </si>
  <si>
    <t>3297</t>
  </si>
  <si>
    <t>Scott Beaves</t>
  </si>
  <si>
    <t>SCO - LH - TKO (Air Ops)</t>
  </si>
  <si>
    <t>David Cunningham</t>
  </si>
  <si>
    <t>C-FXE AN - Crew</t>
  </si>
  <si>
    <t>3991</t>
  </si>
  <si>
    <t>SCO - LH - US - Linehaul</t>
  </si>
  <si>
    <t>David Henry</t>
  </si>
  <si>
    <t>C-FXE AN - Density</t>
  </si>
  <si>
    <t>3992</t>
  </si>
  <si>
    <t>SCO - LH - US - VALET</t>
  </si>
  <si>
    <t>David Herring</t>
  </si>
  <si>
    <t>C-FXE AN - Fleet</t>
  </si>
  <si>
    <t>3993</t>
  </si>
  <si>
    <t>SCO - P&amp;D - APAC AUS-NZ Domestics LEO</t>
  </si>
  <si>
    <t>David Kevern</t>
  </si>
  <si>
    <t>C-FXE AN - Fuel</t>
  </si>
  <si>
    <t>3994</t>
  </si>
  <si>
    <t>SCO - P&amp;D - Conveyance</t>
  </si>
  <si>
    <t>David Leech</t>
  </si>
  <si>
    <t>Removed mappings</t>
  </si>
  <si>
    <t>C-FXE AN - Global Partner Network (GPN)</t>
  </si>
  <si>
    <t>3995</t>
  </si>
  <si>
    <t>Removed</t>
  </si>
  <si>
    <t>SCO - P&amp;D - EU - FOPD</t>
  </si>
  <si>
    <t>David McIntyre</t>
  </si>
  <si>
    <t>C-FXE AN - GOC</t>
  </si>
  <si>
    <t>3996</t>
  </si>
  <si>
    <t>Jonathan Hardin</t>
  </si>
  <si>
    <t>SCO - P&amp;D - Run and Close</t>
  </si>
  <si>
    <t>SCO - P&amp;D - Plan &amp; Prepare</t>
  </si>
  <si>
    <t>&lt;Client&gt; Account Structure</t>
  </si>
  <si>
    <t>David Morales</t>
  </si>
  <si>
    <t>C-FXE AN - Hubs and Ramps</t>
  </si>
  <si>
    <t>3997</t>
  </si>
  <si>
    <t>David Payton</t>
  </si>
  <si>
    <t>C-FXE AN - Network Transformations</t>
  </si>
  <si>
    <t>3998</t>
  </si>
  <si>
    <t>SCO - SO - Domain ART</t>
  </si>
  <si>
    <t>David Ross</t>
  </si>
  <si>
    <t>C-FXE AN - Tech Ops</t>
  </si>
  <si>
    <t>3999</t>
  </si>
  <si>
    <t>Paul Beardmore</t>
  </si>
  <si>
    <t>SCO - SO - Shipment Fulfilment ART</t>
  </si>
  <si>
    <t>David Russell</t>
  </si>
  <si>
    <t>C-APAC - Air</t>
  </si>
  <si>
    <t>4000</t>
  </si>
  <si>
    <t>SCO - SO - Shipment Itinerary &amp; Consolidation ART</t>
  </si>
  <si>
    <t>David Slipper</t>
  </si>
  <si>
    <t>Air &amp; International</t>
  </si>
  <si>
    <t>C-APAC - AU Domestic</t>
  </si>
  <si>
    <t>4001</t>
  </si>
  <si>
    <t>SCO - SO - Shipment Systems ART</t>
  </si>
  <si>
    <t>David Slonim</t>
  </si>
  <si>
    <t>C-APAC - Clearance</t>
  </si>
  <si>
    <t>4002</t>
  </si>
  <si>
    <t>SCO - SO - Shipment Task ART</t>
  </si>
  <si>
    <t>David Zanca</t>
  </si>
  <si>
    <t>SE - Ground</t>
  </si>
  <si>
    <t>C-APAC - ECommerce &amp; Commercial</t>
  </si>
  <si>
    <t>4003</t>
  </si>
  <si>
    <t>ZZ-PM - IT - Technical services</t>
  </si>
  <si>
    <t>SCO - SRT - Closing</t>
  </si>
  <si>
    <t>Dean Jamieson</t>
  </si>
  <si>
    <t>C-APAC - EGER</t>
  </si>
  <si>
    <t>4004</t>
  </si>
  <si>
    <t>ZZ-PM - Sourcing</t>
  </si>
  <si>
    <t>SCO - SRT - Dock &amp; Yard</t>
  </si>
  <si>
    <t>Denise Abbott</t>
  </si>
  <si>
    <t>PM - IT</t>
  </si>
  <si>
    <t>C-APAC - Ground</t>
  </si>
  <si>
    <t>4005</t>
  </si>
  <si>
    <t>ZZ-PM - VP&amp;M</t>
  </si>
  <si>
    <t>SCO - SRT - Plan &amp; Prepare</t>
  </si>
  <si>
    <t>Denise Wood</t>
  </si>
  <si>
    <t>PM - IT - End user</t>
  </si>
  <si>
    <t>C-APAC - SEA</t>
  </si>
  <si>
    <t>5619</t>
  </si>
  <si>
    <t>ZZ-PM - Ops Equipment Maint.</t>
  </si>
  <si>
    <t>SCO - SRT - Run Sort Operations</t>
  </si>
  <si>
    <t>Dennice Wilson</t>
  </si>
  <si>
    <t>PM - IT - Technical services</t>
  </si>
  <si>
    <t>C-MEISA - India</t>
  </si>
  <si>
    <t>4006</t>
  </si>
  <si>
    <t>ZZ-PM - IT</t>
  </si>
  <si>
    <t>SCO - SRT - Sort</t>
  </si>
  <si>
    <t>Dennie Carey</t>
  </si>
  <si>
    <t>C-MEISA - MEA</t>
  </si>
  <si>
    <t>4007</t>
  </si>
  <si>
    <t>ZZ-PM - IT - End user</t>
  </si>
  <si>
    <t>SCO - TN - ELRS</t>
  </si>
  <si>
    <t>Dennis Beal</t>
  </si>
  <si>
    <t>PM - Sourcing</t>
  </si>
  <si>
    <t>C-EU - Air</t>
  </si>
  <si>
    <t>4008</t>
  </si>
  <si>
    <t>ZZ-SE - Ground</t>
  </si>
  <si>
    <t>Scott Burns</t>
  </si>
  <si>
    <t>SCO - TN - EPART</t>
  </si>
  <si>
    <t>Dennis Michael</t>
  </si>
  <si>
    <t>C-EU - Business Support</t>
  </si>
  <si>
    <t>4009</t>
  </si>
  <si>
    <t>ZZ-PM - Capabilities &amp; Enablers</t>
  </si>
  <si>
    <t>SCO - TN - Network Generation</t>
  </si>
  <si>
    <t>Dennis Roche</t>
  </si>
  <si>
    <t>C-EU - Commercial</t>
  </si>
  <si>
    <t>4011</t>
  </si>
  <si>
    <t>SCO - TN - NPOE</t>
  </si>
  <si>
    <t>Dennis Shirokov</t>
  </si>
  <si>
    <t>C-EU - CWC</t>
  </si>
  <si>
    <t>4012</t>
  </si>
  <si>
    <t>SCO - WH - CIL</t>
  </si>
  <si>
    <t>Denys Fredette</t>
  </si>
  <si>
    <t>C-EU - ERN</t>
  </si>
  <si>
    <t>4013</t>
  </si>
  <si>
    <t>SCO - WH - FL-SC-Contract Logistics</t>
  </si>
  <si>
    <t>Desmond Morgan</t>
  </si>
  <si>
    <t>C-EU - France</t>
  </si>
  <si>
    <t>4014</t>
  </si>
  <si>
    <t>SCO - WH - SC-Forward and Reverse Logistics</t>
  </si>
  <si>
    <t>Dianne Stokely</t>
  </si>
  <si>
    <t>C-EU - Front Door</t>
  </si>
  <si>
    <t>4015</t>
  </si>
  <si>
    <t>C-EU - Integration Roadmap</t>
  </si>
  <si>
    <t>4016</t>
  </si>
  <si>
    <t>Doak Slay</t>
  </si>
  <si>
    <t>C-EU - Italy</t>
  </si>
  <si>
    <t>4017</t>
  </si>
  <si>
    <t>Dominic Daulton</t>
  </si>
  <si>
    <t>C-EU - NPS</t>
  </si>
  <si>
    <t>4018</t>
  </si>
  <si>
    <t>Dominique Van Den Peereboom</t>
  </si>
  <si>
    <t>C-EU - Poland</t>
  </si>
  <si>
    <t>4019</t>
  </si>
  <si>
    <t>Donald Barber</t>
  </si>
  <si>
    <t>C-EU - PUD</t>
  </si>
  <si>
    <t>4020</t>
  </si>
  <si>
    <t>Donald Brown</t>
  </si>
  <si>
    <t>C-EU - Sort</t>
  </si>
  <si>
    <t>4021</t>
  </si>
  <si>
    <t>Donald Colvin</t>
  </si>
  <si>
    <t>C-EU - Sustainability</t>
  </si>
  <si>
    <t>4022</t>
  </si>
  <si>
    <t>Donald Comer</t>
  </si>
  <si>
    <t>C-EU - UK</t>
  </si>
  <si>
    <t>4023</t>
  </si>
  <si>
    <t>Donald Dillman</t>
  </si>
  <si>
    <t>C-FXE GC - Container Freight Stations</t>
  </si>
  <si>
    <t>4024</t>
  </si>
  <si>
    <t>Donald Fike</t>
  </si>
  <si>
    <t>C-FXE GC - Customer Experience</t>
  </si>
  <si>
    <t>4025</t>
  </si>
  <si>
    <t>Donald Gibson</t>
  </si>
  <si>
    <t>C-FXE GC - EU Clearance</t>
  </si>
  <si>
    <t>5482</t>
  </si>
  <si>
    <t>Donald Kwasigroh</t>
  </si>
  <si>
    <t>C-FXE GC - FTN</t>
  </si>
  <si>
    <t>4026</t>
  </si>
  <si>
    <t>Donald Maliniak</t>
  </si>
  <si>
    <t>C-FXE GC - GCSS</t>
  </si>
  <si>
    <t>4027</t>
  </si>
  <si>
    <t>DONALD MARTINEZ</t>
  </si>
  <si>
    <t>C-FXE GC - GECC</t>
  </si>
  <si>
    <t>4028</t>
  </si>
  <si>
    <t>Donald Vogel</t>
  </si>
  <si>
    <t>C-FXE GC - GEMINI</t>
  </si>
  <si>
    <t>4029</t>
  </si>
  <si>
    <t>Donna Brazelton</t>
  </si>
  <si>
    <t>C-FXE GC - LEGO</t>
  </si>
  <si>
    <t>5483</t>
  </si>
  <si>
    <t>Donna Cook</t>
  </si>
  <si>
    <t>C-FXE GC - Northbound (NB) Clearance Optimization</t>
  </si>
  <si>
    <t>4030</t>
  </si>
  <si>
    <t>Donna Humphreys</t>
  </si>
  <si>
    <t>C-FXE GC - Trade Management Systems (TMS)</t>
  </si>
  <si>
    <t>4031</t>
  </si>
  <si>
    <t>Dorothy Berry</t>
  </si>
  <si>
    <t>C-Express Operations - Dock</t>
  </si>
  <si>
    <t>4032</t>
  </si>
  <si>
    <t>Doug Knoch</t>
  </si>
  <si>
    <t>C-Express Operations - Fleet</t>
  </si>
  <si>
    <t>Douglas Cook</t>
  </si>
  <si>
    <t>C-Express Operations - Linehaul (middle mile)</t>
  </si>
  <si>
    <t>4033</t>
  </si>
  <si>
    <t>Douglas Duncan</t>
  </si>
  <si>
    <t>C-Express Operations - P&amp;D</t>
  </si>
  <si>
    <t>4034</t>
  </si>
  <si>
    <t>Douglas Jones</t>
  </si>
  <si>
    <t>C-Express Operations - Safety</t>
  </si>
  <si>
    <t>5485</t>
  </si>
  <si>
    <t>Douglas McKenna</t>
  </si>
  <si>
    <t>C-Commercial - CX</t>
  </si>
  <si>
    <t>4095</t>
  </si>
  <si>
    <t>Edith KELLY GREEN</t>
  </si>
  <si>
    <t>C-Commercial - Digital/CX</t>
  </si>
  <si>
    <t>4096</t>
  </si>
  <si>
    <t>Edward Lyons</t>
  </si>
  <si>
    <t>C-Commercial - Digital/Dataworks</t>
  </si>
  <si>
    <t>4097</t>
  </si>
  <si>
    <t>Edwin Smith</t>
  </si>
  <si>
    <t>C-Commercial - Healthcare</t>
  </si>
  <si>
    <t>4098</t>
  </si>
  <si>
    <t>Elizabeth Casteel</t>
  </si>
  <si>
    <t>C-Commercial - Int’l Freight</t>
  </si>
  <si>
    <t>4099</t>
  </si>
  <si>
    <t>Elizabeth Koziol</t>
  </si>
  <si>
    <t>C-Commercial - International Parcel</t>
  </si>
  <si>
    <t>4100</t>
  </si>
  <si>
    <t>Ellen Beerman</t>
  </si>
  <si>
    <t>C-Commercial - LTL &amp; Domestic Express Freight</t>
  </si>
  <si>
    <t>4101</t>
  </si>
  <si>
    <t>Ellen Foks</t>
  </si>
  <si>
    <t>C-Commercial - Marketing / Comms</t>
  </si>
  <si>
    <t>5651</t>
  </si>
  <si>
    <t>Emma Wright</t>
  </si>
  <si>
    <t>C-Commercial - Retail and Returns</t>
  </si>
  <si>
    <t>4102</t>
  </si>
  <si>
    <t>Eric Keane</t>
  </si>
  <si>
    <t>C-Commercial - Revenue Management</t>
  </si>
  <si>
    <t>4103</t>
  </si>
  <si>
    <t>Erin Callahan</t>
  </si>
  <si>
    <t>C-Commercial - Revenue Quality</t>
  </si>
  <si>
    <t>4104</t>
  </si>
  <si>
    <t>Ernest Sowell</t>
  </si>
  <si>
    <t>C-Commercial - Sales</t>
  </si>
  <si>
    <t>4105</t>
  </si>
  <si>
    <t>C-Commercial - SAM Enablement</t>
  </si>
  <si>
    <t>4106</t>
  </si>
  <si>
    <t>Esperanza Lopez Virtue</t>
  </si>
  <si>
    <t>C-Commercial - Southern Border</t>
  </si>
  <si>
    <t>4107</t>
  </si>
  <si>
    <t>Eugene Bastedo</t>
  </si>
  <si>
    <t>C-Commercial - US Product</t>
  </si>
  <si>
    <t>4108</t>
  </si>
  <si>
    <t>F Kenny</t>
  </si>
  <si>
    <t>C-SE - Enterprise</t>
  </si>
  <si>
    <t>4109</t>
  </si>
  <si>
    <t>Francis Murkowski</t>
  </si>
  <si>
    <t>C-SE - FXF</t>
  </si>
  <si>
    <t>4111</t>
  </si>
  <si>
    <t>C-SE - International</t>
  </si>
  <si>
    <t>4112</t>
  </si>
  <si>
    <t>Frank LeRose</t>
  </si>
  <si>
    <t>C-SE - Surface</t>
  </si>
  <si>
    <t>4113</t>
  </si>
  <si>
    <t>Fred Lukachinsky</t>
  </si>
  <si>
    <t>C-IT - Application Optimization</t>
  </si>
  <si>
    <t>4088</t>
  </si>
  <si>
    <t>Frederic Francois</t>
  </si>
  <si>
    <t>C-IT - Excellence</t>
  </si>
  <si>
    <t>5487</t>
  </si>
  <si>
    <t>Frederick Smith</t>
  </si>
  <si>
    <t>C-IT - Infrastructure Optimization</t>
  </si>
  <si>
    <t>4092</t>
  </si>
  <si>
    <t>Frederick Turino</t>
  </si>
  <si>
    <t>C-IT - ITAM</t>
  </si>
  <si>
    <t>4093</t>
  </si>
  <si>
    <t>G. Clark</t>
  </si>
  <si>
    <t>C-IT - Workforce Strategy</t>
  </si>
  <si>
    <t>4094</t>
  </si>
  <si>
    <t>G. Ross Dahlstrom</t>
  </si>
  <si>
    <t>C-EE - Facilities</t>
  </si>
  <si>
    <t>4081</t>
  </si>
  <si>
    <t>Gareth Aiken</t>
  </si>
  <si>
    <t>C-EE - Finance</t>
  </si>
  <si>
    <t>4082</t>
  </si>
  <si>
    <t>Gary Bronson</t>
  </si>
  <si>
    <t>C-EE - HR</t>
  </si>
  <si>
    <t>4083</t>
  </si>
  <si>
    <t>Gek-Pin Audrey Cheong</t>
  </si>
  <si>
    <t>C-EE - Legal</t>
  </si>
  <si>
    <t>4084</t>
  </si>
  <si>
    <t>George Chalmers</t>
  </si>
  <si>
    <t>C-EE - Security</t>
  </si>
  <si>
    <t>4085</t>
  </si>
  <si>
    <t>George Hearn</t>
  </si>
  <si>
    <t>C-EE - Ship to Collect</t>
  </si>
  <si>
    <t>4086</t>
  </si>
  <si>
    <t>George Silverman</t>
  </si>
  <si>
    <t>C-EE - Spans &amp; Layers</t>
  </si>
  <si>
    <t>4087</t>
  </si>
  <si>
    <t>George Zettler</t>
  </si>
  <si>
    <t>C-PM - AOD</t>
  </si>
  <si>
    <t>4067</t>
  </si>
  <si>
    <t>Gerald Leary</t>
  </si>
  <si>
    <t>C-PM - Capabilities &amp; Enablers</t>
  </si>
  <si>
    <t>4068</t>
  </si>
  <si>
    <t>Geri Feldman</t>
  </si>
  <si>
    <t>C-PM - CT Air / Ocean</t>
  </si>
  <si>
    <t>4069</t>
  </si>
  <si>
    <t>Giles Scott</t>
  </si>
  <si>
    <t>C-PM - CT Linehaul / Rail</t>
  </si>
  <si>
    <t>5495</t>
  </si>
  <si>
    <t>Gina Adams</t>
  </si>
  <si>
    <t>C-PM - Engineering &amp; Network</t>
  </si>
  <si>
    <t>5496</t>
  </si>
  <si>
    <t>Glen Corbin</t>
  </si>
  <si>
    <t>C-PM - Facilities Managed Services</t>
  </si>
  <si>
    <t>5497</t>
  </si>
  <si>
    <t>Glenda Corwin</t>
  </si>
  <si>
    <t>C-PM - Global Fuel</t>
  </si>
  <si>
    <t>4071</t>
  </si>
  <si>
    <t>Glenn Mylle</t>
  </si>
  <si>
    <t>C-PM - Ops Supplies</t>
  </si>
  <si>
    <t>5501</t>
  </si>
  <si>
    <t>Glenn Pearson</t>
  </si>
  <si>
    <t>C-PM - Packaging</t>
  </si>
  <si>
    <t>5502</t>
  </si>
  <si>
    <t>Glenn Sessoms</t>
  </si>
  <si>
    <t>C-PM - Professional Fees</t>
  </si>
  <si>
    <t>4075</t>
  </si>
  <si>
    <t>Gloria Boyland</t>
  </si>
  <si>
    <t>C-PM - Professional Service</t>
  </si>
  <si>
    <t>4076</t>
  </si>
  <si>
    <t>Gopal Krishnamurthi</t>
  </si>
  <si>
    <t>C-PM - Security</t>
  </si>
  <si>
    <t>4078</t>
  </si>
  <si>
    <t>Graham Smith</t>
  </si>
  <si>
    <t>C-PM - Temp Labor</t>
  </si>
  <si>
    <t>5504</t>
  </si>
  <si>
    <t>C-PM - Uniforms</t>
  </si>
  <si>
    <t>5505</t>
  </si>
  <si>
    <t>Greg Satterfield</t>
  </si>
  <si>
    <t>C-PM - Vehicles / GSE</t>
  </si>
  <si>
    <t>4079</t>
  </si>
  <si>
    <t>Gregory Hall</t>
  </si>
  <si>
    <t>C-FXG D - DPS</t>
  </si>
  <si>
    <t>4043</t>
  </si>
  <si>
    <t>Guy Erwin</t>
  </si>
  <si>
    <t>C-FXG D - Execution</t>
  </si>
  <si>
    <t>4044</t>
  </si>
  <si>
    <t>Hamdi Osman</t>
  </si>
  <si>
    <t>C-FXG D - Field Mgmt &amp; Clerical Staffing</t>
  </si>
  <si>
    <t>4045</t>
  </si>
  <si>
    <t>Harald Schoenfelder</t>
  </si>
  <si>
    <t>C-FXG D - Planning</t>
  </si>
  <si>
    <t>4046</t>
  </si>
  <si>
    <t>Harry Dalton</t>
  </si>
  <si>
    <t>C-FXG D - Staffing</t>
  </si>
  <si>
    <t>4047</t>
  </si>
  <si>
    <t>Heather Ezelle</t>
  </si>
  <si>
    <t>C-FXF - Custom Critical</t>
  </si>
  <si>
    <t>4048</t>
  </si>
  <si>
    <t>Heather Rorie</t>
  </si>
  <si>
    <t>C-FXF - Dock</t>
  </si>
  <si>
    <t>4049</t>
  </si>
  <si>
    <t>Henry Maier</t>
  </si>
  <si>
    <t>C-FXF - FAST</t>
  </si>
  <si>
    <t>7065</t>
  </si>
  <si>
    <t>Henry Wiseman</t>
  </si>
  <si>
    <t>C-FXF - LH</t>
  </si>
  <si>
    <t>4050</t>
  </si>
  <si>
    <t>Hiu-Yee Wong</t>
  </si>
  <si>
    <t>C-FXF - P&amp;D</t>
  </si>
  <si>
    <t>4051</t>
  </si>
  <si>
    <t>Hrishikesh Yaligar</t>
  </si>
  <si>
    <t>C-FXF - Revenue Quality</t>
  </si>
  <si>
    <t>4052</t>
  </si>
  <si>
    <t>Hsin-Hsiao Jimmy Chen</t>
  </si>
  <si>
    <t>C-FXF - Safety</t>
  </si>
  <si>
    <t>4053</t>
  </si>
  <si>
    <t>Huafreed Nasarwanji</t>
  </si>
  <si>
    <t>C-FXG LHN - Dispatch Rules</t>
  </si>
  <si>
    <t>4036</t>
  </si>
  <si>
    <t>Humberto Lira</t>
  </si>
  <si>
    <t>C-FXG LHN - Equipment Balance</t>
  </si>
  <si>
    <t>4037</t>
  </si>
  <si>
    <t>Ingmar Bergman</t>
  </si>
  <si>
    <t>C-FXG LHN - Facility Infrastructure (Rent &amp; Maint)</t>
  </si>
  <si>
    <t>4038</t>
  </si>
  <si>
    <t>James Bailey</t>
  </si>
  <si>
    <t>C-FXG LHN - Mode Optimization</t>
  </si>
  <si>
    <t>4039</t>
  </si>
  <si>
    <t>James Bowman</t>
  </si>
  <si>
    <t>C-FXG LHN - N2.0: LHN</t>
  </si>
  <si>
    <t>5507</t>
  </si>
  <si>
    <t>James Charles</t>
  </si>
  <si>
    <t>C-FXG LHN - Network Optimization</t>
  </si>
  <si>
    <t>4040</t>
  </si>
  <si>
    <t>James Clippard</t>
  </si>
  <si>
    <t>C-FXG LHN - Power Play</t>
  </si>
  <si>
    <t>4041</t>
  </si>
  <si>
    <t>James Collier</t>
  </si>
  <si>
    <t>C-FXG LHN - Technology &amp; Modernization</t>
  </si>
  <si>
    <t>4042</t>
  </si>
  <si>
    <t>James Colson</t>
  </si>
  <si>
    <t>C-Network 2.0 - Facilities</t>
  </si>
  <si>
    <t>4054</t>
  </si>
  <si>
    <t>James Davis</t>
  </si>
  <si>
    <t>C-Network 2.0 - Middle Mile</t>
  </si>
  <si>
    <t>5509</t>
  </si>
  <si>
    <t>James Ferguson</t>
  </si>
  <si>
    <t>C-Network 2.0 -Operations &amp; Service Support (NOSS)</t>
  </si>
  <si>
    <t>4055</t>
  </si>
  <si>
    <t>James Gorman</t>
  </si>
  <si>
    <t>C-Network 2.0 - P&amp;D</t>
  </si>
  <si>
    <t>4056</t>
  </si>
  <si>
    <t>James Hudson</t>
  </si>
  <si>
    <t>C-Network 2.0 - Technology</t>
  </si>
  <si>
    <t>4057</t>
  </si>
  <si>
    <t>James Moore</t>
  </si>
  <si>
    <t>C-Network 2.0 - Workforce &amp; Communications</t>
  </si>
  <si>
    <t>4058</t>
  </si>
  <si>
    <t>James Muhs</t>
  </si>
  <si>
    <t>C-FXG P&amp;D - CSP Input Costs</t>
  </si>
  <si>
    <t>4059</t>
  </si>
  <si>
    <t>James Parker</t>
  </si>
  <si>
    <t>C-FXG P&amp;D - Economy</t>
  </si>
  <si>
    <t>4060</t>
  </si>
  <si>
    <t>James Perkins</t>
  </si>
  <si>
    <t>C-FXG P&amp;D - Non-CSP Spends</t>
  </si>
  <si>
    <t>4061</t>
  </si>
  <si>
    <t>James Sowell</t>
  </si>
  <si>
    <t>C-FXG P&amp;D - On Road Productivity</t>
  </si>
  <si>
    <t>4062</t>
  </si>
  <si>
    <t>James Webb</t>
  </si>
  <si>
    <t>C-FXG P&amp;D - Operating model</t>
  </si>
  <si>
    <t>4063</t>
  </si>
  <si>
    <t>Jamie Meziere</t>
  </si>
  <si>
    <t>C-FXG P&amp;D - Packages / Stop</t>
  </si>
  <si>
    <t>4064</t>
  </si>
  <si>
    <t>Jamie Pourciaux</t>
  </si>
  <si>
    <t>C-FXG S - Accountability &amp; Claims</t>
  </si>
  <si>
    <t>4065</t>
  </si>
  <si>
    <t>Jan Dekempe</t>
  </si>
  <si>
    <t>C-FXG S - Technology &amp; Certification</t>
  </si>
  <si>
    <t>4066</t>
  </si>
  <si>
    <t>Jan Mertens</t>
  </si>
  <si>
    <t>Jane Amaba</t>
  </si>
  <si>
    <t>Jan-Hein Louwman</t>
  </si>
  <si>
    <t>Archived Pods</t>
  </si>
  <si>
    <t>Old code</t>
  </si>
  <si>
    <t>5478</t>
  </si>
  <si>
    <t>Jay Cofield</t>
  </si>
  <si>
    <t>C-EU - Service</t>
  </si>
  <si>
    <t>5479</t>
  </si>
  <si>
    <t>Jeana Littrell</t>
  </si>
  <si>
    <t>3000</t>
  </si>
  <si>
    <t>Jeffery Greer</t>
  </si>
  <si>
    <t>C-EU - Germany</t>
  </si>
  <si>
    <t>4010</t>
  </si>
  <si>
    <t>Jeffery Robertson</t>
  </si>
  <si>
    <t>Jeffrey Burns</t>
  </si>
  <si>
    <t>Jeffrey Euler</t>
  </si>
  <si>
    <t>Jeffrey First</t>
  </si>
  <si>
    <t>JEFFREY HEYMAN</t>
  </si>
  <si>
    <t>Jeffrey Hurlbut</t>
  </si>
  <si>
    <t>Jeffrey Lewis</t>
  </si>
  <si>
    <t>Jeffrey Roemer</t>
  </si>
  <si>
    <t>Jeffrey Sobecki</t>
  </si>
  <si>
    <t>Jeffrey Tallman</t>
  </si>
  <si>
    <t>Jeffrey Thornton</t>
  </si>
  <si>
    <t>Jenifer Hollander</t>
  </si>
  <si>
    <t>Jennifer Robertson</t>
  </si>
  <si>
    <t>Jeremy Goldstrich</t>
  </si>
  <si>
    <t>Jeremy Moore</t>
  </si>
  <si>
    <t>Jerod Littlefield</t>
  </si>
  <si>
    <t>Jerome Broadhurst</t>
  </si>
  <si>
    <t>Jerry Bateman</t>
  </si>
  <si>
    <t>Jerry Beyl</t>
  </si>
  <si>
    <t>Jessica Bradford</t>
  </si>
  <si>
    <t>Jill Brannon</t>
  </si>
  <si>
    <t>Jimmy Burk</t>
  </si>
  <si>
    <t>Jimmy Phillips</t>
  </si>
  <si>
    <t>Jinyu Sun</t>
  </si>
  <si>
    <t>Joe Hinson</t>
  </si>
  <si>
    <t>Johannes Renirie</t>
  </si>
  <si>
    <t>John Allison</t>
  </si>
  <si>
    <t>John Dunavant</t>
  </si>
  <si>
    <t>John Formisano</t>
  </si>
  <si>
    <t>John Gazitua</t>
  </si>
  <si>
    <t>John Hartney</t>
  </si>
  <si>
    <t>John Hinckley</t>
  </si>
  <si>
    <t>JOHN KNAZUR</t>
  </si>
  <si>
    <t>John Maxwell</t>
  </si>
  <si>
    <t>John Merino</t>
  </si>
  <si>
    <t>John Miles</t>
  </si>
  <si>
    <t>John Sowell</t>
  </si>
  <si>
    <t>Jorge Esteban Gomez</t>
  </si>
  <si>
    <t>Jorge Luis Torres</t>
  </si>
  <si>
    <t>Jorn van de Plas</t>
  </si>
  <si>
    <t>Jose Touzon Aguilera</t>
  </si>
  <si>
    <t>Joseph Carroll</t>
  </si>
  <si>
    <t>Joseph McCarty</t>
  </si>
  <si>
    <t>Joseph Milcoff</t>
  </si>
  <si>
    <t>Joseph Schiffhouer</t>
  </si>
  <si>
    <t>Joseph Stephens</t>
  </si>
  <si>
    <t>Juan Cento</t>
  </si>
  <si>
    <t>Judith Edge</t>
  </si>
  <si>
    <t>Julien Ducoup</t>
  </si>
  <si>
    <t>Julio Barrionuevo</t>
  </si>
  <si>
    <t>Julio Colomba</t>
  </si>
  <si>
    <t>Ka-Leung Eddy Chan</t>
  </si>
  <si>
    <t>Kan-Yip Hui</t>
  </si>
  <si>
    <t>Karen Ellis</t>
  </si>
  <si>
    <t>Karen Galambos</t>
  </si>
  <si>
    <t>Karen Reddington</t>
  </si>
  <si>
    <t>Karen Rogers</t>
  </si>
  <si>
    <t>Karen Stendardi</t>
  </si>
  <si>
    <t>Karl Stingily</t>
  </si>
  <si>
    <t>Kathryn Bunker</t>
  </si>
  <si>
    <t>Ken Hisamoto</t>
  </si>
  <si>
    <t>Kenneth Koval</t>
  </si>
  <si>
    <t>Kenneth Masterson</t>
  </si>
  <si>
    <t>Kenneth Spangler</t>
  </si>
  <si>
    <t>Kenneth Willoughby</t>
  </si>
  <si>
    <t>Kenneth Wilson</t>
  </si>
  <si>
    <t>Kevin Humphries</t>
  </si>
  <si>
    <t>Kevin Koken</t>
  </si>
  <si>
    <t>Kevin O'Hearn</t>
  </si>
  <si>
    <t>Kimberly Dixon</t>
  </si>
  <si>
    <t>Kimberly Whigham</t>
  </si>
  <si>
    <t>Kimberly White</t>
  </si>
  <si>
    <t>Kimble Scott</t>
  </si>
  <si>
    <t>Kirstin Knott</t>
  </si>
  <si>
    <t>Kwok-Yi Wilson Chung</t>
  </si>
  <si>
    <t>Lance Mangum</t>
  </si>
  <si>
    <t>Lance Moll</t>
  </si>
  <si>
    <t>Larry Labelle</t>
  </si>
  <si>
    <t>Larry McMahan</t>
  </si>
  <si>
    <t>Larry Netter</t>
  </si>
  <si>
    <t>Larry Tieman</t>
  </si>
  <si>
    <t>Laurie Tucker</t>
  </si>
  <si>
    <t>Lawrence Lanier</t>
  </si>
  <si>
    <t>Leendert Creyf</t>
  </si>
  <si>
    <t>Leonard Feiler</t>
  </si>
  <si>
    <t>Leonard Hostetter</t>
  </si>
  <si>
    <t>LESLIE BENNERS</t>
  </si>
  <si>
    <t>Linda Brigance</t>
  </si>
  <si>
    <t>Linda Williamson</t>
  </si>
  <si>
    <t>Lisa Lisson</t>
  </si>
  <si>
    <t>Lisa Payne</t>
  </si>
  <si>
    <t>Lori Dilonardo</t>
  </si>
  <si>
    <t>Luiz Vasconcelos</t>
  </si>
  <si>
    <t>Lynn Gorman</t>
  </si>
  <si>
    <t>Lynn Perucca</t>
  </si>
  <si>
    <t>Maher Hasbini</t>
  </si>
  <si>
    <t>Malcolm Sullivan</t>
  </si>
  <si>
    <t>Manfred Schardt</t>
  </si>
  <si>
    <t>Marc Williams</t>
  </si>
  <si>
    <t>Marilyn Blanco Reyes</t>
  </si>
  <si>
    <t>Mario Jones</t>
  </si>
  <si>
    <t>Marius Penninks</t>
  </si>
  <si>
    <t>Mark Allen</t>
  </si>
  <si>
    <t>Mark Bianchi</t>
  </si>
  <si>
    <t>Mark Blair</t>
  </si>
  <si>
    <t>Mark Colombo</t>
  </si>
  <si>
    <t>Mark Cox</t>
  </si>
  <si>
    <t>Mark McGough</t>
  </si>
  <si>
    <t>Mark Ruddock</t>
  </si>
  <si>
    <t>Mark Turner</t>
  </si>
  <si>
    <t>Mark Yerger</t>
  </si>
  <si>
    <t>Markus Huber</t>
  </si>
  <si>
    <t>Martha Carr</t>
  </si>
  <si>
    <t>Martin Davis</t>
  </si>
  <si>
    <t>Martin Gussinklo</t>
  </si>
  <si>
    <t>Martje van der Linde</t>
  </si>
  <si>
    <t>Mary Coulter</t>
  </si>
  <si>
    <t>Mary McDaniel</t>
  </si>
  <si>
    <t>Mary Simmons</t>
  </si>
  <si>
    <t>Masamichi Ujiie</t>
  </si>
  <si>
    <t>Matthew James</t>
  </si>
  <si>
    <t>Matthew Rittenhour</t>
  </si>
  <si>
    <t>Matthew Thornton III</t>
  </si>
  <si>
    <t>Matthew Tokorcheck</t>
  </si>
  <si>
    <t>Melvyn Stokes</t>
  </si>
  <si>
    <t>Micah Bell</t>
  </si>
  <si>
    <t>Michael Callender</t>
  </si>
  <si>
    <t>Michael Cukor</t>
  </si>
  <si>
    <t>Michael Drapeau</t>
  </si>
  <si>
    <t>Michael Ducker</t>
  </si>
  <si>
    <t>Michael Dunavant</t>
  </si>
  <si>
    <t>Michael Fryt</t>
  </si>
  <si>
    <t>Michael Gabel</t>
  </si>
  <si>
    <t>Michael Hagan</t>
  </si>
  <si>
    <t>Michael Higley</t>
  </si>
  <si>
    <t>Michael Hillard</t>
  </si>
  <si>
    <t>Michael Knoll</t>
  </si>
  <si>
    <t>Michael Lauderdale</t>
  </si>
  <si>
    <t>Michael Lenz</t>
  </si>
  <si>
    <t>Michael Lyons</t>
  </si>
  <si>
    <t>Michael Milligan</t>
  </si>
  <si>
    <t>Michael Mitchell</t>
  </si>
  <si>
    <t>Michael Moriarty</t>
  </si>
  <si>
    <t>Michael Pigors</t>
  </si>
  <si>
    <t>MICHAEL PRESTON</t>
  </si>
  <si>
    <t>Michael Robinson</t>
  </si>
  <si>
    <t>Michael St Martin</t>
  </si>
  <si>
    <t>Michael Wrick</t>
  </si>
  <si>
    <t>Michelle Miller</t>
  </si>
  <si>
    <t>Miguel Cortes Y Flores</t>
  </si>
  <si>
    <t>Ming-Kwang Philip Cheng</t>
  </si>
  <si>
    <t>Mitch Jackson</t>
  </si>
  <si>
    <t>Mohamad Sayegh</t>
  </si>
  <si>
    <t>Monica Skipper</t>
  </si>
  <si>
    <t>Nathaniel Wells III</t>
  </si>
  <si>
    <t>Neil Lanasa</t>
  </si>
  <si>
    <t>Nicholas Gennari</t>
  </si>
  <si>
    <t>Nick Davignon</t>
  </si>
  <si>
    <t>Nikhil Puri</t>
  </si>
  <si>
    <t>Ole Petter Skaaksrud</t>
  </si>
  <si>
    <t>Oyenike Oyerinde</t>
  </si>
  <si>
    <t>Paloma Romero-Salazar</t>
  </si>
  <si>
    <t>Patrick DiMento</t>
  </si>
  <si>
    <t>Patrick Donlon</t>
  </si>
  <si>
    <t>Patrick Duffy</t>
  </si>
  <si>
    <t>Patrick Elam</t>
  </si>
  <si>
    <t>Patrick Finan</t>
  </si>
  <si>
    <t>Patrick Galvin</t>
  </si>
  <si>
    <t>Patrick Hopper</t>
  </si>
  <si>
    <t>Patrick McCoy</t>
  </si>
  <si>
    <t>Patrick Moebel</t>
  </si>
  <si>
    <t>Patrick Reed</t>
  </si>
  <si>
    <t>Patrick Stienlet</t>
  </si>
  <si>
    <t>Patrick Super</t>
  </si>
  <si>
    <t>Paul Cassel</t>
  </si>
  <si>
    <t>Paul Davis</t>
  </si>
  <si>
    <t>Paul Herron</t>
  </si>
  <si>
    <t>Paul Jordan</t>
  </si>
  <si>
    <t>Paul LeMay</t>
  </si>
  <si>
    <t>Paul Melander</t>
  </si>
  <si>
    <t>Paul Wicks</t>
  </si>
  <si>
    <t>Penelope Register</t>
  </si>
  <si>
    <t>Perry Dickey</t>
  </si>
  <si>
    <t>Peter Blumberg</t>
  </si>
  <si>
    <t>Peter McQuillan</t>
  </si>
  <si>
    <t>Peter Roy</t>
  </si>
  <si>
    <t>Peter Tesink</t>
  </si>
  <si>
    <t>Peter Thompson</t>
  </si>
  <si>
    <t>Peter Yin</t>
  </si>
  <si>
    <t>Petra Rittersberger</t>
  </si>
  <si>
    <t>Phil Parkin</t>
  </si>
  <si>
    <t>Phillip Blum</t>
  </si>
  <si>
    <t>Phillip Sadler</t>
  </si>
  <si>
    <t>Pina Starnino</t>
  </si>
  <si>
    <t>Poh-Yian Koh</t>
  </si>
  <si>
    <t>Predrag Lakic</t>
  </si>
  <si>
    <t>Preetha Vijayakumar</t>
  </si>
  <si>
    <t>R. Larry Brown</t>
  </si>
  <si>
    <t>Rajesh Singh</t>
  </si>
  <si>
    <t>Rajesh Subramaniam</t>
  </si>
  <si>
    <t>Rakesh Puri</t>
  </si>
  <si>
    <t>Ramabhadran T. Srinivasan</t>
  </si>
  <si>
    <t>Ramona Hood</t>
  </si>
  <si>
    <t>Randall Scarborough</t>
  </si>
  <si>
    <t>Randy Gardner</t>
  </si>
  <si>
    <t>Randy Pepper</t>
  </si>
  <si>
    <t>Raymond Hatton</t>
  </si>
  <si>
    <t>Rebecca Huling</t>
  </si>
  <si>
    <t>Rebecca Yeung</t>
  </si>
  <si>
    <t>Rene Bustamante</t>
  </si>
  <si>
    <t>Richard Gerber</t>
  </si>
  <si>
    <t>Richard Goldaber</t>
  </si>
  <si>
    <t>Richard Heiser</t>
  </si>
  <si>
    <t>Richard Nicholas Swift</t>
  </si>
  <si>
    <t>Richard Poff</t>
  </si>
  <si>
    <t>Richard Roberts</t>
  </si>
  <si>
    <t>Richard Rodgers</t>
  </si>
  <si>
    <t>Rita Cowans</t>
  </si>
  <si>
    <t>Robbin Page</t>
  </si>
  <si>
    <t>Robert Beau</t>
  </si>
  <si>
    <t>Robert Bennett</t>
  </si>
  <si>
    <t>Robert Brown</t>
  </si>
  <si>
    <t>Robert Bryden</t>
  </si>
  <si>
    <t>Robert Carter</t>
  </si>
  <si>
    <t>Robert Cooper</t>
  </si>
  <si>
    <t>Robert Deans</t>
  </si>
  <si>
    <t>Robert Elliott</t>
  </si>
  <si>
    <t>Robert Green</t>
  </si>
  <si>
    <t>Robert Henning</t>
  </si>
  <si>
    <t>Robert Holcombe</t>
  </si>
  <si>
    <t>Robert King</t>
  </si>
  <si>
    <t>Robert Minford</t>
  </si>
  <si>
    <t>Robert Molinet</t>
  </si>
  <si>
    <t>Robert Palmer</t>
  </si>
  <si>
    <t>Robert Peto</t>
  </si>
  <si>
    <t>Robert Pudlo</t>
  </si>
  <si>
    <t>Robert Quinn</t>
  </si>
  <si>
    <t>Robert Rachor</t>
  </si>
  <si>
    <t>Robert Rhea</t>
  </si>
  <si>
    <t>Robert Ryan</t>
  </si>
  <si>
    <t>Robert T. Chu</t>
  </si>
  <si>
    <t>Rodney McLean</t>
  </si>
  <si>
    <t>Rodney Myers</t>
  </si>
  <si>
    <t>Roel Staes</t>
  </si>
  <si>
    <t>Roger Podwoski</t>
  </si>
  <si>
    <t>Ron Stevens</t>
  </si>
  <si>
    <t>Ronald Parrish</t>
  </si>
  <si>
    <t>Ronald Wickens</t>
  </si>
  <si>
    <t>Rudra Roy</t>
  </si>
  <si>
    <t>Russell Fleming</t>
  </si>
  <si>
    <t>Russell Hosea</t>
  </si>
  <si>
    <t>Ryan Kelly</t>
  </si>
  <si>
    <t>Salil Chari</t>
  </si>
  <si>
    <t>Sallie Ford</t>
  </si>
  <si>
    <t>Samuel Lee</t>
  </si>
  <si>
    <t>Samuel Nesbit</t>
  </si>
  <si>
    <t>Samuel Riskin</t>
  </si>
  <si>
    <t>Sandeep Shahi</t>
  </si>
  <si>
    <t>Sandra M Volpe</t>
  </si>
  <si>
    <t>Scott Bunker</t>
  </si>
  <si>
    <t>Scott Doleman</t>
  </si>
  <si>
    <t>Scott Garton</t>
  </si>
  <si>
    <t>Scott Gillam</t>
  </si>
  <si>
    <t>Scott Harkins</t>
  </si>
  <si>
    <t>Scott Higgins</t>
  </si>
  <si>
    <t>Scott Ogden</t>
  </si>
  <si>
    <t>Scott Ray</t>
  </si>
  <si>
    <t>Scott Rogers</t>
  </si>
  <si>
    <t>Scott Temple</t>
  </si>
  <si>
    <t>Sean McNamee</t>
  </si>
  <si>
    <t>Severn McMurtry</t>
  </si>
  <si>
    <t>Shahram Eslami</t>
  </si>
  <si>
    <t>Shannon Brown</t>
  </si>
  <si>
    <t>Sharanjit Singh</t>
  </si>
  <si>
    <t>Sharon Hawkins</t>
  </si>
  <si>
    <t>Sheila Harrell</t>
  </si>
  <si>
    <t>Sivakameswari Viswanathan</t>
  </si>
  <si>
    <t>Stacey Heitzenrater</t>
  </si>
  <si>
    <t>Stefan Dries</t>
  </si>
  <si>
    <t>Stefania Dorati</t>
  </si>
  <si>
    <t>Stefania Pezzetti</t>
  </si>
  <si>
    <t>Stephanie Cohen</t>
  </si>
  <si>
    <t>Stephen Myers</t>
  </si>
  <si>
    <t>Stephen Slavik</t>
  </si>
  <si>
    <t>Stephen Tanner</t>
  </si>
  <si>
    <t>Steven Lowder</t>
  </si>
  <si>
    <t>Steven Moore</t>
  </si>
  <si>
    <t>Steven Priddy</t>
  </si>
  <si>
    <t>Suk-Yee Joey Chow</t>
  </si>
  <si>
    <t>Suman Kharbanda</t>
  </si>
  <si>
    <t>Susan Krigbaum</t>
  </si>
  <si>
    <t>Susan Spence</t>
  </si>
  <si>
    <t>Susan Sweat</t>
  </si>
  <si>
    <t>Susanna Kramer</t>
  </si>
  <si>
    <t>Suvendu Choudhury</t>
  </si>
  <si>
    <t>T. Michael Glenn</t>
  </si>
  <si>
    <t>Taarek Hinedi</t>
  </si>
  <si>
    <t>Tamara Payne</t>
  </si>
  <si>
    <t>Taner Akbulut</t>
  </si>
  <si>
    <t>Tayssir Awada</t>
  </si>
  <si>
    <t>Terrell Harris</t>
  </si>
  <si>
    <t>Terry Benton</t>
  </si>
  <si>
    <t>Thanh Anderson</t>
  </si>
  <si>
    <t>Theresa Wulff</t>
  </si>
  <si>
    <t>Thomas Connolly</t>
  </si>
  <si>
    <t>Thomas Cords</t>
  </si>
  <si>
    <t>Thomas Dale</t>
  </si>
  <si>
    <t>Thomas Doherty</t>
  </si>
  <si>
    <t>Thomas Holland</t>
  </si>
  <si>
    <t>Thomas Lynch</t>
  </si>
  <si>
    <t>Thomas O HEARN</t>
  </si>
  <si>
    <t>Thomas Petersen</t>
  </si>
  <si>
    <t>Thomas Seipp</t>
  </si>
  <si>
    <t>Thomas Tannehill</t>
  </si>
  <si>
    <t>Thomas Wicinski</t>
  </si>
  <si>
    <t>Thomas Wittmann</t>
  </si>
  <si>
    <t>Thompson Anastasi</t>
  </si>
  <si>
    <t>Tiffany Brunson</t>
  </si>
  <si>
    <t>Timothy Wertner</t>
  </si>
  <si>
    <t>Timothy Wright</t>
  </si>
  <si>
    <t>Tobin Thomson</t>
  </si>
  <si>
    <t>Todd Harry</t>
  </si>
  <si>
    <t>Todd Ondra</t>
  </si>
  <si>
    <t>Tracci Schultz</t>
  </si>
  <si>
    <t>Trampas Gunter</t>
  </si>
  <si>
    <t>Troy Brock</t>
  </si>
  <si>
    <t>Tuan-Hock Kelvin Chun</t>
  </si>
  <si>
    <t>Ute Messling</t>
  </si>
  <si>
    <t>Venkata Kusumanchi</t>
  </si>
  <si>
    <t>Vinay D'Souza</t>
  </si>
  <si>
    <t>Vincent Fifer</t>
  </si>
  <si>
    <t>Vincent Hamilton</t>
  </si>
  <si>
    <t>Vincent Kreager</t>
  </si>
  <si>
    <t>Virginia Addicott</t>
  </si>
  <si>
    <t>Wai-Leung Marco Lee</t>
  </si>
  <si>
    <t>Wallace Hsueh</t>
  </si>
  <si>
    <t>Walter Abercrombie</t>
  </si>
  <si>
    <t>Walter Kimbrough</t>
  </si>
  <si>
    <t>Wan-Ling Doreen Tan</t>
  </si>
  <si>
    <t>Ward Strang</t>
  </si>
  <si>
    <t>William Benge</t>
  </si>
  <si>
    <t>William Cahill</t>
  </si>
  <si>
    <t>William Conley</t>
  </si>
  <si>
    <t>William Henrikson</t>
  </si>
  <si>
    <t>William Larson</t>
  </si>
  <si>
    <t>William Logue</t>
  </si>
  <si>
    <t>William Roy</t>
  </si>
  <si>
    <t>William Schweitzer</t>
  </si>
  <si>
    <t>William Topley</t>
  </si>
  <si>
    <t>William Tresner</t>
  </si>
  <si>
    <t>William West</t>
  </si>
  <si>
    <t>William Young</t>
  </si>
  <si>
    <t>Winn Stephenson</t>
  </si>
  <si>
    <t>Xuan Liu</t>
  </si>
  <si>
    <t>Yukiko Masuda</t>
  </si>
  <si>
    <t>Zondra Cawein</t>
  </si>
  <si>
    <t>Work Type - Legacy</t>
  </si>
  <si>
    <t>Work Type - New</t>
  </si>
  <si>
    <t>Program Value Bundle</t>
  </si>
  <si>
    <t>Yes - Workforce</t>
  </si>
  <si>
    <t>Tech-Enabled Request</t>
  </si>
  <si>
    <t>Yes - Non-Workforce</t>
  </si>
  <si>
    <t>Business Demand</t>
  </si>
  <si>
    <t>Yes - Privileged &amp; Confidential</t>
  </si>
  <si>
    <t>Confidential</t>
  </si>
  <si>
    <t>Ultra-Confidential</t>
  </si>
  <si>
    <t>Technical ID</t>
  </si>
  <si>
    <t>WBS174</t>
  </si>
  <si>
    <t>DRIVE Strategic Program</t>
  </si>
  <si>
    <t>D&amp;T Program</t>
  </si>
  <si>
    <t>Source System??</t>
  </si>
  <si>
    <t>Other attribute???</t>
  </si>
  <si>
    <t>This should be sourced from an existing field, also Bibhusha, why is this crossed out in your workbook?</t>
  </si>
  <si>
    <t>Change Control Comments</t>
  </si>
  <si>
    <t>Config Status</t>
  </si>
  <si>
    <t>0. Not Ready</t>
  </si>
  <si>
    <t>1. Ready</t>
  </si>
  <si>
    <t>2. Feedback Needed</t>
  </si>
  <si>
    <t>6. Correction Required</t>
  </si>
  <si>
    <t>7. Change Requested</t>
  </si>
  <si>
    <t>8. Correction / Change Completed</t>
  </si>
  <si>
    <t>9. Passed</t>
  </si>
  <si>
    <t>10. Remove</t>
  </si>
  <si>
    <t>3. Attribute Created</t>
  </si>
  <si>
    <t>4. Attribute is on all screens w/ right permissions (RW/RO/Req'd,Opt)</t>
  </si>
  <si>
    <t>5. Ready for Testing</t>
  </si>
  <si>
    <t>Configuration Status</t>
  </si>
  <si>
    <t>Does this request support a Non Purple Chip Strategy - Strategic Growth and Strategic Effieciency?</t>
  </si>
  <si>
    <t>This was crossed out in the requirements document and it does not exist in config. Should we assume it was removed?</t>
  </si>
  <si>
    <t>Z-No longer required</t>
  </si>
  <si>
    <t>The field name doesn't match the configuration. What was configured is "Does this request support a D&amp;T Digital Transformation Strategy?"
Also, this field was crossed out in the golden copy. Does that mean it should be removed?</t>
  </si>
  <si>
    <t>wbs147</t>
  </si>
  <si>
    <t>Bibhusha to confirm whether this was truly removed as a requirement</t>
  </si>
  <si>
    <t>Drop down options have not been provided for configuration</t>
  </si>
  <si>
    <t>This should be sourced from an existing field.</t>
  </si>
  <si>
    <t>wbs145</t>
  </si>
  <si>
    <t>Risk Subtype</t>
  </si>
  <si>
    <t>Infosec (Protect Purple)</t>
  </si>
  <si>
    <t>wr53</t>
  </si>
  <si>
    <t>I added the mapping from wr53</t>
  </si>
  <si>
    <t>Operational</t>
  </si>
  <si>
    <t>wbs150</t>
  </si>
  <si>
    <t>What is the Type of risk?</t>
  </si>
  <si>
    <t>MJW (5/1) - I think Bibhusha believes this should have been removed. Cynthia to confirm. Once actually removed, please change to the "Z" version</t>
  </si>
  <si>
    <t>Minimal</t>
  </si>
  <si>
    <t>Maximum</t>
  </si>
  <si>
    <t>wbs151</t>
  </si>
  <si>
    <t>As of 5/1, no value changes expected</t>
  </si>
  <si>
    <t>There was an erroneous space. I corrected it. Please be careful to paste values without formatting</t>
  </si>
  <si>
    <t>Manual Solution</t>
  </si>
  <si>
    <t>Field names Match (prod to new)?</t>
  </si>
  <si>
    <t>Field names Match (Requirement to config)?</t>
  </si>
  <si>
    <t>12 - 15 months</t>
  </si>
  <si>
    <t>6 - 12 months</t>
  </si>
  <si>
    <t>3 - 6 months</t>
  </si>
  <si>
    <t>&lt; 3 months</t>
  </si>
  <si>
    <t>wbs153</t>
  </si>
  <si>
    <t>&gt; 15 months</t>
  </si>
  <si>
    <t>MJW (5/1): It appears there's an erroneous colon in the name of the field</t>
  </si>
  <si>
    <t>WR2 data mappings have no clear connection to the new WR2 options. The data should not be carried over</t>
  </si>
  <si>
    <t>1: XS</t>
  </si>
  <si>
    <t>2: S</t>
  </si>
  <si>
    <t>3: M</t>
  </si>
  <si>
    <t>4: L</t>
  </si>
  <si>
    <t>5: XL</t>
  </si>
  <si>
    <t>T-Size</t>
  </si>
  <si>
    <t>str62</t>
  </si>
  <si>
    <t>Explain how you arrived at the estimated value range above</t>
  </si>
  <si>
    <t>Padma, why did you delete this row when consolidating?</t>
  </si>
  <si>
    <t>Estimated Value Range</t>
  </si>
  <si>
    <t>2: Low = &lt; $1M</t>
  </si>
  <si>
    <t>3: Medium = $1M &lt; Value &lt; $10M</t>
  </si>
  <si>
    <t>4: High = &gt; $10M</t>
  </si>
  <si>
    <t>Estimated Value Range (Old)</t>
  </si>
  <si>
    <t>Estimated Value Range (new)</t>
  </si>
  <si>
    <t>MJW - I think we can pull from the field "fdx_calc_explan"</t>
  </si>
  <si>
    <t>str119</t>
  </si>
  <si>
    <t>STR119</t>
  </si>
  <si>
    <t>The field name makes sense "Primary Type of Value Impact", but the requirements have a lot more text. What's the verdict</t>
  </si>
  <si>
    <t>Financial - Cost Avoidance</t>
  </si>
  <si>
    <t>Financial - Cost Savings/Reductions</t>
  </si>
  <si>
    <t>Customer Experience - Recipient Experience</t>
  </si>
  <si>
    <t>Customer Experience - Visibility</t>
  </si>
  <si>
    <t>Customer Experience - Problem Resolution</t>
  </si>
  <si>
    <t>Customer Experience - Other</t>
  </si>
  <si>
    <t>Innovation</t>
  </si>
  <si>
    <t>Financial - Revenue Growth (Customer Acquisition)</t>
  </si>
  <si>
    <t>Financial - Revenue Growth (Yield)</t>
  </si>
  <si>
    <t>Financial - Revenue Protection</t>
  </si>
  <si>
    <t>Safety/Legal</t>
  </si>
  <si>
    <t>Service - Modernization</t>
  </si>
  <si>
    <t>Service - Other</t>
  </si>
  <si>
    <t>Talent and Culture</t>
  </si>
  <si>
    <t>Tech Reliability</t>
  </si>
  <si>
    <t>Tech Development Experience</t>
  </si>
  <si>
    <t>Value Impact</t>
  </si>
  <si>
    <t>This should be sourced from an existing field. Maybe we can pull from the 1st instance of an Initiative's Epic's WR43 Home portfolio</t>
  </si>
  <si>
    <t>Platforms</t>
  </si>
  <si>
    <t>wbs155</t>
  </si>
  <si>
    <t>wr43</t>
  </si>
  <si>
    <t>MJW (5/1) - To Cynthia, why is "Data &amp; AI" no longer a portfolio?</t>
  </si>
  <si>
    <t>Other Impacted Portfolio</t>
  </si>
  <si>
    <t>wbs60</t>
  </si>
  <si>
    <t>wbs156</t>
  </si>
  <si>
    <t>Two things: Need a home for Data &amp; AI. Also, is it possible to migrate multi-selects from the API?</t>
  </si>
  <si>
    <t>Business Unit</t>
  </si>
  <si>
    <t>Americas International</t>
  </si>
  <si>
    <t>Global Air Hubs &amp; Ramps</t>
  </si>
  <si>
    <t>Global Capabilities Strategy</t>
  </si>
  <si>
    <t>Robotics/Physical AI</t>
  </si>
  <si>
    <t>Service</t>
  </si>
  <si>
    <t>SG&amp;A</t>
  </si>
  <si>
    <t>Surface Fleet and Support Equipment</t>
  </si>
  <si>
    <t>Revenue Growth</t>
  </si>
  <si>
    <t>Wr40</t>
  </si>
  <si>
    <t>Global Air Hubs &amp; Ramps Domain</t>
  </si>
  <si>
    <t>APAC Domain</t>
  </si>
  <si>
    <t>SG&amp;A Domain</t>
  </si>
  <si>
    <t>Surface Fleet and Support Equipment Domain</t>
  </si>
  <si>
    <t>MEISA Domain</t>
  </si>
  <si>
    <t>Service Domain</t>
  </si>
  <si>
    <t>Tricolor Domain</t>
  </si>
  <si>
    <t>wr40</t>
  </si>
  <si>
    <t>Submit to Triage</t>
  </si>
  <si>
    <t>Commercial Portfolio</t>
  </si>
  <si>
    <t>Data &amp; AI Portfolio</t>
  </si>
  <si>
    <t>Enterprise Services Portfolio</t>
  </si>
  <si>
    <t>Platform Portfolio</t>
  </si>
  <si>
    <t>Supply Chain Operations Portfolio</t>
  </si>
  <si>
    <t>Added to source from wr40. Will need transformations to remove "Domain" and the ones associated with portfolios</t>
  </si>
  <si>
    <t>5/1 (MJW) - The names don't match between requirement and configuration</t>
  </si>
  <si>
    <t>Work - Add New</t>
  </si>
  <si>
    <t>Add New Request Information</t>
  </si>
  <si>
    <t>RW</t>
  </si>
  <si>
    <t>Problem Opportunity Statement</t>
  </si>
  <si>
    <t>Request Approval</t>
  </si>
  <si>
    <t>Move Work and Assign Roles and Responsibilities</t>
  </si>
  <si>
    <t>L3 D&amp;T Costing</t>
  </si>
  <si>
    <t>Screen Alignment</t>
  </si>
  <si>
    <t>(blank)</t>
  </si>
  <si>
    <t xml:space="preserve"> </t>
  </si>
  <si>
    <t>Order</t>
  </si>
  <si>
    <t>wbs160</t>
  </si>
  <si>
    <t>Added to source from wr60. Direct match</t>
  </si>
  <si>
    <t xml:space="preserve">Certified </t>
  </si>
  <si>
    <t>Value Statement</t>
  </si>
  <si>
    <t xml:space="preserve">None </t>
  </si>
  <si>
    <t>wbs161</t>
  </si>
  <si>
    <t>Verified no match</t>
  </si>
  <si>
    <t>wbs162</t>
  </si>
  <si>
    <t>Enterprise Architecture Led</t>
  </si>
  <si>
    <t>Enterprise Technology Architecture Led (future use)</t>
  </si>
  <si>
    <t>Portfolio Led</t>
  </si>
  <si>
    <t>Portfolio Execution Leadership</t>
  </si>
  <si>
    <t>Enterprise Portfolio Governance</t>
  </si>
  <si>
    <t>wbs86</t>
  </si>
  <si>
    <t>PEL</t>
  </si>
  <si>
    <t>Will only be able to partially map. See mapping rules</t>
  </si>
  <si>
    <t>As of 5/1, no value changes expected. Only new reject option</t>
  </si>
  <si>
    <t>Pass through</t>
  </si>
  <si>
    <t>Users</t>
  </si>
  <si>
    <t>MJW (5/2) - Cynthia - My understanding is that the notes want to choose either a EPG or a PEO based on some other criteria. How are you going to handle this? Are both groups going to be part of the same user group? I would think these are 2 separate fields, but you tell me</t>
  </si>
  <si>
    <t>wbs164</t>
  </si>
  <si>
    <t>L3 Demand Bundle Approver</t>
  </si>
  <si>
    <t>Non-Discretionary - Business Continuity</t>
  </si>
  <si>
    <t>Discretionary - Transformational Investment</t>
  </si>
  <si>
    <t>wbs157</t>
  </si>
  <si>
    <t>MJW (5/2) - Cynthia - The gold copy requirements had the text as "RTB" but in config it was spelled out "Run The Business". Let's keep the config and requirements in sync. I've updated the requirements here to what you configured, not the gold copy file</t>
  </si>
  <si>
    <t>1st Lifecycle Step Name</t>
  </si>
  <si>
    <t>FDXSANDBOXA ID</t>
  </si>
  <si>
    <t xml:space="preserve">Hover Text or Static Text </t>
  </si>
  <si>
    <t>Permission Options</t>
  </si>
  <si>
    <t>Restrict Permissions Forwarding</t>
  </si>
  <si>
    <t>Lifecycle Stage2</t>
  </si>
  <si>
    <t>Entity</t>
  </si>
  <si>
    <t>Field Name</t>
  </si>
  <si>
    <t>PROD ID</t>
  </si>
  <si>
    <t>DEV SB ID</t>
  </si>
  <si>
    <t>ID - Request
Work ID</t>
  </si>
  <si>
    <t>Request Name/Title
Work Name</t>
  </si>
  <si>
    <t xml:space="preserve"> This is the name of the request - 3-5 words to describe it. </t>
  </si>
  <si>
    <t>Take user signed in profile for filling this field. (Or Pull name, emp id, org information, and email from Workday integration.)</t>
  </si>
  <si>
    <t>Keep this field only if possible to auto-fill
See if it's possible to pull their user name (which is the Employee ID and append with @corp.ds.fedex.com?</t>
  </si>
  <si>
    <t>Requestor Email</t>
  </si>
  <si>
    <t>Pull from workday the email address for the user entering the request.</t>
  </si>
  <si>
    <t xml:space="preserve">DRIVE Strategic Program (191607) 
D&amp;T Program (191608) 
No (191609)
</t>
  </si>
  <si>
    <t>Purple chips are the Programs that will create the greatest impact across the enterprise. If your request will directly support the execution of a Purple Chip (need to provide some type of dropdown with brief descriptions), please contact X</t>
  </si>
  <si>
    <t xml:space="preserve">This demand contains sensitive information and requires limited user access; This item will go through a pre-set Limited Visibility flow if "Limited Workforce" or "Limited Non-Workforce" is selected. Select Limited Workforce if there are significant impacts to organizations, people and/or third party relationships.Are we keeping ultra confidential? No  If yes, I think the hover over should explain the difference b/t the two. We get a fair amount of questions on this. </t>
  </si>
  <si>
    <t>Business Only means that there is no need for technical/development/architectural resources.</t>
  </si>
  <si>
    <t>If yes, direct to Non Purple Chip program manager (if No proceed) LB: Do we know who this is?</t>
  </si>
  <si>
    <t>We need hover over to explain what these are.</t>
  </si>
  <si>
    <t>We need to have a drop down with clear definition for each of the Digital Transformation Programs (e.g. Tech Mod, Scaling AI, etc.)</t>
  </si>
  <si>
    <t>This is the person who will shepherd the demand from start to finish.</t>
  </si>
  <si>
    <t>VP Level sponsor per the framework
Name of the officer (for Business Only and Biz w/ Tech Demand) or the Managing Director (for Local Enhancement and Lifecycle Management Demand) that has provided approval to enter this request for consideration. This is not the hover text in DRIVE Forward. We need to determine the apporpriate sponsorship level (MD or VP). A requester may not know going in if their request is discretionary or non - so breaking it out by those two might be a challenge (e.g., "for non discretionary demand, enter MD name, for Discretionary, enter VP name)</t>
  </si>
  <si>
    <t>Requestor enters</t>
  </si>
  <si>
    <t>Enterprise Strategy
Question: Where is this? 
3/18: CD agreed we are not doing this.</t>
  </si>
  <si>
    <t>Drop down list of the Enterprise Strategies defined.</t>
  </si>
  <si>
    <t>Identify if this work will directly support a Strategic Objective Key Result.</t>
  </si>
  <si>
    <t>Development work or Technical Resources Assessment</t>
  </si>
  <si>
    <t>REMOVE
Does this request require development work or technical resources?</t>
  </si>
  <si>
    <t>1. Makes changes that will impact service levels, quoted vs. actual transit days / delivery time commitments, or coverage</t>
  </si>
  <si>
    <t>Development work could include working with development team members, programming, IT, etc. Technical resources could include any single or combination of work from any of our Portfolios, Hardware (servers, networking equipment, etc.), Software (applications, platforms), Data (databases, storage systems), Field IT, Physical Infrastructure (opening, upgrading or closing a location/facility, changes that impact footprint, network connectivity, etc.), Digital Infrastructure (cloud services, operating systems, APIs)</t>
  </si>
  <si>
    <t>Mark yes if this request is part of planned application or infrastructure upgrade and/or routine infrastructure refresh activity.</t>
  </si>
  <si>
    <t>If any of the options except for “None”, proceed to additional set of Business Continuity questions.</t>
  </si>
  <si>
    <t>Does this request address a risk or requirement to one of the following? LB: Recommend deleting this question as it doesn't lead anywhere.</t>
  </si>
  <si>
    <t>Mark yes if this request is critical to continuing business operations.</t>
  </si>
  <si>
    <t>Select the type of risk that most applies – 
Operational: has an impact to daily operational processes
Financial: has a direct impact to financial gains or losses
Brand: has an impact to reputation/quality/customer service/etc. 
Safety: has an impact to the safety of our internal and external stakeholders 
No 'Other' Do we want a follow up question that states, "If other, please explain."</t>
  </si>
  <si>
    <t>Minimal – Unlikelihood of operational impacts, service disruptions, financial consequences, or non-compliance with laws or regulations
Low – Minor likelihood of operational impacts, service disruptions, financial consequences, or non-compliance with laws or regulations
Medium – Moderate likelihood of operational impacts, service disruptions, financial consequences, or non-compliance with laws or regulations
High – Significant likelihood of operational impacts, service disruptions, financial consequences, or non-compliance with laws or regulations
Maximum – Guaranteed operational impacts, service disruptions, financial consequences, or non-compliance with laws or regulations</t>
  </si>
  <si>
    <t>A short summary of the consequences of not completing the work</t>
  </si>
  <si>
    <t>State which law or regulation is impacted, if applicable</t>
  </si>
  <si>
    <t>This is a required field for all Tech Enabled demand that has identified risk.
indicated regulatory or legal subtype designation.  If a point of contact is not provided, the Demand Subtype designation will be removed from the request.</t>
  </si>
  <si>
    <t>Is there a manual solution that can be leveraged  that mitigates the risk or maintains compliance with the impacted law/regulation (not requiring technical enhancements).</t>
  </si>
  <si>
    <t xml:space="preserve">Identify the duration in which this solution must be in place to avoid business disruption from the request entry date.
See below for available values to select for this field:
- &gt; 15 months (110525) 
- 12 - 15 months (110526) 
- 6 - 12 months (110527) 
- 3 - 6 months (110529) 
- &lt; 3 months (110530) 
- N/A (110531) </t>
  </si>
  <si>
    <t>Please enter the date this IT development work must be completed by D&amp;T teams. This may be requested or required to meet Regulatory, Legal, Protect Purple, or other critical requirements.</t>
  </si>
  <si>
    <t>Non-discretionary work that is required to ensure stability for the day-to-day operations of the existing business model.   
Examples: Time-sensitive Lifecycle Management and Business Continuity
Discretionary work that makes incremental improvements to the existing business model. It is the middle ground between day-to-day operations and large-scale transformation.</t>
  </si>
  <si>
    <t>What is the current state problem or inefficiency that you are trying to solve for?</t>
  </si>
  <si>
    <t>What is the benefit to the business if this problem or inefficiency is solved (e.g. revenue, time, customer experience, productivity, etc.)?</t>
  </si>
  <si>
    <t>What is the consequence to the business if the business problem or inefficiency is not solved?</t>
  </si>
  <si>
    <t>Clearly articulate what you want to a particular performer to be able to do differently in the business process flow. This is not a solution, but a view of business capabilities. Who is performing the business function, what will help them to do their job better, and why.
Clearly define the capabilities or features the user wants to deliver through this initiative, and consider any pain points or opportunities in the explanation. Refrain from referencing IT applications or systems and keep statements brief. Complete using the Ability To format, As a (Fill in the stakeholder), I would like (want) to be able to (fill in process/capability being desired) so that (desired outcome).</t>
  </si>
  <si>
    <t>If this problem or inefficiency is solved, what is the business benefit hypothesis that will be recieved.</t>
  </si>
  <si>
    <t>Discretionary - Transformaitonal = 4
Discretionary - Other = 2 or 3
Non-Discretionary - RTB = N/A
Non-Discretionary Biz Cont = N/A
These value questions will only populate if the demand is Discretionary, correct?</t>
  </si>
  <si>
    <t xml:space="preserve">1: Unknown (2968) 
2: Low = &lt; $1M (2970) 
3: Medium = $1M &lt; Value &lt; $10M (2971) 
4: High = &gt; $10M (2973) </t>
  </si>
  <si>
    <t>Ranged estimated total net recurring benefits inclusive of hard and soft for this initiative at full maturity (annualized). 
See below for available values to select for this field:
- 2: Low = &lt; $1M
- 3: Medium = $1M &lt; Value &lt; $10M
- 4: High = &gt; $10M</t>
  </si>
  <si>
    <t xml:space="preserve">Discretionary - Transformaitonal = 4
Discretionary - Other = 2 or 3
Non-Discretionary - RTB = N/A
Non-Discretionary Biz Cont = N/A
</t>
  </si>
  <si>
    <t xml:space="preserve">Brand (87360) 
Financial - Cost Avoidance (87369) 
Financial - Cost Savings/Reductions (87361) 
Customer Experience - Recipient Experience (110380) 
Customer Experience - Visibility (110381) 
Customer Experience - Problem Resolution (110382) 
Customer Experience - Other (87362) 
Innovation (110385) 
Financial - Revenue Growth (Customer Acquisition) (87363) 
Financial - Revenue Growth (Yield) (87364) 
Financial - Revenue Protection (87365) 
Safety/Legal (87366) 
Service - Modernization (163341) 
Service - Other (87367) 
Sustainability (87368) 
Talent and Culture (110386) 
Tech Reliability (110383) 
Tech Development Experience (110384) </t>
  </si>
  <si>
    <t>Select the type of value that this demand will drive.
- Brand
- Financial - Cost Avoidance
- Financial - Cost Savings/Reductions
- Customer Experience - Recipient Experience
- Customer Experience - Visibility
- Customer Experience - Problem Resolution
- Customer Experience - Other
- Innovation
- Financial - Revenue Growth (Customer Acquisition)
- Financial - Revenue Growth (Yield)
- Financial - Revenue Protection
- Safety/Legal
- Service - Modernization
- Service - Other
- Sustainability
- Talent and Culture
- Tech Reliability
- Tech Development Experience</t>
  </si>
  <si>
    <t>For Customer Experience or Service value demand, indicate the level of impact the change will have on improving service and/or increasing net promoter score.
See below for available values to select for this field:
- High
- Medium
- Low
Indicate the level of impact the change will have on the selected Primary Type of Value.</t>
  </si>
  <si>
    <t>Which of the Portfolios will be the most impacted by this effort?</t>
  </si>
  <si>
    <t xml:space="preserve">What other Portfolios will be needed to complete this effort? </t>
  </si>
  <si>
    <t>Submission box to indicate that the request is ready for triage review.</t>
  </si>
  <si>
    <t>Needs to meet the criteria for BC (Risk High, No manual solution, and needs to be done w/in 12 months)</t>
  </si>
  <si>
    <t>Certified (discretionary, &gt;$10M and t-shirt size of L XL)
Value Statement (discretionary and t-shirt size of XS,S,M)
None (non-discretionary)</t>
  </si>
  <si>
    <t xml:space="preserve">Enterprise Architecture Led - Business architecture represents holistic, multidimensional business views of capabilities, end-to-end value delivery, information, and organizational structure; and the relationships among these business views and strategies, products, policies, initiatives, metrics, and stakeholders. Enterprise Information System Architects (EISAC) are responsible for the development of End-to-End (E2E) conceptual and logical architecture. EISAC ensures a holistic information system designs from an Enterprise view, considering the full technical landscape across all domains. 
Enterprise Technology Architecture Led - Enterprise Technology Architects are responsible for the identification of new patterns and Reference Architecture to inform and develop conceptual architecture. The ETAC team is also responsible for the Foundational Design Framework, aiming to transform FedEx into ONE data-driven enterprise. (Future use)
Go to 'Keyword: EA' for more information
Portfolio Led - Portfolio and/or Solution architecture will be coordinated through the Portfolio layer.
</t>
  </si>
  <si>
    <t>If Yes, this initiative will be reviewed by the CCH Lead. Iimpacts the Value Prop (i.e., the set of benefits FedEx promises to deliver to customers in order to satisfy their needs) if it does any of the following:
1. Makes changes that will impact service levels, quoted vs. actual transit days / delivery time commitments, or coverage
a) Including changes to retail coverage/pickups
2. Makes changes to pricing or surcharges
a) Including internal process that will change application of current surcharges
3. Makes changes to our portfolio, products, services, or features of service offered to our customers
4. Makes changes to our customer’s external experience and how they interact with FedEx (e.g., Customer Service, Tracking/Visibility, Mobile, Billing Invoice, etc.) or how our customers experience our products
5. Makes changes to how we communicate / interact with our customers
6. Impacts customers globally</t>
  </si>
  <si>
    <t>Enterprise Portfolio Governance (EPG) (Weekly): Portfolio accountability, removes roadblocks, aligns on prioritization/ sequencing, and enables critical decisions to accelerate delivery and achieve milestones for all technology work (both DRIVE and non-DRIVE).
Portfolio Execution Leadership (PEL): Each Portfolio will have internal governance forums, with appropriate support from business and technology.</t>
  </si>
  <si>
    <t>Show all attributes as read only from Requestor filled intake form as well as Triage completed fields</t>
  </si>
  <si>
    <t>List of viable people needs to come from Kristy/Seth</t>
  </si>
  <si>
    <t>The D&amp;T Captain is responsible for the delivery of the technical solutions on behalf of the business.</t>
  </si>
  <si>
    <t>Data &amp; Technology Finance partners with Financial Planning &amp; Analysis (FP&amp;A) team members to support tech funding and technology costing. This team member provides cost implications of the Data &amp; Technology organization to Business Finance and Demand Bundle Manager for use in Lean Business Case development and tracking.</t>
  </si>
  <si>
    <t>Business Finance are Financial Planning &amp; Analysis (FP&amp;A) team members providing financial input to business case development and validating financial impact of initiatives for Business domains. This team member provides support and guidance to Demand Bundle Managers and Business Owners for lean business case development and tracking.</t>
  </si>
  <si>
    <t>Dispatch Request</t>
  </si>
  <si>
    <t>Screen to click on "Perform Dispatch" to start the dispatch process</t>
  </si>
  <si>
    <t>Non-discretionary work that is required to ensure stability for the day-to-day operations of the existing business model.   
- Business Continuity
- Time-sensitive Lifecycle Management 
Discretionary work that makes incremental improvements to the existing business model. It is the middle ground between day-to-day operations and large-scale transformation. 
- Transformational Investment is aligned with a Strategic Objective, but not included in a Strategic Program.
- Other is work not aligned with Strategic Objective</t>
  </si>
  <si>
    <t>Button to click to add impacted Solutions</t>
  </si>
  <si>
    <t>Estimate of the effort required to successfully implement the initiative.
Implementation time frame:
- XS: 1 PIs with 1 ART 
- S: 2-3 PI with 1-2 ARTs 
- M: 3-5 PIs with multiple ARTs 
- L: 5-8 PIs with multiple ARTs 
- XL: &gt;8 PIs with multiple ARTs
Reach out to your Enterprise Architecture team if you need help with estimates.</t>
  </si>
  <si>
    <t>Estimate of the complexity of demand that considers:
﻿﻿- Degree of business process change
﻿﻿- Dependencies on other initiatives
- Experience in implementing the technology
﻿- Minimal: No change to existing business processes 
- Low: Minimal impact to existing business processes 
- Medium: Impacts day to day business operations
- High: Significant impact on day-day business operations
- Maximum: Severe impact on day-day business operations</t>
  </si>
  <si>
    <t>Rationale behind the calculations of value and costs.</t>
  </si>
  <si>
    <t>Baseline fiscal year of the Value Bundle's financial plan for fiscal reporting.</t>
  </si>
  <si>
    <t>Sum of the amounts entered in the Exit Rate account of the Latest Estimate version of the financial plan for the fiscal current year 2028</t>
  </si>
  <si>
    <t>Net Recurring Benefits = FY'28 Exit Rate, Annualized
Soft = direct impact to the P&amp;L over baseline. i.e. Cost avoidance, improved productivity</t>
  </si>
  <si>
    <t>Net Recurring Benefits = FY'28 Exit Rate, Annualized.
Auto-calculation of L1 Hard and Soft Benefits.</t>
  </si>
  <si>
    <t>Total one-time benefits with a direct impact to the P&amp;L</t>
  </si>
  <si>
    <t>Please work with your Domain Finance support to select one or more Enterprise KPI(s) that will be positively impacted by the successful results of this initiative (can be adjusted as needed in L2)</t>
  </si>
  <si>
    <t>Indicate the level of impact the change will have on the selected Primary Type of Value.</t>
  </si>
  <si>
    <t>Approved
Not Approved - Feedback Requested
Reject</t>
  </si>
  <si>
    <t>L3: CCH Requirement Assessment</t>
  </si>
  <si>
    <t>CCH Assessment (this section appears if Enter Value Prop / Customer Service Risk = Yes)</t>
  </si>
  <si>
    <t>Have the same static text and link to the guide in the screen as we have today above this question.</t>
  </si>
  <si>
    <t>How will this affect the following? (Service, terms, transits…)
1) Service Levels
2) Quoted/actual Transits
3) Coverage, delivery, and commit
4) Features of service
5) Pickup times
6) Service Guide / Tariff T&amp;Cs</t>
  </si>
  <si>
    <t>CCH Assessment</t>
  </si>
  <si>
    <t>Are you planning any changes to the Pricing or Surcharges, including the application of existing surcharges? (outline changes)</t>
  </si>
  <si>
    <t>fdx_portfolio_prod</t>
  </si>
  <si>
    <t>Are you planning any changes to our Portfolio/Products? (outline changes and identify products and services)</t>
  </si>
  <si>
    <t>Are you planning any changes to the customer's external experience and how they interact with FedEx (Customer Service, Tracking/Visibility, Mobile, Billing Invoice, etc.)</t>
  </si>
  <si>
    <t>How will you communicate these changes to Commercial Teams (Marketing, Sales, Pricing) and external customers?</t>
  </si>
  <si>
    <t>Primary Portfolio required to lead and coordinate technical solutions across portfolios that helps the business realize value.</t>
  </si>
  <si>
    <t>Portfolios required to develop a technical solution that helps the business realize value.</t>
  </si>
  <si>
    <t>The date the work was started if the work entity has started, otherwise, the schedule start date.</t>
  </si>
  <si>
    <t>The actual finish date if the work entity was completed, otherwise, the schedule finish date.</t>
  </si>
  <si>
    <t>The alternate structure value, which is used to describe the type of project and/or work entity. May govern the Lifecycle workflows. Also known as WBS22 alternate structure.</t>
  </si>
  <si>
    <t>The status of the work entity.
See below for available values for this field:
- New
- Active
- On Hold
- Completed/Closed
- Cancelled
- Rejected</t>
  </si>
  <si>
    <t>A short 3 or 4 word name for the Epic</t>
  </si>
  <si>
    <t>.</t>
  </si>
  <si>
    <t>Planview sequence numbers for Work and Tasks</t>
  </si>
  <si>
    <t>Requesting to add this new field to enable easier resource allocations</t>
  </si>
  <si>
    <t>ART(s)</t>
  </si>
  <si>
    <t>Users responsible for updating Epics.</t>
  </si>
  <si>
    <t xml:space="preserve">Is this needed at both VB level and the epic level?
HOW IS THIS FIELD USED? </t>
  </si>
  <si>
    <t>Add any impacted stakeholders that go beyond official roles such as Initiative Owner, Epic Owner, Architects, PEO approvers, etc.</t>
  </si>
  <si>
    <t>This was added as part of DW migration. Do we still need it? It might be confusing in DRIVE Forward framework which has Programs at a higher level.</t>
  </si>
  <si>
    <t xml:space="preserve">Larger business program this work ties to. This can be useful for filtering a list of epics by a common theme/program. </t>
  </si>
  <si>
    <t>Should be optional for all Demand Bundles (GES)</t>
  </si>
  <si>
    <t>Enter EAI number here. Separate multiple EAIs by comma.</t>
  </si>
  <si>
    <t>Clearly articulate what you want to be able to do differently in the business process flow. This is not a solution, but a view of business capabilities. Who is performing the business function, what will help them do their job better, and why.</t>
  </si>
  <si>
    <t>What is the benefit that the business will receive from a technical solution.</t>
  </si>
  <si>
    <t>Tag of the initiative's current health status, to be updated regularly by the initiative owner. Any status other than On Track requires Status Rationale to be filled out. 
See below for available values to select for this field:
- On Track
- Some Issues
- Attention Needed
Display setting&gt;Definition: Status Indicator describing the current health of the entity</t>
  </si>
  <si>
    <t>Please provide context around the health status selected.
Field used to provide a rationale for the work's status or any relevant comments. You can review the history of what was entered in this field by going to the Work Detail tile and clicking the View History button.</t>
  </si>
  <si>
    <t>Provide the capital request number that this asset value will be grouped with.</t>
  </si>
  <si>
    <t>Please provide the approved InfoSec OnSpring ID (the FIRST or VAIDR).  For more information visit Keyword:  FIRST</t>
  </si>
  <si>
    <t>L3: CCH Approval</t>
  </si>
  <si>
    <t>CCH Review</t>
  </si>
  <si>
    <t>If during Triage, CCH impacted is a Yes, then it needs to go onto the EPG Agenda for review.
Still TBD how this step will be triggered - depends on whether D&amp;T Cost per epic is needed for CCH Review. D&amp;T Costing is being proposed to be done only after Solution Analysis by Stephanie in Release 1.</t>
  </si>
  <si>
    <t xml:space="preserve">
If EPM Review 1 = "Passed Quality Check", send some type of notification to the Demand Manager with the below text: 
"Review the Epic Plan, Epic Milestones and Attributes, and Epic Risks by clicking on the link below &lt;link to the Demand Bundle Plan&gt; and update as needed.
NEXT STEP: After you mark "Ready for Epic Approval" as "Yes" in the Plan, the EPG/PEO Team will evaluate the Epic for approval to go to Agility."
If "Not Ready - Feedback Requested" is selected, EPM reaches out to the Epic Owner to make corrections?
CLW - question above should it say EPG/PEO or should it say EPG/PEL?</t>
  </si>
  <si>
    <t>L3 Epic Approver Notes</t>
  </si>
  <si>
    <t>If EPG Approval = Approved, send some type of notification to the Demand Manager with the below text to remind them to collaborate with the STE for resource allocations.
"Review the Epic Plan, Epic Attributes, and Epic Risks clicking on the link below &lt;link to the Demand Bundle Plan&gt; and update as needed. Confirm with STEs of impacted Solutions that all team allocations are complete.
## NEXT STEP: After you mark "Resources Allocated" as "Yes", the D&amp;T Finance team will be notified for costing and the EPM Team will perform a quality check."</t>
  </si>
  <si>
    <t>If Resources Allocated = Yes, D&amp;T Finance user will be receive notification to cost the epics with a link to the Demand Bundle Financials screen. 
CLW - It says D&amp;T finance will recive notification to cost the epic but I don't think D&amp;T finance has the bandwidth to do costing for every epic there is, especially the tech enabled, we need to make sure this is what D&amp;T finance is planning to do.</t>
  </si>
  <si>
    <t>Indicate "Yes" if Epic intent has been met or "No" if the intent was not met. Any designation will inform that this item is ready to be closed.</t>
  </si>
  <si>
    <t>Provide any relevant notes for the Ready to Close column</t>
  </si>
  <si>
    <t>Z-ID not created</t>
  </si>
  <si>
    <t>Entity|ID</t>
  </si>
  <si>
    <t>Yes - Intent Met</t>
  </si>
  <si>
    <t>No - Close Anyways</t>
  </si>
  <si>
    <t>Ready to Close</t>
  </si>
  <si>
    <t>Completed/Closed</t>
  </si>
  <si>
    <t>str36</t>
  </si>
  <si>
    <t>Values are same</t>
  </si>
  <si>
    <t>Are there any fields we would source the data from? Also how can it be both calculated and not caclulated. Make a new column if you want, but don't consolidate two things to one.
For the hard-coded one, we have a few options:
1) Don't populate
2) Create logic to calculate from extract then populate
3) Wait until prod complete then to extract of calculated field then upload new one.</t>
  </si>
  <si>
    <t>MJW (5/2) - I think we should be splitting this row into two. One is the calculated and another is the manually entered one. Cynthia to weigh in</t>
  </si>
  <si>
    <t>MJW (5/2) - I think we should be splitting this row into two. One is the calculated and another is the manually entered one. Cynthia to weigh in. Also why is it Ty? Is that target year?</t>
  </si>
  <si>
    <t>pass through</t>
  </si>
  <si>
    <t>MJW (5/2) - Wouldn't this be a calculated field? We do have a field we can pull from but it depends on the field approach</t>
  </si>
  <si>
    <t>Maybe pull from C1047_strat? TBD</t>
  </si>
  <si>
    <t>str134</t>
  </si>
  <si>
    <t>Load Factor - Air</t>
  </si>
  <si>
    <t>See data migration comments. Also have there been decisions to change the KPI options. Finally, in the new instance, there are two sets of KPI L2s that are very similar. What is the meaning of them. Also, there were a few that were spelled somewhat differently between the 1st hiearchy and the 2nd:
"Load Factor - Air" - &gt; "Load Factor Air", 
"Load Factor - Road" - &gt; "Load Factor Road", 
"Revenue - Primarily B2B" -&gt; "Revenue Primarily B2B", 
"Revenue - Primarily B2C" -&gt; "Revenue Primarily B2C"</t>
  </si>
  <si>
    <t>% of Revenue</t>
  </si>
  <si>
    <t>$ of Renewed Technology Contracts</t>
  </si>
  <si>
    <t>Accident Rate Change</t>
  </si>
  <si>
    <t>Aircraft Maintenance per Flight Hour</t>
  </si>
  <si>
    <t>Attrition Rate</t>
  </si>
  <si>
    <t>Bad Debt %</t>
  </si>
  <si>
    <t>Box Stack Efficiency %</t>
  </si>
  <si>
    <t>Bulk Out Failure</t>
  </si>
  <si>
    <t>Burn Rate</t>
  </si>
  <si>
    <t>Cage Rate %</t>
  </si>
  <si>
    <t>Churn %</t>
  </si>
  <si>
    <t>Clearance-Related Service Failures</t>
  </si>
  <si>
    <t>CLH pivot Optimization %</t>
  </si>
  <si>
    <t>Code 85 %</t>
  </si>
  <si>
    <t>Consolidated LH $ per Mile</t>
  </si>
  <si>
    <t>Contact Problem Rate</t>
  </si>
  <si>
    <t>C. Ops Wage Rate</t>
  </si>
  <si>
    <t>Cost per Available Cu. Ft. Mile</t>
  </si>
  <si>
    <t>Cost per Hire</t>
  </si>
  <si>
    <t>Cost per Mile</t>
  </si>
  <si>
    <t>Cost per Stop</t>
  </si>
  <si>
    <t>CSP Contingency</t>
  </si>
  <si>
    <t>Cube Load Factor %</t>
  </si>
  <si>
    <t>Dead on Arrival %</t>
  </si>
  <si>
    <t>Density Score %</t>
  </si>
  <si>
    <t>EDD Accuracy %</t>
  </si>
  <si>
    <t>Expense as % of Revenue</t>
  </si>
  <si>
    <t>Freight Stack Efficiency %</t>
  </si>
  <si>
    <t>FRO Routing Compliance %</t>
  </si>
  <si>
    <t>Headcount Change</t>
  </si>
  <si>
    <t>Injury Rate Change</t>
  </si>
  <si>
    <t>Invoice Accuracy %</t>
  </si>
  <si>
    <t>LH Connection Cost</t>
  </si>
  <si>
    <t>LH Total Miles per Pkg</t>
  </si>
  <si>
    <t>Load Factor - Road</t>
  </si>
  <si>
    <t>Long-term Injury Frequency Rate</t>
  </si>
  <si>
    <t>MIS Flow %</t>
  </si>
  <si>
    <t>Missing Paperwork %</t>
  </si>
  <si>
    <t>Net Pickup Reliability %</t>
  </si>
  <si>
    <t>Net Promoter Score</t>
  </si>
  <si>
    <t>Net Service Level %</t>
  </si>
  <si>
    <t># of Actively Maintained Apps</t>
  </si>
  <si>
    <t># of Damage Claims</t>
  </si>
  <si>
    <t>% of Data Products Internally Built</t>
  </si>
  <si>
    <t># of Missing Packages</t>
  </si>
  <si>
    <t># of Retired EAIs</t>
  </si>
  <si>
    <t>% of SAM</t>
  </si>
  <si>
    <t>On-time Clearance %</t>
  </si>
  <si>
    <t>On-time Flight Departure %</t>
  </si>
  <si>
    <t>Package Placement Score %</t>
  </si>
  <si>
    <t>Packages per FTE</t>
  </si>
  <si>
    <t>Packages per Stop</t>
  </si>
  <si>
    <t>PH Wage Rate</t>
  </si>
  <si>
    <t>Point-to-Catchment %</t>
  </si>
  <si>
    <t>RDL</t>
  </si>
  <si>
    <t>Recurring Problem Rate</t>
  </si>
  <si>
    <t>Resolved Problem Rate</t>
  </si>
  <si>
    <t>Revenue - Primarily B2B</t>
  </si>
  <si>
    <t>Revenue - Primarily B2C</t>
  </si>
  <si>
    <t>Scan Compliance %</t>
  </si>
  <si>
    <t>Scan Compliance/ HIP or HOP</t>
  </si>
  <si>
    <t>Self Service Solution %</t>
  </si>
  <si>
    <t>Settlement $ per Stop</t>
  </si>
  <si>
    <t>Shipment Overages</t>
  </si>
  <si>
    <t>Sort pkg per TLH</t>
  </si>
  <si>
    <t>Sort Pkgs per TLH</t>
  </si>
  <si>
    <t>Station Sort End Times</t>
  </si>
  <si>
    <t>Stops per Resource</t>
  </si>
  <si>
    <t>Transaction per FTE</t>
  </si>
  <si>
    <t>Volume per TLH</t>
  </si>
  <si>
    <t>WIP</t>
  </si>
  <si>
    <t>Wrong Address %</t>
  </si>
  <si>
    <t>Yield</t>
  </si>
  <si>
    <t xml:space="preserve">Financial - Revenue Growth (Customer Acquisition) </t>
  </si>
  <si>
    <t>MJW (5/2) - I don't think str134 comes as an extractable field. This is probably out of the financials extract. I'm not sure we could consolidate and populate this. We may opt to not migrate. Otherwise, the values are passthrough</t>
  </si>
  <si>
    <t>Direct match in values</t>
  </si>
  <si>
    <t>wr50</t>
  </si>
  <si>
    <t>Added that can be sourced from wr50</t>
  </si>
  <si>
    <t>Agreed cannot be sourced</t>
  </si>
  <si>
    <t>Added it can be sourced from fdx_sl3_finlead_note</t>
  </si>
  <si>
    <t>Added it can be sourced from fdx_sl3_domlead_note</t>
  </si>
  <si>
    <t>See notes</t>
  </si>
  <si>
    <t>Not Approved - Feedback Requested - Financial Adjustments</t>
  </si>
  <si>
    <t>Not Approved - Feedback Requested - Non-Financial Adjustments</t>
  </si>
  <si>
    <t>This can be populated based on the stage it's in. If L3,SL4,L4,SL5,L5 then "Approved" else null</t>
  </si>
  <si>
    <t>Home Portfolio_new</t>
  </si>
  <si>
    <t>Requires converting Data and AI to null</t>
  </si>
  <si>
    <t>Question to Bert: Can this actually be migrated?</t>
  </si>
  <si>
    <t>wbs28</t>
  </si>
  <si>
    <t>&lt;Removed&gt;</t>
  </si>
  <si>
    <t>Stage-New</t>
  </si>
  <si>
    <t>See the mappings in the drop VALUES tab</t>
  </si>
  <si>
    <t>MJW (5/3) the requirements from gold excluded none and also protect purple was named slightly differently. That said, the configuration options makes more sense. Please correct the VALUES column if there was further deviations</t>
  </si>
  <si>
    <t>Demand Subtype_new</t>
  </si>
  <si>
    <t>Work Status-New</t>
  </si>
  <si>
    <t>Work Status-old</t>
  </si>
  <si>
    <t>Closed</t>
  </si>
  <si>
    <t>Minor translation needed</t>
  </si>
  <si>
    <t>Data Migration Comments</t>
  </si>
  <si>
    <t>WBS22 was removed as a source prod ID. It cannot be used as a source, as the mapping doesn't relate</t>
  </si>
  <si>
    <t>MJW (5/3) - So there's no attribute for this? I'm not following the comment about Task line in plan</t>
  </si>
  <si>
    <t>Can the field name for PE01 really be both Description and Epic Description? If not, remove the word Epic please</t>
  </si>
  <si>
    <t>I have questions in general about how to document this and all the epic level entities coming from existing epics</t>
  </si>
  <si>
    <t>MJW 5/3 - Configuration has and in liue of &amp;. Please correct in requirements or in config then update here</t>
  </si>
  <si>
    <t>URL</t>
  </si>
  <si>
    <t>Question to Bert: Is this just text? Will this work? Also would we really migrate this or is this provided via the Agility sync?</t>
  </si>
  <si>
    <t>I don't really know what I do with this… I think we ignore</t>
  </si>
  <si>
    <t>If this comes from Agility, what's the common identifier that we need to have updated? In which system &amp; field does it get populated</t>
  </si>
  <si>
    <t>I need more context on this. Do we need to migration the product structure?</t>
  </si>
  <si>
    <t>COM - GDX - SF - SHIP &amp; FULFILL</t>
  </si>
  <si>
    <t>COM - RMIC - RAA (Revenue Ancillary ARTs)</t>
  </si>
  <si>
    <t>COM - CSX - Customer Experience</t>
  </si>
  <si>
    <t>COM - GDX - Commercial Platform</t>
  </si>
  <si>
    <t>COM - GDX - Create Shipment</t>
  </si>
  <si>
    <t>COM - GDX - Manage Shipment</t>
  </si>
  <si>
    <t>COM - Retail Solutions</t>
  </si>
  <si>
    <t>COM - RMIC - Revenue</t>
  </si>
  <si>
    <t>DAI - Cloud Infra</t>
  </si>
  <si>
    <t>DAI - Digital - Other</t>
  </si>
  <si>
    <t>DAI - Digital - ShopRunner</t>
  </si>
  <si>
    <t>DAI - Digital Sirius</t>
  </si>
  <si>
    <t>DAI - Independent ARTs</t>
  </si>
  <si>
    <t>DAI - P1 - BackOffice</t>
  </si>
  <si>
    <t>DAI - P1 - Clearance</t>
  </si>
  <si>
    <t>DAI - P1 - Commercial</t>
  </si>
  <si>
    <t>DAI - P1 - LinehaulAir</t>
  </si>
  <si>
    <t>DAI - P1 - LinehaulSurface</t>
  </si>
  <si>
    <t>DAI - P1 - Other</t>
  </si>
  <si>
    <t>DAI - P1 - Pickup &amp; Delivery</t>
  </si>
  <si>
    <t>DAI - P1 - ServiceExcellence</t>
  </si>
  <si>
    <t>DAI - P1 - Sort</t>
  </si>
  <si>
    <t>DAI - P2&amp;3 - Cust Engagement</t>
  </si>
  <si>
    <t>DAI - P2&amp;3 - GenAI</t>
  </si>
  <si>
    <t>DAI - Platform</t>
  </si>
  <si>
    <t>PF - Data and AI</t>
  </si>
  <si>
    <t>PF - Infrastructure</t>
  </si>
  <si>
    <t>PF - Network</t>
  </si>
  <si>
    <t>SCO - Operational Resource Planning</t>
  </si>
  <si>
    <t>SCO - Airline</t>
  </si>
  <si>
    <t>SCO - Global Clearance</t>
  </si>
  <si>
    <t>MJW (5/3) Cynthia, confirming, do we think the solutions are changing between prod and new instance?</t>
  </si>
  <si>
    <t>No changes in values</t>
  </si>
  <si>
    <t>Padma- what was the decision to exclude this field from the consolidated file?</t>
  </si>
  <si>
    <t>MJW (5/3) - Padma - what was the rationale for excluding these fields? I realize that they don't have field names yet. Cynthia, what are the field names supposed to be and the IDs?</t>
  </si>
  <si>
    <t>MJW (5/3) - Padma - what was the rationale for excluding this field?</t>
  </si>
  <si>
    <t>wbs709</t>
  </si>
  <si>
    <t>Confirmed no data</t>
  </si>
  <si>
    <t>wbs135</t>
  </si>
  <si>
    <t>This can be populated based on the stage it's in. If L3,SL4,L4,SL5,L5 then "Yes" else null</t>
  </si>
  <si>
    <t>wbs136</t>
  </si>
  <si>
    <t>Passed Quality Check</t>
  </si>
  <si>
    <t>This can be populated based on the stage it's in. If L3,SL4,L4,SL5,L5 then "Passed Quality Check" else null</t>
  </si>
  <si>
    <t>Why didn't we have "fdx_sl3_epm_notes" as a source?</t>
  </si>
  <si>
    <t>wbs168</t>
  </si>
  <si>
    <t>Not Approved</t>
  </si>
  <si>
    <t>&lt;Assumed from another field&gt;</t>
  </si>
  <si>
    <t>wbs137</t>
  </si>
  <si>
    <t>SL4 Close Work Bundle - Business Finance Approva</t>
  </si>
  <si>
    <t>MJW (5/3) Field name does not match configuration</t>
  </si>
  <si>
    <t>No - Closes Anyways</t>
  </si>
  <si>
    <t>Worksheet Name</t>
  </si>
  <si>
    <t>Config_Tech_Enabled</t>
  </si>
  <si>
    <t>This is where we should store all of our configuration requirements for Tech_enabled Value Bundles and their respective epics. We will expand to the financial lines as well when it is time. Goal is to eventually also include the Strategic Program Configuration Requirements in the same tab</t>
  </si>
  <si>
    <t>WR2 and other attributes. See data migration logic</t>
  </si>
  <si>
    <t>The field name makes sense "Primary Type of Value Impact", but the requirements have a lot more text. What's the verdict
5/4: Updated Target Field Name in Requirements</t>
  </si>
  <si>
    <r>
      <t xml:space="preserve">MJW (5/1): The requirements call for a space between "&gt;" and "15 months". Please correct in </t>
    </r>
    <r>
      <rPr>
        <strike/>
        <sz val="10"/>
        <color rgb="FFFF0000"/>
        <rFont val="Calibri"/>
        <family val="2"/>
      </rPr>
      <t>prod</t>
    </r>
    <r>
      <rPr>
        <sz val="10"/>
        <rFont val="Calibri"/>
        <family val="2"/>
      </rPr>
      <t xml:space="preserve"> the new instance
Cynthia (5/4): Configuration updated in new instance for direct match</t>
    </r>
  </si>
  <si>
    <t>If creating a Value Bundle under Strategic Program, select "Program Value Bundle". 
If creating a tech enabled non-Program work, select "Demand Bundle".
If creating a Business Demand Management work, select "Business Demand". Business Demand represents work governed by the Regional Business Units. Governance and decision‑making are handled outside of the DRIVE Forward framework.</t>
  </si>
  <si>
    <t>I think this can be sourced based on the source data, but we may want to just keep null. We can discuss trade-offs</t>
  </si>
  <si>
    <t>Cancellation Request</t>
  </si>
  <si>
    <t>SpSt</t>
  </si>
  <si>
    <t>wbs20</t>
  </si>
  <si>
    <t>Estimate of the complexity of demand that considers:
﻿﻿- Degree of business process change
﻿﻿- Dependencies on other work
- Experience in implementing the technology
﻿- Minimal: No change to existing business processes 
- Low: Minimal impact to existing business processes 
- Medium: Impacts day to day business operations
- High: Significant impact on day-day business operations
- Maximum: Severe impact on day-day business operations</t>
  </si>
  <si>
    <t>Padma, why did you delete this row when consolidating?
Cynthia - see comment about validation options
MJW (5/4) Validation options remove option of "1: Unknown". See the data migration comments for approach
Bibhusha (5/4): &lt;Please enter what you changed&gt;</t>
  </si>
  <si>
    <t>Make sure to nullify 1: Unknown. Also, the drop down options are slightly changing, so be sure to consider the numbering differences (bibhusha should have already updated it)</t>
  </si>
  <si>
    <t>Create Milestone</t>
  </si>
  <si>
    <t>pveDescription</t>
  </si>
  <si>
    <t>WBS712</t>
  </si>
  <si>
    <t>Automated ID created by system</t>
  </si>
  <si>
    <t>Very short name of the milestone</t>
  </si>
  <si>
    <t>Brief description of the milestone</t>
  </si>
  <si>
    <t>Categorization of milestone, based on demand path or if a value delivery step</t>
  </si>
  <si>
    <t>Person responsible for tracking and delivery of the milestone</t>
  </si>
  <si>
    <t>State of milestone and underlying work being delivered</t>
  </si>
  <si>
    <t>Date the milestone is planning on being initiated or had been initiated</t>
  </si>
  <si>
    <t>Estimated date that milestone is expected to be completed and begin delivering value to organization</t>
  </si>
  <si>
    <t>Tag of the Milestone's current health status, to be updated regularly by the initiative owner. Any status other than On Track requires Status Rationale to be filled out.</t>
  </si>
  <si>
    <t>Auto-completed</t>
  </si>
  <si>
    <t>alphanumeric</t>
  </si>
  <si>
    <t>Free form text</t>
  </si>
  <si>
    <t>Long Text</t>
  </si>
  <si>
    <t>drop down</t>
  </si>
  <si>
    <t>Drop Down</t>
  </si>
  <si>
    <t>date/time</t>
  </si>
  <si>
    <t>Bibhusha</t>
  </si>
  <si>
    <t>L2 - Milestone/Plan</t>
  </si>
  <si>
    <t>MJW (5/4) Not sure if this is required for the migration… Need to confirm with Planview</t>
  </si>
  <si>
    <t>Bibhusha, do we need to migrate these?</t>
  </si>
  <si>
    <t>&lt;Placeholder for various agility fields&gt;</t>
  </si>
  <si>
    <t>wbs712</t>
  </si>
  <si>
    <t>Technology</t>
  </si>
  <si>
    <t>Legal / Regulatory</t>
  </si>
  <si>
    <t>Milestone Type (Old)</t>
  </si>
  <si>
    <t>Initiation &amp; Governance</t>
  </si>
  <si>
    <t>Requires some converting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</si>
</sst>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_(&quot;$&quot;* #,##0_);_(&quot;$&quot;* \(#,##0\);_(&quot;$&quot;* &quot;-&quot;??_);_(@_)"/>
    <numFmt numFmtId="165" formatCode="[$-409]mmm\-yy;@"/>
  </numFmts>
  <fonts count="26" x14ac:knownFonts="1">
    <font>
      <sz val="11"/>
      <color theme="1"/>
      <name val="Calibri"/>
      <family val="2"/>
      <scheme val="minor"/>
    </font>
    <font>
      <b/>
      <sz val="11"/>
      <color rgb="FFFFFFFF"/>
      <name val="Calibri"/>
      <family val="2"/>
    </font>
    <font>
      <sz val="10"/>
      <name val="Calibri"/>
      <family val="2"/>
    </font>
    <font>
      <b/>
      <sz val="10"/>
      <color rgb="FF9C0006"/>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0"/>
      <name val="Calibri"/>
      <family val="2"/>
    </font>
    <font>
      <b/>
      <sz val="11"/>
      <name val="Calibri"/>
      <family val="2"/>
    </font>
    <font>
      <sz val="11"/>
      <color rgb="FF000000"/>
      <name val="Calibri"/>
      <family val="2"/>
    </font>
    <font>
      <b/>
      <sz val="9"/>
      <color rgb="FF003E7E"/>
      <name val="Arial"/>
      <family val="2"/>
    </font>
    <font>
      <sz val="9"/>
      <color rgb="FF000000"/>
      <name val="Arial"/>
      <family val="2"/>
    </font>
    <font>
      <b/>
      <sz val="11"/>
      <color rgb="FFFFFFFF"/>
      <name val="Calibri"/>
      <family val="2"/>
      <scheme val="minor"/>
    </font>
    <font>
      <sz val="11"/>
      <name val="Calibri"/>
      <family val="2"/>
      <scheme val="minor"/>
    </font>
    <font>
      <sz val="10"/>
      <color rgb="FF4D148C"/>
      <name val="FedEx Sans"/>
      <family val="2"/>
    </font>
    <font>
      <b/>
      <sz val="11"/>
      <color theme="1"/>
      <name val="FedEx Sans"/>
      <family val="2"/>
    </font>
    <font>
      <sz val="11"/>
      <color theme="1"/>
      <name val="Aptos"/>
      <family val="2"/>
    </font>
    <font>
      <sz val="11"/>
      <color theme="1"/>
      <name val="FedEx Sans"/>
      <family val="2"/>
    </font>
    <font>
      <b/>
      <sz val="11"/>
      <color rgb="FFFFFFFF"/>
      <name val="Calibri"/>
      <family val="2"/>
    </font>
    <font>
      <b/>
      <sz val="9"/>
      <color rgb="FFFFFFFF"/>
      <name val="Calibri"/>
      <family val="2"/>
    </font>
    <font>
      <sz val="8"/>
      <name val="Calibri"/>
      <family val="2"/>
      <scheme val="minor"/>
    </font>
    <font>
      <sz val="10"/>
      <color rgb="FFFF0000"/>
      <name val="Calibri"/>
      <family val="2"/>
    </font>
    <font>
      <b/>
      <sz val="11"/>
      <color rgb="FFFF0000"/>
      <name val="Calibri"/>
      <family val="2"/>
      <scheme val="minor"/>
    </font>
    <font>
      <strike/>
      <sz val="10"/>
      <color rgb="FFFF0000"/>
      <name val="Calibri"/>
      <family val="2"/>
    </font>
  </fonts>
  <fills count="29">
    <fill>
      <patternFill patternType="none"/>
    </fill>
    <fill>
      <patternFill patternType="gray125"/>
    </fill>
    <fill>
      <patternFill patternType="solid">
        <fgColor rgb="FF1F4E78"/>
      </patternFill>
    </fill>
    <fill>
      <patternFill patternType="solid">
        <fgColor rgb="FFF8CBAD"/>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0F3F5"/>
      </patternFill>
    </fill>
    <fill>
      <patternFill patternType="solid">
        <fgColor theme="5" tint="-0.249977111117893"/>
        <bgColor indexed="64"/>
      </patternFill>
    </fill>
    <fill>
      <patternFill patternType="solid">
        <fgColor theme="4"/>
        <bgColor indexed="64"/>
      </patternFill>
    </fill>
    <fill>
      <patternFill patternType="solid">
        <fgColor theme="9" tint="-0.249977111117893"/>
        <bgColor indexed="64"/>
      </patternFill>
    </fill>
    <fill>
      <patternFill patternType="solid">
        <fgColor rgb="FFED7D31"/>
        <bgColor rgb="FFED7D31"/>
      </patternFill>
    </fill>
    <fill>
      <patternFill patternType="solid">
        <fgColor theme="4"/>
        <bgColor theme="4"/>
      </patternFill>
    </fill>
    <fill>
      <patternFill patternType="solid">
        <fgColor theme="9"/>
        <bgColor theme="9"/>
      </patternFill>
    </fill>
    <fill>
      <patternFill patternType="solid">
        <fgColor rgb="FF4472C4"/>
        <bgColor rgb="FF4472C4"/>
      </patternFill>
    </fill>
    <fill>
      <patternFill patternType="solid">
        <fgColor rgb="FFC6E0B4"/>
        <bgColor rgb="FF000000"/>
      </patternFill>
    </fill>
    <fill>
      <patternFill patternType="solid">
        <fgColor rgb="FFFCE4D6"/>
        <bgColor rgb="FFFCE4D6"/>
      </patternFill>
    </fill>
    <fill>
      <patternFill patternType="solid">
        <fgColor theme="9" tint="0.79998168889431442"/>
        <bgColor indexed="64"/>
      </patternFill>
    </fill>
    <fill>
      <patternFill patternType="solid">
        <fgColor theme="9" tint="0.79998168889431442"/>
        <bgColor theme="9" tint="0.79998168889431442"/>
      </patternFill>
    </fill>
    <fill>
      <patternFill patternType="solid">
        <fgColor theme="2" tint="-0.249977111117893"/>
        <bgColor indexed="64"/>
      </patternFill>
    </fill>
    <fill>
      <patternFill patternType="solid">
        <fgColor rgb="FFD9E1F2"/>
        <bgColor rgb="FFD9E1F2"/>
      </patternFill>
    </fill>
    <fill>
      <patternFill patternType="solid">
        <fgColor theme="2" tint="-0.249977111117893"/>
        <bgColor rgb="FFD9E1F2"/>
      </patternFill>
    </fill>
    <fill>
      <patternFill patternType="solid">
        <fgColor rgb="FF92D050"/>
        <bgColor indexed="64"/>
      </patternFill>
    </fill>
    <fill>
      <patternFill patternType="solid">
        <fgColor theme="6" tint="0.79998168889431442"/>
        <bgColor indexed="64"/>
      </patternFill>
    </fill>
    <fill>
      <patternFill patternType="solid">
        <fgColor rgb="FF00B0F0"/>
        <bgColor indexed="64"/>
      </patternFill>
    </fill>
    <fill>
      <patternFill patternType="solid">
        <fgColor rgb="FFFF0000"/>
        <bgColor indexed="64"/>
      </patternFill>
    </fill>
    <fill>
      <patternFill patternType="solid">
        <fgColor rgb="FF00B050"/>
        <bgColor indexed="64"/>
      </patternFill>
    </fill>
    <fill>
      <patternFill patternType="solid">
        <fgColor theme="5" tint="0.79998168889431442"/>
        <bgColor theme="5" tint="0.79998168889431442"/>
      </patternFill>
    </fill>
    <fill>
      <patternFill patternType="solid">
        <fgColor rgb="FFFF0000"/>
        <bgColor rgb="FF000000"/>
      </patternFill>
    </fill>
    <fill>
      <patternFill patternType="solid">
        <fgColor theme="7" tint="-0.249977111117893"/>
        <bgColor indexed="64"/>
      </patternFill>
    </fill>
  </fills>
  <borders count="3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A3A3A3"/>
      </left>
      <right style="thin">
        <color rgb="FFA3A3A3"/>
      </right>
      <top/>
      <bottom style="thin">
        <color rgb="FFA3A3A3"/>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style="thin">
        <color theme="5" tint="0.39997558519241921"/>
      </left>
      <right/>
      <top/>
      <bottom style="thin">
        <color theme="5" tint="0.39997558519241921"/>
      </bottom>
      <diagonal/>
    </border>
    <border>
      <left/>
      <right/>
      <top/>
      <bottom style="thin">
        <color theme="5" tint="0.39997558519241921"/>
      </bottom>
      <diagonal/>
    </border>
    <border>
      <left/>
      <right style="thin">
        <color theme="5" tint="0.39997558519241921"/>
      </right>
      <top/>
      <bottom style="thin">
        <color theme="5" tint="0.39997558519241921"/>
      </bottom>
      <diagonal/>
    </border>
    <border>
      <left/>
      <right/>
      <top style="thin">
        <color theme="9" tint="0.39997558519241921"/>
      </top>
      <bottom style="thin">
        <color theme="9" tint="0.39997558519241921"/>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4" fillId="0" borderId="0" applyFont="0" applyFill="0" applyBorder="0" applyAlignment="0" applyProtection="0"/>
    <xf numFmtId="0" fontId="8" fillId="0" borderId="0"/>
    <xf numFmtId="0" fontId="11" fillId="0" borderId="0" applyBorder="0"/>
  </cellStyleXfs>
  <cellXfs count="126">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10" fillId="5" borderId="5" xfId="0" applyFont="1" applyFill="1" applyBorder="1" applyAlignment="1">
      <alignment horizontal="left" vertical="center" wrapText="1"/>
    </xf>
    <xf numFmtId="0" fontId="9" fillId="0" borderId="1" xfId="0" applyFont="1" applyBorder="1" applyAlignment="1">
      <alignment vertical="top" wrapText="1"/>
    </xf>
    <xf numFmtId="0" fontId="12" fillId="6" borderId="10" xfId="3" quotePrefix="1" applyFont="1" applyFill="1" applyBorder="1" applyAlignment="1">
      <alignment horizontal="center" vertical="center"/>
    </xf>
    <xf numFmtId="0" fontId="11" fillId="0" borderId="0" xfId="3"/>
    <xf numFmtId="49" fontId="13" fillId="0" borderId="0" xfId="3" applyNumberFormat="1" applyFont="1"/>
    <xf numFmtId="49" fontId="11" fillId="0" borderId="0" xfId="3" applyNumberFormat="1"/>
    <xf numFmtId="0" fontId="9" fillId="0" borderId="3" xfId="0" applyFont="1" applyBorder="1" applyAlignment="1">
      <alignment vertical="top" wrapText="1"/>
    </xf>
    <xf numFmtId="0" fontId="5" fillId="7" borderId="0" xfId="0" applyFont="1" applyFill="1" applyAlignment="1">
      <alignment horizontal="center"/>
    </xf>
    <xf numFmtId="0" fontId="5" fillId="7" borderId="0" xfId="0" applyFont="1" applyFill="1" applyAlignment="1">
      <alignment horizontal="left" vertical="center"/>
    </xf>
    <xf numFmtId="0" fontId="14" fillId="10" borderId="0" xfId="0" applyFont="1" applyFill="1"/>
    <xf numFmtId="0" fontId="5" fillId="11" borderId="14" xfId="0" applyFont="1" applyFill="1" applyBorder="1"/>
    <xf numFmtId="0" fontId="0" fillId="0" borderId="0" xfId="0" applyAlignment="1">
      <alignment horizontal="center"/>
    </xf>
    <xf numFmtId="0" fontId="5" fillId="12" borderId="15" xfId="0" applyFont="1" applyFill="1" applyBorder="1"/>
    <xf numFmtId="0" fontId="5" fillId="12" borderId="0" xfId="0" applyFont="1" applyFill="1"/>
    <xf numFmtId="0" fontId="14" fillId="13" borderId="0" xfId="0" applyFont="1" applyFill="1"/>
    <xf numFmtId="0" fontId="5" fillId="11" borderId="16" xfId="0" applyFont="1" applyFill="1" applyBorder="1"/>
    <xf numFmtId="0" fontId="5" fillId="11" borderId="17" xfId="0" applyFont="1" applyFill="1" applyBorder="1"/>
    <xf numFmtId="0" fontId="15" fillId="5" borderId="0" xfId="0" applyFont="1" applyFill="1"/>
    <xf numFmtId="0" fontId="8" fillId="14" borderId="18" xfId="0" applyFont="1" applyFill="1" applyBorder="1"/>
    <xf numFmtId="0" fontId="8" fillId="14" borderId="19" xfId="0" applyFont="1" applyFill="1" applyBorder="1"/>
    <xf numFmtId="0" fontId="8" fillId="14" borderId="20" xfId="0" applyFont="1" applyFill="1" applyBorder="1"/>
    <xf numFmtId="0" fontId="8" fillId="15" borderId="0" xfId="0" applyFont="1" applyFill="1"/>
    <xf numFmtId="0" fontId="0" fillId="0" borderId="0" xfId="0" applyAlignment="1">
      <alignment wrapText="1"/>
    </xf>
    <xf numFmtId="0" fontId="0" fillId="16" borderId="0" xfId="0" applyFill="1"/>
    <xf numFmtId="0" fontId="16" fillId="0" borderId="0" xfId="0" applyFont="1" applyAlignment="1">
      <alignment readingOrder="1"/>
    </xf>
    <xf numFmtId="0" fontId="0" fillId="17" borderId="21" xfId="0" applyFill="1" applyBorder="1"/>
    <xf numFmtId="0" fontId="0" fillId="17" borderId="21" xfId="0" applyFill="1" applyBorder="1" applyAlignment="1">
      <alignment horizontal="center"/>
    </xf>
    <xf numFmtId="0" fontId="0" fillId="17" borderId="15" xfId="0" applyFill="1" applyBorder="1" applyAlignment="1">
      <alignment horizontal="center"/>
    </xf>
    <xf numFmtId="0" fontId="8" fillId="18" borderId="0" xfId="0" applyFont="1" applyFill="1"/>
    <xf numFmtId="0" fontId="8" fillId="18" borderId="0" xfId="0" applyFont="1" applyFill="1" applyAlignment="1">
      <alignment horizontal="center"/>
    </xf>
    <xf numFmtId="0" fontId="8" fillId="19" borderId="0" xfId="0" applyFont="1" applyFill="1"/>
    <xf numFmtId="0" fontId="8" fillId="19" borderId="0" xfId="0" applyFont="1" applyFill="1" applyAlignment="1">
      <alignment horizontal="center"/>
    </xf>
    <xf numFmtId="0" fontId="8" fillId="20" borderId="0" xfId="0" applyFont="1" applyFill="1"/>
    <xf numFmtId="0" fontId="8" fillId="20" borderId="0" xfId="0" applyFont="1" applyFill="1" applyAlignment="1">
      <alignment horizontal="center"/>
    </xf>
    <xf numFmtId="0" fontId="0" fillId="18" borderId="0" xfId="0" applyFill="1"/>
    <xf numFmtId="0" fontId="0" fillId="4" borderId="11" xfId="0" applyFill="1" applyBorder="1"/>
    <xf numFmtId="1" fontId="0" fillId="0" borderId="0" xfId="1" applyNumberFormat="1" applyFont="1"/>
    <xf numFmtId="0" fontId="0" fillId="0" borderId="16" xfId="0" applyBorder="1"/>
    <xf numFmtId="0" fontId="0" fillId="4" borderId="12" xfId="0" applyFill="1" applyBorder="1"/>
    <xf numFmtId="0" fontId="0" fillId="21" borderId="0" xfId="0" applyFill="1"/>
    <xf numFmtId="164" fontId="0" fillId="0" borderId="0" xfId="1" applyNumberFormat="1" applyFont="1"/>
    <xf numFmtId="14" fontId="0" fillId="0" borderId="0" xfId="0" applyNumberFormat="1"/>
    <xf numFmtId="0" fontId="8" fillId="14" borderId="22" xfId="0" applyFont="1" applyFill="1" applyBorder="1"/>
    <xf numFmtId="0" fontId="8" fillId="14" borderId="23" xfId="0" applyFont="1" applyFill="1" applyBorder="1"/>
    <xf numFmtId="0" fontId="8" fillId="14" borderId="24" xfId="0" applyFont="1" applyFill="1" applyBorder="1"/>
    <xf numFmtId="0" fontId="8" fillId="0" borderId="0" xfId="0" applyFont="1"/>
    <xf numFmtId="0" fontId="0" fillId="0" borderId="21" xfId="0" applyBorder="1"/>
    <xf numFmtId="0" fontId="0" fillId="0" borderId="21" xfId="0" applyBorder="1" applyAlignment="1">
      <alignment horizontal="center"/>
    </xf>
    <xf numFmtId="0" fontId="0" fillId="0" borderId="15" xfId="0" applyBorder="1" applyAlignment="1">
      <alignment horizontal="center"/>
    </xf>
    <xf numFmtId="0" fontId="8" fillId="0" borderId="0" xfId="0" applyFont="1" applyAlignment="1">
      <alignment horizontal="center"/>
    </xf>
    <xf numFmtId="6" fontId="8" fillId="0" borderId="0" xfId="0" applyNumberFormat="1" applyFont="1" applyAlignment="1">
      <alignment horizontal="center"/>
    </xf>
    <xf numFmtId="0" fontId="0" fillId="0" borderId="11" xfId="0" applyBorder="1"/>
    <xf numFmtId="0" fontId="0" fillId="4" borderId="16" xfId="0" applyFill="1" applyBorder="1"/>
    <xf numFmtId="0" fontId="0" fillId="17" borderId="25" xfId="0" applyFill="1" applyBorder="1"/>
    <xf numFmtId="0" fontId="0" fillId="17" borderId="25" xfId="0" applyFill="1" applyBorder="1" applyAlignment="1">
      <alignment horizontal="center"/>
    </xf>
    <xf numFmtId="0" fontId="0" fillId="17" borderId="26" xfId="0" applyFill="1" applyBorder="1" applyAlignment="1">
      <alignment horizontal="center"/>
    </xf>
    <xf numFmtId="6" fontId="8" fillId="19" borderId="0" xfId="0" applyNumberFormat="1" applyFont="1" applyFill="1" applyAlignment="1">
      <alignment horizontal="center"/>
    </xf>
    <xf numFmtId="0" fontId="0" fillId="5" borderId="0" xfId="0" applyFill="1"/>
    <xf numFmtId="49" fontId="0" fillId="0" borderId="0" xfId="0" applyNumberFormat="1"/>
    <xf numFmtId="9" fontId="0" fillId="0" borderId="0" xfId="0" applyNumberFormat="1"/>
    <xf numFmtId="0" fontId="11" fillId="0" borderId="0" xfId="0" applyFont="1"/>
    <xf numFmtId="0" fontId="6" fillId="5" borderId="0" xfId="0" applyFont="1" applyFill="1"/>
    <xf numFmtId="0" fontId="17" fillId="22" borderId="0" xfId="0" applyFont="1" applyFill="1" applyAlignment="1">
      <alignment horizontal="center"/>
    </xf>
    <xf numFmtId="0" fontId="18" fillId="0" borderId="0" xfId="0" applyFont="1" applyAlignment="1">
      <alignment horizontal="left" vertical="center" indent="8"/>
    </xf>
    <xf numFmtId="0" fontId="0" fillId="23" borderId="0" xfId="0" applyFill="1"/>
    <xf numFmtId="0" fontId="6" fillId="0" borderId="0" xfId="0" applyFont="1"/>
    <xf numFmtId="0" fontId="19" fillId="0" borderId="0" xfId="0" applyFont="1" applyAlignment="1">
      <alignment horizontal="center"/>
    </xf>
    <xf numFmtId="0" fontId="5" fillId="12" borderId="27" xfId="0" applyFont="1" applyFill="1" applyBorder="1"/>
    <xf numFmtId="0" fontId="5" fillId="12" borderId="21" xfId="0" applyFont="1" applyFill="1" applyBorder="1" applyAlignment="1">
      <alignment horizontal="center"/>
    </xf>
    <xf numFmtId="0" fontId="0" fillId="17" borderId="27" xfId="0" applyFill="1" applyBorder="1"/>
    <xf numFmtId="165" fontId="0" fillId="0" borderId="0" xfId="0" applyNumberFormat="1"/>
    <xf numFmtId="0" fontId="0" fillId="0" borderId="27" xfId="0" applyBorder="1"/>
    <xf numFmtId="0" fontId="0" fillId="24" borderId="0" xfId="0" applyFill="1"/>
    <xf numFmtId="0" fontId="0" fillId="25" borderId="0" xfId="0" applyFill="1"/>
    <xf numFmtId="0" fontId="8" fillId="14" borderId="28" xfId="0" applyFont="1" applyFill="1" applyBorder="1"/>
    <xf numFmtId="0" fontId="8" fillId="14" borderId="29" xfId="0" applyFont="1" applyFill="1" applyBorder="1"/>
    <xf numFmtId="0" fontId="8" fillId="14" borderId="30" xfId="0" applyFont="1" applyFill="1" applyBorder="1"/>
    <xf numFmtId="0" fontId="0" fillId="26" borderId="0" xfId="0" applyFill="1"/>
    <xf numFmtId="0" fontId="0" fillId="26" borderId="22" xfId="0" applyFill="1" applyBorder="1"/>
    <xf numFmtId="0" fontId="0" fillId="26" borderId="24" xfId="0" applyFill="1" applyBorder="1"/>
    <xf numFmtId="0" fontId="0" fillId="0" borderId="22" xfId="0" applyBorder="1"/>
    <xf numFmtId="0" fontId="0" fillId="0" borderId="24" xfId="0" applyBorder="1"/>
    <xf numFmtId="0" fontId="8" fillId="27" borderId="24" xfId="0" applyFont="1" applyFill="1" applyBorder="1"/>
    <xf numFmtId="0" fontId="0" fillId="24" borderId="22" xfId="0" applyFill="1" applyBorder="1"/>
    <xf numFmtId="0" fontId="0" fillId="5" borderId="11" xfId="0" applyFill="1" applyBorder="1"/>
    <xf numFmtId="0" fontId="0" fillId="4" borderId="13" xfId="0" applyFill="1" applyBorder="1"/>
    <xf numFmtId="0" fontId="0" fillId="0" borderId="31" xfId="0" applyBorder="1"/>
    <xf numFmtId="0" fontId="0" fillId="0" borderId="32" xfId="0" applyBorder="1"/>
    <xf numFmtId="0" fontId="20" fillId="2" borderId="5" xfId="0" applyFont="1" applyFill="1" applyBorder="1" applyAlignment="1">
      <alignment horizontal="left" vertical="center" wrapText="1"/>
    </xf>
    <xf numFmtId="0" fontId="9" fillId="0" borderId="2" xfId="0" applyFont="1" applyBorder="1" applyAlignment="1">
      <alignment vertical="top" wrapText="1"/>
    </xf>
    <xf numFmtId="0" fontId="2" fillId="5" borderId="1" xfId="0" applyFont="1" applyFill="1" applyBorder="1" applyAlignment="1">
      <alignment vertical="top" wrapText="1"/>
    </xf>
    <xf numFmtId="0" fontId="9" fillId="5" borderId="1" xfId="0" applyFont="1" applyFill="1" applyBorder="1" applyAlignment="1">
      <alignment vertical="top" wrapText="1"/>
    </xf>
    <xf numFmtId="0" fontId="9" fillId="0" borderId="5" xfId="0" applyFont="1" applyBorder="1" applyAlignment="1">
      <alignment horizontal="center" vertical="center" wrapText="1"/>
    </xf>
    <xf numFmtId="0" fontId="9" fillId="0" borderId="1" xfId="0" applyFont="1" applyBorder="1" applyAlignment="1">
      <alignment horizontal="center" vertical="center" wrapText="1"/>
    </xf>
    <xf numFmtId="0" fontId="21" fillId="28" borderId="5" xfId="0" applyFont="1" applyFill="1" applyBorder="1" applyAlignment="1">
      <alignment horizontal="center" vertical="center" textRotation="90" wrapText="1"/>
    </xf>
    <xf numFmtId="0" fontId="0" fillId="0" borderId="33" xfId="0" pivotButton="1" applyBorder="1"/>
    <xf numFmtId="0" fontId="0" fillId="0" borderId="33" xfId="0" applyBorder="1"/>
    <xf numFmtId="0" fontId="0" fillId="0" borderId="33" xfId="0" applyBorder="1" applyAlignment="1">
      <alignment horizontal="center" vertical="center"/>
    </xf>
    <xf numFmtId="0" fontId="0" fillId="0" borderId="0" xfId="0" applyAlignment="1">
      <alignment horizontal="center" vertical="center"/>
    </xf>
    <xf numFmtId="0" fontId="7" fillId="28" borderId="33" xfId="0" applyFont="1" applyFill="1" applyBorder="1" applyAlignment="1">
      <alignment horizontal="center" vertical="center" textRotation="90" wrapText="1"/>
    </xf>
    <xf numFmtId="0" fontId="2" fillId="0" borderId="1" xfId="0" applyFont="1" applyBorder="1" applyAlignment="1">
      <alignment horizontal="center" vertical="center" wrapText="1"/>
    </xf>
    <xf numFmtId="0" fontId="9" fillId="5" borderId="3" xfId="0" applyFont="1" applyFill="1" applyBorder="1" applyAlignment="1">
      <alignment vertical="top" wrapText="1"/>
    </xf>
    <xf numFmtId="0" fontId="2" fillId="5" borderId="3" xfId="0" applyFont="1" applyFill="1" applyBorder="1" applyAlignment="1">
      <alignment vertical="top" wrapText="1"/>
    </xf>
    <xf numFmtId="0" fontId="2" fillId="0" borderId="8" xfId="0" applyFont="1" applyBorder="1" applyAlignment="1">
      <alignment horizontal="center" vertical="center" wrapText="1"/>
    </xf>
    <xf numFmtId="0" fontId="1" fillId="0" borderId="5" xfId="0" applyFont="1" applyBorder="1" applyAlignment="1">
      <alignment horizontal="left" vertical="center" wrapText="1"/>
    </xf>
    <xf numFmtId="0" fontId="23" fillId="5" borderId="1" xfId="0" applyFont="1" applyFill="1" applyBorder="1" applyAlignment="1">
      <alignment vertical="top" wrapText="1"/>
    </xf>
    <xf numFmtId="0" fontId="24" fillId="0" borderId="33" xfId="0" applyFont="1" applyBorder="1" applyAlignment="1">
      <alignment vertical="center" wrapText="1"/>
    </xf>
    <xf numFmtId="0" fontId="7" fillId="28" borderId="0" xfId="0" applyFont="1" applyFill="1" applyAlignment="1">
      <alignment horizontal="center"/>
    </xf>
    <xf numFmtId="0" fontId="5" fillId="7" borderId="0" xfId="0" applyFont="1" applyFill="1" applyAlignment="1">
      <alignment horizontal="center"/>
    </xf>
    <xf numFmtId="0" fontId="7" fillId="8" borderId="0" xfId="0" applyFont="1" applyFill="1" applyAlignment="1">
      <alignment horizontal="center"/>
    </xf>
    <xf numFmtId="0" fontId="7" fillId="9" borderId="0" xfId="0" applyFont="1" applyFill="1" applyAlignment="1">
      <alignment horizontal="center"/>
    </xf>
    <xf numFmtId="0" fontId="5" fillId="7" borderId="0" xfId="0" applyFont="1" applyFill="1" applyAlignment="1">
      <alignment horizontal="left" vertical="center"/>
    </xf>
    <xf numFmtId="0" fontId="7" fillId="8" borderId="0" xfId="0" applyFont="1" applyFill="1" applyAlignment="1">
      <alignment horizontal="left" vertical="center" wrapText="1"/>
    </xf>
    <xf numFmtId="0" fontId="7" fillId="9" borderId="0" xfId="0" applyFont="1" applyFill="1" applyAlignment="1">
      <alignment horizontal="left" vertical="top" wrapText="1"/>
    </xf>
  </cellXfs>
  <cellStyles count="4">
    <cellStyle name="Currency" xfId="1" builtinId="4"/>
    <cellStyle name="Normal" xfId="0" builtinId="0"/>
    <cellStyle name="Normal 2" xfId="2" xr:uid="{7F6EDBF2-47EC-48B1-B578-507DC41FBBCD}"/>
    <cellStyle name="Normal 3" xfId="3" xr:uid="{7C98FA3C-BF62-4508-A43B-66DC63393D41}"/>
  </cellStyles>
  <dxfs count="1140">
    <dxf>
      <font>
        <b/>
        <sz val="10"/>
        <color rgb="FF9C5700"/>
        <name val="Calibri"/>
      </font>
      <fill>
        <patternFill patternType="solid">
          <fgColor rgb="FFFFE699"/>
        </patternFill>
      </fill>
    </dxf>
    <dxf>
      <fill>
        <patternFill patternType="solid">
          <fgColor rgb="FFFFE699"/>
        </patternFill>
      </fill>
    </dxf>
    <dxf>
      <font>
        <b/>
        <sz val="10"/>
        <color rgb="FF9C5700"/>
        <name val="Calibri"/>
      </font>
      <fill>
        <patternFill patternType="solid">
          <fgColor rgb="FFFFE699"/>
        </patternFill>
      </fill>
    </dxf>
    <dxf>
      <fill>
        <patternFill patternType="solid">
          <fgColor rgb="FFFFE6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sz val="10"/>
        <color rgb="FF9C5700"/>
        <name val="Calibri"/>
      </font>
      <fill>
        <patternFill patternType="solid">
          <fgColor rgb="FFFFE699"/>
        </patternFill>
      </fill>
    </dxf>
    <dxf>
      <font>
        <color rgb="FF9C0006"/>
      </font>
      <fill>
        <patternFill>
          <bgColor rgb="FFFFC7CE"/>
        </patternFill>
      </fill>
    </dxf>
    <dxf>
      <font>
        <color rgb="FF9C0006"/>
      </font>
      <fill>
        <patternFill>
          <bgColor rgb="FFFFC7CE"/>
        </patternFill>
      </fill>
    </dxf>
    <dxf>
      <fill>
        <patternFill patternType="solid">
          <fgColor rgb="FFFFE699"/>
        </patternFill>
      </fill>
    </dxf>
    <dxf>
      <font>
        <b/>
        <sz val="10"/>
        <color rgb="FF9C5700"/>
        <name val="Calibri"/>
      </font>
      <fill>
        <patternFill patternType="solid">
          <fgColor rgb="FFFFE699"/>
        </patternFill>
      </fill>
    </dxf>
    <dxf>
      <fill>
        <patternFill patternType="solid">
          <fgColor rgb="FFFFE699"/>
        </patternFill>
      </fill>
    </dxf>
    <dxf>
      <numFmt numFmtId="30" formatCode="@"/>
    </dxf>
    <dxf>
      <numFmt numFmtId="30" formatCode="@"/>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border outline="0">
        <top style="thin">
          <color rgb="FFA3A3A3"/>
        </top>
      </border>
    </dxf>
    <dxf>
      <border outline="0">
        <bottom style="thin">
          <color rgb="FFA3A3A3"/>
        </bottom>
      </border>
    </dxf>
    <dxf>
      <font>
        <b/>
        <i val="0"/>
        <strike val="0"/>
        <condense val="0"/>
        <extend val="0"/>
        <outline val="0"/>
        <shadow val="0"/>
        <u val="none"/>
        <vertAlign val="baseline"/>
        <sz val="9"/>
        <color rgb="FF003E7E"/>
        <name val="Arial"/>
        <family val="2"/>
        <scheme val="none"/>
      </font>
      <fill>
        <patternFill patternType="solid">
          <fgColor indexed="64"/>
          <bgColor rgb="FFF0F3F5"/>
        </patternFill>
      </fill>
      <alignment horizontal="center" vertical="center" textRotation="0" wrapText="0" indent="0" justifyLastLine="0" shrinkToFit="0" readingOrder="0"/>
      <border diagonalUp="0" diagonalDown="0" outline="0">
        <left style="thin">
          <color rgb="FFA3A3A3"/>
        </left>
        <right style="thin">
          <color rgb="FFA3A3A3"/>
        </right>
        <top/>
        <bottom/>
      </border>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font>
        <b val="0"/>
        <i val="0"/>
        <strike val="0"/>
        <condense val="0"/>
        <extend val="0"/>
        <outline val="0"/>
        <shadow val="0"/>
        <u val="none"/>
        <vertAlign val="baseline"/>
        <sz val="9"/>
        <color rgb="FF000000"/>
        <name val="Arial"/>
        <family val="2"/>
        <scheme val="none"/>
      </font>
      <numFmt numFmtId="30" formatCode="@"/>
    </dxf>
    <dxf>
      <border outline="0">
        <top style="thin">
          <color rgb="FFA3A3A3"/>
        </top>
      </border>
    </dxf>
    <dxf>
      <border outline="0">
        <bottom style="thin">
          <color rgb="FFA3A3A3"/>
        </bottom>
      </border>
    </dxf>
    <dxf>
      <font>
        <b/>
        <i val="0"/>
        <strike val="0"/>
        <condense val="0"/>
        <extend val="0"/>
        <outline val="0"/>
        <shadow val="0"/>
        <u val="none"/>
        <vertAlign val="baseline"/>
        <sz val="9"/>
        <color rgb="FF003E7E"/>
        <name val="Arial"/>
        <family val="2"/>
        <scheme val="none"/>
      </font>
      <fill>
        <patternFill patternType="solid">
          <fgColor indexed="64"/>
          <bgColor rgb="FFF0F3F5"/>
        </patternFill>
      </fill>
      <alignment horizontal="center" vertical="center" textRotation="0" wrapText="0" indent="0" justifyLastLine="0" shrinkToFit="0" readingOrder="0"/>
      <border diagonalUp="0" diagonalDown="0" outline="0">
        <left style="thin">
          <color rgb="FFA3A3A3"/>
        </left>
        <right style="thin">
          <color rgb="FFA3A3A3"/>
        </right>
        <top/>
        <bottom/>
      </border>
    </dxf>
    <dxf>
      <numFmt numFmtId="0" formatCode="General"/>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dxf>
    <dxf>
      <border outline="0">
        <bottom style="thin">
          <color rgb="FFBFBFBF"/>
        </bottom>
      </border>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left"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strike val="0"/>
        <outline val="0"/>
        <shadow val="0"/>
        <u val="none"/>
        <vertAlign val="baseline"/>
        <sz val="11"/>
        <color auto="1"/>
        <name val="Calibri"/>
        <family val="2"/>
        <scheme val="minor"/>
      </font>
      <fill>
        <patternFill patternType="solid">
          <fgColor indexed="64"/>
          <bgColor rgb="FFFFFF00"/>
        </patternFill>
      </fill>
    </dxf>
    <dxf>
      <numFmt numFmtId="0" formatCode="General"/>
    </dxf>
    <dxf>
      <numFmt numFmtId="164" formatCode="_(&quot;$&quot;* #,##0_);_(&quot;$&quot;* \(#,##0\);_(&quot;$&quot;* &quot;-&quot;??_);_(@_)"/>
    </dxf>
    <dxf>
      <border outline="0">
        <left style="thin">
          <color theme="9" tint="0.39997558519241921"/>
        </left>
        <bottom style="thin">
          <color theme="9" tint="0.39997558519241921"/>
        </bottom>
      </border>
    </dxf>
    <dxf>
      <font>
        <b val="0"/>
        <i val="0"/>
        <strike val="0"/>
        <condense val="0"/>
        <extend val="0"/>
        <outline val="0"/>
        <shadow val="0"/>
        <u val="none"/>
        <vertAlign val="baseline"/>
        <sz val="11"/>
        <color rgb="FF000000"/>
        <name val="Calibri"/>
        <family val="2"/>
        <scheme val="minor"/>
      </font>
      <fill>
        <patternFill patternType="solid">
          <fgColor rgb="FFD9E1F2"/>
          <bgColor theme="2" tint="-0.249977111117893"/>
        </patternFill>
      </fill>
      <alignment horizontal="center" vertical="bottom" textRotation="0" wrapText="0" indent="0" justifyLastLine="0" shrinkToFit="0" readingOrder="0"/>
    </dxf>
    <dxf>
      <fill>
        <patternFill>
          <bgColor theme="2" tint="-0.249977111117893"/>
        </patternFill>
      </fill>
    </dxf>
    <dxf>
      <fill>
        <patternFill>
          <bgColor theme="2" tint="-0.249977111117893"/>
        </patternFill>
      </fill>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rgb="FF4472C4"/>
          <bgColor rgb="FF4472C4"/>
        </patternFill>
      </fill>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right style="thin">
          <color theme="5" tint="0.39997558519241921"/>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000000"/>
          <bgColor rgb="FFC6E0B4"/>
        </patternFill>
      </fill>
      <border diagonalUp="0" diagonalDown="0">
        <left style="thin">
          <color theme="5" tint="0.39997558519241921"/>
        </left>
        <right/>
        <top style="thin">
          <color theme="5" tint="0.39997558519241921"/>
        </top>
        <bottom style="thin">
          <color theme="5" tint="0.39997558519241921"/>
        </bottom>
        <vertical/>
        <horizontal/>
      </border>
    </dxf>
    <dxf>
      <numFmt numFmtId="166" formatCode="&quot;$&quot;#,##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theme="2" tint="-0.249977111117893"/>
        </patternFill>
      </fill>
    </dxf>
    <dxf>
      <fill>
        <patternFill patternType="solid">
          <fgColor indexed="64"/>
          <bgColor theme="2" tint="-0.249977111117893"/>
        </patternFill>
      </fill>
    </dxf>
    <dxf>
      <numFmt numFmtId="0" formatCode="General"/>
      <alignment horizontal="center" vertical="bottom" textRotation="0" wrapText="0" indent="0" justifyLastLine="0" shrinkToFit="0" readingOrder="0"/>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numFmt numFmtId="0" formatCode="General"/>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border outline="0">
        <bottom style="thin">
          <color rgb="FFBFBFBF"/>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left" vertical="center" textRotation="0" wrapText="1" indent="0" justifyLastLine="0" shrinkToFit="0" readingOrder="0"/>
      <border diagonalUp="0" diagonalDown="0" outline="0">
        <left style="thin">
          <color rgb="FFBFBFBF"/>
        </left>
        <right style="thin">
          <color rgb="FFBFBFBF"/>
        </right>
        <top/>
        <bottom/>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ocumenttasks/documenttask1.xml><?xml version="1.0" encoding="utf-8"?>
<Tasks xmlns="http://schemas.microsoft.com/office/tasks/2019/documenttasks">
  <Task id="{ED540B0E-D772-44A1-B1D9-400D981A5D34}">
    <Anchor>
      <Comment id="{EAF1C009-35F3-496B-A3D9-19125D36C4B2}"/>
    </Anchor>
    <History>
      <Event time="2026-05-04T13:51:25.42" id="{8F32A138-161D-4645-BA05-B0365ECB50C6}">
        <Attribution userId="S::cynthia.propst.osv@fedex.com::417e1b71-a1be-4307-9c25-4224a5f71fd4" userName="Cynthia Propst (OSV)" userProvider="AD"/>
        <Anchor>
          <Comment id="{8A17E499-D226-4257-836A-774023FB83EE}"/>
        </Anchor>
        <Create/>
      </Event>
      <Event time="2026-05-04T13:51:25.42" id="{D2C72317-06C8-43AF-BADD-074786DC6F7C}">
        <Attribution userId="S::cynthia.propst.osv@fedex.com::417e1b71-a1be-4307-9c25-4224a5f71fd4" userName="Cynthia Propst (OSV)" userProvider="AD"/>
        <Anchor>
          <Comment id="{8A17E499-D226-4257-836A-774023FB83EE}"/>
        </Anchor>
        <Assign userId="S::max.weiss.osv@fedex.com::f2f32d28-e7d6-40c6-be9e-f6f0ee73bc55" userName="Max Weiss (OSV)" userProvider="AD"/>
      </Event>
      <Event time="2026-05-04T13:51:25.42" id="{F009CCF8-7AE4-4590-A31C-A75EE2AC0D3A}">
        <Attribution userId="S::cynthia.propst.osv@fedex.com::417e1b71-a1be-4307-9c25-4224a5f71fd4" userName="Cynthia Propst (OSV)" userProvider="AD"/>
        <Anchor>
          <Comment id="{8A17E499-D226-4257-836A-774023FB83EE}"/>
        </Anchor>
        <SetTitle title="@Max Weiss (OSV) Please know that the gold copies when on SharePoint were still being changed by committee without notification. This is resulting in some of your findings. I will review and adjust as needed."/>
      </Event>
    </History>
  </Task>
  <Task id="{E1822BE3-D22B-45CF-AFEC-5CC2DFE39FAD}">
    <Anchor>
      <Comment id="{337015FA-0D54-48D2-8E62-5695A7657647}"/>
    </Anchor>
    <History>
      <Event time="2026-05-04T13:49:36.99" id="{1E45D9C8-31C7-486D-BE22-D33B9EB38367}">
        <Attribution userId="S::cynthia.propst.osv@fedex.com::417e1b71-a1be-4307-9c25-4224a5f71fd4" userName="Cynthia Propst (OSV)" userProvider="AD"/>
        <Anchor>
          <Comment id="{CDD423C8-08AC-432A-AE7F-33893DC0E2A7}"/>
        </Anchor>
        <Create/>
      </Event>
      <Event time="2026-05-04T13:49:36.99" id="{475AA9BD-4A10-4DB2-A6E8-B69275F844D7}">
        <Attribution userId="S::cynthia.propst.osv@fedex.com::417e1b71-a1be-4307-9c25-4224a5f71fd4" userName="Cynthia Propst (OSV)" userProvider="AD"/>
        <Anchor>
          <Comment id="{CDD423C8-08AC-432A-AE7F-33893DC0E2A7}"/>
        </Anchor>
        <Assign userId="S::max.weiss.osv@fedex.com::f2f32d28-e7d6-40c6-be9e-f6f0ee73bc55" userName="Max Weiss (OSV)" userProvider="AD"/>
      </Event>
      <Event time="2026-05-04T13:49:36.99" id="{1C89735E-8AC9-428A-91E9-B7664151576B}">
        <Attribution userId="S::cynthia.propst.osv@fedex.com::417e1b71-a1be-4307-9c25-4224a5f71fd4" userName="Cynthia Propst (OSV)" userProvider="AD"/>
        <Anchor>
          <Comment id="{CDD423C8-08AC-432A-AE7F-33893DC0E2A7}"/>
        </Anchor>
        <SetTitle title="@Max Weiss (OSV) This would need to be checked by Jill as well. This attributed is already well embedded in the Server3 DEV SB config. @Jill Bourgeois (OSV) Please advise."/>
      </Event>
    </History>
  </Task>
</Tasks>
</file>

<file path=xl/drawings/drawing1.xml><?xml version="1.0" encoding="utf-8"?>
<xdr:wsDr xmlns:xdr="http://schemas.openxmlformats.org/drawingml/2006/spreadsheetDrawing" xmlns:a="http://schemas.openxmlformats.org/drawingml/2006/main">
  <xdr:twoCellAnchor>
    <xdr:from>
      <xdr:col>0</xdr:col>
      <xdr:colOff>1682750</xdr:colOff>
      <xdr:row>84</xdr:row>
      <xdr:rowOff>114300</xdr:rowOff>
    </xdr:from>
    <xdr:to>
      <xdr:col>7</xdr:col>
      <xdr:colOff>1123950</xdr:colOff>
      <xdr:row>97</xdr:row>
      <xdr:rowOff>165100</xdr:rowOff>
    </xdr:to>
    <xdr:sp macro="" textlink="">
      <xdr:nvSpPr>
        <xdr:cNvPr id="2" name="TextBox 1">
          <a:extLst>
            <a:ext uri="{FF2B5EF4-FFF2-40B4-BE49-F238E27FC236}">
              <a16:creationId xmlns:a16="http://schemas.microsoft.com/office/drawing/2014/main" id="{11A081DC-81FC-80DD-27BB-FE5BC9CA3561}"/>
            </a:ext>
          </a:extLst>
        </xdr:cNvPr>
        <xdr:cNvSpPr txBox="1"/>
      </xdr:nvSpPr>
      <xdr:spPr>
        <a:xfrm>
          <a:off x="1682750" y="17094200"/>
          <a:ext cx="11315700" cy="2590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a:t>
          </a:r>
          <a:r>
            <a:rPr lang="en-US" sz="1100" baseline="0"/>
            <a:t> Yet Consolidated with all the needed attributes and validations. Action for Max Weiss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82550</xdr:colOff>
      <xdr:row>0</xdr:row>
      <xdr:rowOff>12700</xdr:rowOff>
    </xdr:from>
    <xdr:to>
      <xdr:col>4</xdr:col>
      <xdr:colOff>165100</xdr:colOff>
      <xdr:row>3</xdr:row>
      <xdr:rowOff>69850</xdr:rowOff>
    </xdr:to>
    <xdr:sp macro="" textlink="">
      <xdr:nvSpPr>
        <xdr:cNvPr id="2" name="TextBox 1">
          <a:extLst>
            <a:ext uri="{FF2B5EF4-FFF2-40B4-BE49-F238E27FC236}">
              <a16:creationId xmlns:a16="http://schemas.microsoft.com/office/drawing/2014/main" id="{A878BF5E-D26B-78BE-C8EF-6E4493B7FC27}"/>
            </a:ext>
          </a:extLst>
        </xdr:cNvPr>
        <xdr:cNvSpPr txBox="1"/>
      </xdr:nvSpPr>
      <xdr:spPr>
        <a:xfrm>
          <a:off x="82550" y="12700"/>
          <a:ext cx="10001250" cy="6096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is a Pivot Table</a:t>
          </a:r>
          <a:r>
            <a:rPr lang="en-US" sz="1100" baseline="0"/>
            <a:t> view and should not be edited. The data comes from the data in the worksheet called "Config_Tech_enabled". This will likely be something good for the testing team to use to confirm that fields exist on all the right screens and in the right Read Write vs Read Only Status. Please hit refresh in the data tab once you have updated the fields all the way to the right in that source worksheet. You also may choose not to do this exercise, however it is recommended</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yoffice.accenture.com/personal/max_j_weiss_accenture_com/Documents/Desktop/FedEx/Op%20Model%20-%20Demand%20Future%20State%20Demand%20Intake%20LBC%20Form%20and%20AttributesvMaster.xlsx" TargetMode="External"/><Relationship Id="rId1" Type="http://schemas.openxmlformats.org/officeDocument/2006/relationships/externalLinkPath" Target="https://myfedex.sharepoint.com/personal/max_j_weiss_accenture_com/Documents/Desktop/FedEx/Op%20Model%20-%20Demand%20Future%20State%20Demand%20Intake%20LBC%20Form%20and%20Attributesv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chitecture Effort_Complexity"/>
      <sheetName val="Examples_Production Break fix"/>
      <sheetName val="Input Attributes - Abridged"/>
      <sheetName val="Planview_Attributes_Config_7.11"/>
      <sheetName val="Planview_Attributes_Config_7.17"/>
      <sheetName val="Planview_Attributes_Config_8.8"/>
      <sheetName val="Summary"/>
      <sheetName val="Strategy Attributes"/>
      <sheetName val="Sheet2"/>
      <sheetName val="KPI Attributes"/>
      <sheetName val="Sheet1"/>
      <sheetName val="Archived Attributes"/>
      <sheetName val="Strategy Drop-Down Validations"/>
      <sheetName val="New Domain Request Form"/>
      <sheetName val="risk_abridged"/>
      <sheetName val="Validation List"/>
      <sheetName val="Archived -Intake form"/>
      <sheetName val="Hierarchy and Value Fields"/>
      <sheetName val="Initiative Examples"/>
      <sheetName val="Abridged Attributes"/>
      <sheetName val="New Reporting Map_DZ adj"/>
      <sheetName val="Dependent On Def"/>
      <sheetName val="POD Mapping Exercise"/>
      <sheetName val="Boxtop Reference"/>
      <sheetName val="ARCHIVE - DetailsAll Attributes"/>
      <sheetName val="WIP don't upload - Form"/>
      <sheetName val="SOURCES &gt;&gt;"/>
      <sheetName val="LPM"/>
      <sheetName val="Intake Example from Commercial"/>
      <sheetName val="DRIVE"/>
      <sheetName val="EU"/>
      <sheetName val="EPM"/>
      <sheetName val="SWIFT"/>
      <sheetName val="Op Model - Demand Future Stat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persons/person.xml><?xml version="1.0" encoding="utf-8"?>
<personList xmlns="http://schemas.microsoft.com/office/spreadsheetml/2018/threadedcomments" xmlns:x="http://schemas.openxmlformats.org/spreadsheetml/2006/main">
  <person displayName="Teresa Holt" id="{6F76A5E4-3FE3-4751-A6C1-CBC869344E48}" userId="tholt@fedex.com" providerId="PeoplePicker"/>
  <person displayName="T.J. Welter" id="{40CE96AA-C31B-4BB5-9D07-5B239035E05C}" userId="tj.welter@fedex.com" providerId="PeoplePicker"/>
  <person displayName="Diana Zemo" id="{C7C7AFF7-679A-47DC-AE34-5FA447C41F6A}" userId="diana.zemo@fedex.com" providerId="PeoplePicker"/>
  <person displayName="Lisa Payne" id="{891AFFED-2284-4258-9A4C-7A817DB55666}" userId="lisa.payne@fedex.com" providerId="PeoplePicker"/>
  <person displayName="Padma Andhe" id="{79C91504-34A1-482B-A432-DBCC80CA4F97}" userId="padma.andhe@fedex.com" providerId="PeoplePicker"/>
  <person displayName="Max Weiss (OSV)" id="{D772DA1F-40CC-48A8-890F-B169C3B89B70}" userId="max.weiss.osv@fedex.com" providerId="PeoplePicker"/>
  <person displayName="Craig Bair (OSV)" id="{DC459C2A-F4BA-48B0-A670-A58F39BA463C}" userId="craig.bair.osv@fedex.com" providerId="PeoplePicker"/>
  <person displayName="Bert Jansen (OSV)" id="{F3414B5C-9DC2-4805-BF18-C5F397D2357E}" userId="bert.jansen.osv@fedex.com" providerId="PeoplePicker"/>
  <person displayName="BIBHUSHA KUNWAR" id="{2AC805F3-EE31-4E55-819A-9A2753DAC94C}" userId="bibhusha.kunwar@fedex.com" providerId="PeoplePicker"/>
  <person displayName="Cynthia Propst (OSV)" id="{36E0E0F2-881A-49D3-87CD-56AD70A42973}" userId="cynthia.propst.osv@fedex.com" providerId="PeoplePicker"/>
  <person displayName="Jill Bourgeois (OSV)" id="{AA4C8533-0F44-416F-8DF9-823F12E74E92}" userId="jill.bourgeois.osv@fedex.com" providerId="PeoplePicker"/>
  <person displayName="Cassandra Imbeault (OSV)" id="{2FD9A02E-12C5-47E4-96ED-2B08387C5144}" userId="cassandra.imbeault.osv@fedex.com" providerId="PeoplePicker"/>
  <person displayName="Deatrice Gautreaux (OSV)" id="{11C55C6E-66A0-4ABF-B17B-9D469F85958A}" userId="deatrice.gautreaux.osv@fedex.com" providerId="PeoplePicker"/>
  <person displayName="Teresa Holt" id="{CEBBA612-91FB-4A2D-B97F-615DA9AB6D77}" userId="S::tholt@fedex.com::3f2cbb42-6815-4768-87f0-2d8728a47434" providerId="AD"/>
  <person displayName="T.J. Welter" id="{EB962E72-536A-495A-978E-BCF5358A6C67}" userId="S::tj.welter@fedex.com::e50a7bdc-9364-48e0-8c6c-dc8866409044" providerId="AD"/>
  <person displayName="Diana Zemo" id="{6EEDA1E4-B3B0-4C12-AA5C-0F9237A36BA9}" userId="S::diana.zemo@fedex.com::6584a90c-20e8-4f83-ba7c-e287c54fccf3" providerId="AD"/>
  <person displayName="Max Weiss (OSV)" id="{2EF07366-E232-4C81-A4F3-2253B5EC44B0}" userId="S::max.weiss.osv@fedex.com::b82b6382-3888-4b71-b5ad-e50e83b7519e" providerId="AD"/>
  <person displayName="Max Weiss (OSV)" id="{7704C7F9-0F29-492D-BFCE-F8B33141E02C}" userId="S::max.weiss.osv@fedex.com::f2f32d28-e7d6-40c6-be9e-f6f0ee73bc55" providerId="AD"/>
  <person displayName="Craig Bair (OSV)" id="{83D5A6FD-541D-4351-B8E2-B055A93D960B}" userId="S::craig.bair.osv@fedex.com::33b492df-d3c4-4f08-8ef8-11865d183508" providerId="AD"/>
  <person displayName="BIBHUSHA KUNWAR" id="{DC8B7470-E28D-4717-B1E4-ED7DC0E5226A}" userId="S::bibhusha.kunwar@fedex.com::aa3919b8-1a11-44cb-b53d-abdfbaa481dd" providerId="AD"/>
  <person displayName="Weiss, Max J." id="{6C004C08-5981-42C8-9E0B-FCF289EB2D5D}" userId="S::max.j.weiss@accenture.com::955582c1-1645-4dd6-aa68-8f99229e237e" providerId="AD"/>
  <person displayName="Cynthia Propst (OSV)" id="{F800DAFE-6B17-4BB0-8DAD-9B0D5E9678B1}" userId="S::cynthia.propst.osv@fedex.com::417e1b71-a1be-4307-9c25-4224a5f71fd4" providerId="AD"/>
  <person displayName="Aisha Abdullahi (OSV)" id="{F2DC4FF1-A231-42E6-BFC0-BB5D77EE6809}" userId="S::aisha.abdullahi.osv@fedex.com::5c133778-ec8a-4c89-8a93-29d541268120" providerId="AD"/>
  <person displayName="Cassandra Imbeault (OSV)" id="{C1D5E5E2-4D33-4B32-8CC5-7867BBA8143D}" userId="S::cassandra.imbeault.osv@fedex.com::0d338653-7870-419b-9005-e455fbc5909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iss, Max J." refreshedDate="46143.917144560182" createdVersion="8" refreshedVersion="8" minRefreshableVersion="3" recordCount="133" xr:uid="{CF8392E2-19DB-442E-A433-31CFAFEF1D9C}">
  <cacheSource type="worksheet">
    <worksheetSource name="Table1"/>
  </cacheSource>
  <cacheFields count="44">
    <cacheField name="Source Tab" numFmtId="0">
      <sharedItems containsBlank="1"/>
    </cacheField>
    <cacheField name="Lifecycle Stage" numFmtId="0">
      <sharedItems containsBlank="1" count="5">
        <s v="L1"/>
        <m/>
        <s v="L2"/>
        <s v="L3"/>
        <s v="L4"/>
      </sharedItems>
    </cacheField>
    <cacheField name="Order" numFmtId="0">
      <sharedItems containsSemiMixedTypes="0" containsString="0" containsNumber="1" containsInteger="1" minValue="1" maxValue="133" count="13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sharedItems>
    </cacheField>
    <cacheField name="Source Demand Type" numFmtId="0">
      <sharedItems containsBlank="1"/>
    </cacheField>
    <cacheField name="Target Demand Type" numFmtId="0">
      <sharedItems containsNonDate="0" containsString="0" containsBlank="1"/>
    </cacheField>
    <cacheField name="Target Entity" numFmtId="0">
      <sharedItems containsBlank="1"/>
    </cacheField>
    <cacheField name="Target Field Name" numFmtId="0">
      <sharedItems count="121">
        <s v="Work ID"/>
        <s v="Work Name"/>
        <s v="Work Parent"/>
        <s v="Work Type"/>
        <s v="Does this request support a DRIVE strategic program?"/>
        <s v="Does this require Limited Visibility?"/>
        <s v="Is this demand Business Only?"/>
        <s v="Does this request support a Non Purple Chip Strategy - Strategic Growth and Strategic Effieciency?"/>
        <s v="Does this request support a D&amp;T Digital Transformation Program?"/>
        <s v="Intended Demand Manager"/>
        <s v="VP Sponsor Name"/>
        <s v="Does this request support a planned application or infrastructure upgrade and/or a routine infrastructure refresh?"/>
        <s v="Risk Subtype (Does this request address a risk or requirement to one of the following?)"/>
        <s v="Risk Type"/>
        <s v="Risk Level"/>
        <s v="What is the risk of not completing the work?"/>
        <s v="What law or regulation is impacted?"/>
        <s v="Attorney/SME who can attest to risk: Name &amp; FDX ID"/>
        <s v="Is there a manual solution?"/>
        <s v="If there is a manual solution, explain:"/>
        <s v="What is the time criticality?"/>
        <s v="Requested IT completion Date"/>
        <s v="Demand Type"/>
        <s v="What business problem are you looking to solve?"/>
        <s v="Why is this needed?"/>
        <s v="What is the risk if not done?"/>
        <s v="Business Ability To Statements"/>
        <s v="Expected Business Outcome"/>
        <s v="T-shirt Size"/>
        <s v="Estimated Annualized Value Range"/>
        <s v="Explain how you arrived at the estimated value range above"/>
        <s v="Primary Type of Value"/>
        <s v="Primary Type of Value Impact (if you chose Service or Customer Experience as a Primary Type of Value)"/>
        <s v="Primary Impacted Portfolio"/>
        <s v="Other Impacted Portfolios"/>
        <s v="What Business Unit does this request support?"/>
        <s v="Submit to Triage?"/>
        <s v="Is this non-discretionary demand vital to business continuity?"/>
        <s v="Business Case Requirements "/>
        <s v="Level of Architecture"/>
        <s v="Impacts Value Prop or Risk to Customer?"/>
        <s v="Level of Governance"/>
        <s v="Ready for SL 1?_x000a_Triage Decision"/>
        <s v="Triage Comments"/>
        <s v="SL3 Approver???"/>
        <s v="EPG Approver"/>
        <s v="PEO Approver"/>
        <s v="Demand Manager"/>
        <s v="D&amp;T Finance"/>
        <s v="Business Finance"/>
        <s v="Architecture Project Manager"/>
        <s v="SL3: Approved for L3?"/>
        <s v="Request Approved?"/>
        <s v="Notes on SL3 Request Approval Decision"/>
        <s v="Flow Type"/>
        <s v="Impacts Commercial Portfolio?"/>
        <s v="Impacts Enterprise Services Portfolio?"/>
        <s v="Impacts Platforms Portfolio?"/>
        <s v="Impacts Supply Chain Operations Portfolio?"/>
        <s v="Business Complexity Estimate"/>
        <s v="Key Assumptions Made in Quantifying Impact"/>
        <s v="Baseline Fiscal Year of Work Bundle"/>
        <s v="Net Recurring Benefits CY '27 -P&amp;L/Hard"/>
        <s v="Net Recurring Benefits CY '28 -P&amp;L/Hard"/>
        <s v="Net Recurring Benefits CY '29 -P&amp;L/Hard"/>
        <s v="Net Recurring Benefits TY '26 -P&amp;L/Hard"/>
        <s v="Net Recurring Benefits -Soft"/>
        <s v="Net Recurring Benefits -Total"/>
        <s v="One-time Benefit ($)"/>
        <s v="Enterprise KPIs"/>
        <s v="Primary Type of Value Impact"/>
        <s v="Does this Work impact Customer Experience?"/>
        <s v="If yes, indicate level of Customer Experience impact"/>
        <s v="Does this Work impact Service?"/>
        <s v="If yes, indicate level of Service impact"/>
        <s v="SL3 EPG Approval"/>
        <s v="SL3 EPG Approval Notes"/>
        <s v="SL3 Business Finance Approval"/>
        <s v="SL3 Business Finance Approval Notes"/>
        <s v="Home Portfolio"/>
        <s v="Actual/Schedule Start"/>
        <s v="Actual/Schedule Finish"/>
        <s v="Stage"/>
        <s v="Demand Subtype"/>
        <s v="Work Status"/>
        <s v="Epic Work Status"/>
        <s v="Description"/>
        <s v="Epic Name / Title"/>
        <s v="Epic Description"/>
        <s v="Epics Notes &amp; Comments"/>
        <s v="Agility #"/>
        <s v="Agility URL"/>
        <s v="Agility % Complete Size"/>
        <s v="Demand Bundle Work Id_x000a_Epic Task Id"/>
        <s v="Solution(s)"/>
        <s v="In Scope"/>
        <s v="Out of Scope"/>
        <s v="Region(s) Impacted"/>
        <s v="PPM Project Number"/>
        <s v="Ability To Statements"/>
        <s v="Epic Architectural Documentation"/>
        <s v="IT Architect"/>
        <s v="Business Architect"/>
        <s v="Health Status"/>
        <s v="Status Rationale"/>
        <s v="Epic Notes and Comments"/>
        <s v="Capital Number"/>
        <s v="OnSpring ID"/>
        <s v="Ready for EPM Quality Check?"/>
        <s v="EPM Review 1"/>
        <s v="EPM Notes"/>
        <s v="Ready for Epic Approval?"/>
        <s v="Epic Approval"/>
        <s v="Epic Approver Notes"/>
        <s v="EPM Review 2"/>
        <s v="Ready to Close: Epic Intent has been met"/>
        <s v="Results/Outcome Notes"/>
        <s v="SL4 Close Demand Bundle - Business Finance Approval"/>
        <s v="SL4 Close Demand Bundle - Business Finance Approval Notes"/>
        <s v="Ready to Close: Work Bundle Intent has been met?"/>
        <s v="Ready to Close: Epic Intent has been met?"/>
      </sharedItems>
    </cacheField>
    <cacheField name="Configuration Status" numFmtId="0">
      <sharedItems containsBlank="1"/>
    </cacheField>
    <cacheField name="Change Control Comments" numFmtId="0">
      <sharedItems containsBlank="1" longText="1"/>
    </cacheField>
    <cacheField name="Required" numFmtId="0">
      <sharedItems containsBlank="1"/>
    </cacheField>
    <cacheField name="Source PROD ID" numFmtId="0">
      <sharedItems containsBlank="1"/>
    </cacheField>
    <cacheField name="Max's comments" numFmtId="0">
      <sharedItems containsBlank="1"/>
    </cacheField>
    <cacheField name="Prod Source field name" numFmtId="0">
      <sharedItems/>
    </cacheField>
    <cacheField name="Target DEV SB ID" numFmtId="0">
      <sharedItems containsBlank="1" containsMixedTypes="1" containsNumber="1" containsInteger="1" minValue="96100" maxValue="191248" count="113">
        <s v="PW_SHORT_NAME"/>
        <s v="DESCR"/>
        <s v="PARENT_DESCR"/>
        <s v="Wbs22"/>
        <s v="Wbs146"/>
        <s v="Wbs154"/>
        <s v="Wbs66"/>
        <m/>
        <s v="Wbs147"/>
        <s v="Wbs148"/>
        <s v="Wbs149"/>
        <s v="Wbs144"/>
        <s v="Wbs145"/>
        <s v="Wbs150"/>
        <s v="Wbs151"/>
        <s v="fdx_risk_compwork_wr"/>
        <s v="fdx_law_regimp_wr"/>
        <s v="fdx_law_attr_sme_wrk"/>
        <s v="Wbs152"/>
        <s v="fdx_manual_wrk_wrk"/>
        <s v="Wbs153"/>
        <s v="fdx_it_cmplet_date"/>
        <s v="WR2"/>
        <s v="fdx_biz_prob_solve"/>
        <s v="fdx_why_needed"/>
        <s v="fdx_risk_if_not_done"/>
        <s v="fdx_ability_to_work"/>
        <s v="fdx_biz_out_work"/>
        <s v="Str62"/>
        <s v="WR36"/>
        <s v="fdx_exp_est_val_rng"/>
        <s v="STR119"/>
        <s v="Str128"/>
        <s v="Wbs155"/>
        <s v="Wbs156"/>
        <s v="Wbs169"/>
        <s v="WR46"/>
        <s v="Wbs160"/>
        <s v="Wbs161"/>
        <s v="Wbs162"/>
        <s v="WR50"/>
        <s v="Wbs86"/>
        <s v="Wbs163"/>
        <s v="fdx_ready_sl1_work"/>
        <n v="191005"/>
        <n v="96100"/>
        <n v="191248"/>
        <n v="191004"/>
        <n v="190987"/>
        <n v="190988"/>
        <s v="Wbs164"/>
        <s v="fdx_req_apv_dec_note"/>
        <s v="Wbs157"/>
        <s v="Str109"/>
        <s v="Str111"/>
        <s v="Str110"/>
        <s v="Str113"/>
        <s v="Str36"/>
        <s v="fdx_assump_work"/>
        <s v="Str33"/>
        <s v="fdx_vbnrb_cy27_hard"/>
        <s v="fdx_vbnrb_cy28_hard"/>
        <s v="fdx_vbnrb_cy29_hard"/>
        <s v="fdx_vbnrb_ty26_hard"/>
        <s v="fdx_l1_nrb_soft_wrk"/>
        <s v="fdx_vbnrb_total"/>
        <s v="fdx_l1_otb_total_wrk"/>
        <s v="Wbs143"/>
        <s v="Wbs75"/>
        <s v="Wbs57"/>
        <s v="Wbs76"/>
        <s v="Wbs59"/>
        <s v="Wbs138"/>
        <s v="fdx_sl3_epg_apv_note"/>
        <s v="Wbs133"/>
        <s v="fdx_sl3_fin_apv_note"/>
        <s v="WR43"/>
        <s v="AC_START"/>
        <s v="AC_FINISH"/>
        <s v="Wbs28"/>
        <s v="WR53"/>
        <s v="Wbs20"/>
        <s v="PE01"/>
        <s v="Task line in Plan"/>
        <s v="fdx_epic_notes"/>
        <s v="fdx_agility_id"/>
        <s v="fdx_agility_URL"/>
        <s v="1284"/>
        <s v=" -"/>
        <s v="PRODUCT_ALLO"/>
        <s v="fdx_in_scope"/>
        <s v="fdx_out_of_scope"/>
        <s v="Wbs94"/>
        <s v="fdx_work_ppm_num"/>
        <s v="fdx_epic_archdoc_URL"/>
        <s v="fdx_it_ent_arch"/>
        <s v="fdx_bus_ent_arch"/>
        <s v="Wbs709"/>
        <s v="fdx_status_work"/>
        <s v="fdx_epic_cap_no"/>
        <s v="fdx_first_id"/>
        <s v="Wbs135"/>
        <s v="Wbs136"/>
        <s v="fdx_epic_epm_notes1"/>
        <s v="Wbs168"/>
        <s v="Wbs165"/>
        <s v="fdx_epic_apprv_notes"/>
        <s v="Wbs137"/>
        <s v="Wbs102"/>
        <s v="fdx_results"/>
        <s v="Wbs159"/>
        <s v="fdx_l4_bfin_apv_note"/>
        <s v="Wbs167"/>
      </sharedItems>
    </cacheField>
    <cacheField name="New instance Target field name" numFmtId="0">
      <sharedItems/>
    </cacheField>
    <cacheField name="Field names Match (prod to new)?" numFmtId="0">
      <sharedItems/>
    </cacheField>
    <cacheField name="Field names Match (Requirement to config)?" numFmtId="0">
      <sharedItems/>
    </cacheField>
    <cacheField name="Type" numFmtId="0">
      <sharedItems containsBlank="1"/>
    </cacheField>
    <cacheField name="Selection Type" numFmtId="0">
      <sharedItems containsBlank="1"/>
    </cacheField>
    <cacheField name="Has Dropdown" numFmtId="0">
      <sharedItems containsBlank="1"/>
    </cacheField>
    <cacheField name="DropDown Options" numFmtId="0">
      <sharedItems containsBlank="1" longText="1"/>
    </cacheField>
    <cacheField name="Entity_Flag_Manual_Review" numFmtId="0">
      <sharedItems containsBlank="1"/>
    </cacheField>
    <cacheField name="Work - Add New" numFmtId="0">
      <sharedItems containsBlank="1"/>
    </cacheField>
    <cacheField name="Add New Request Information" numFmtId="0">
      <sharedItems containsBlank="1" count="2">
        <m/>
        <s v="RO"/>
      </sharedItems>
    </cacheField>
    <cacheField name="Business Continuity Assessment" numFmtId="0">
      <sharedItems containsBlank="1" count="2">
        <m/>
        <s v="RO"/>
      </sharedItems>
    </cacheField>
    <cacheField name="Problem Opportunity Statement" numFmtId="0">
      <sharedItems containsBlank="1" count="2">
        <m/>
        <s v="RO"/>
      </sharedItems>
    </cacheField>
    <cacheField name="Triage Validation" numFmtId="0">
      <sharedItems containsBlank="1" count="2">
        <m/>
        <s v="RW"/>
      </sharedItems>
    </cacheField>
    <cacheField name="Request Approval" numFmtId="0">
      <sharedItems containsNonDate="0" containsString="0" containsBlank="1" count="1">
        <m/>
      </sharedItems>
    </cacheField>
    <cacheField name="Move Work and Assign Roles and Responsibilities" numFmtId="0">
      <sharedItems containsNonDate="0" containsString="0" containsBlank="1" count="1">
        <m/>
      </sharedItems>
    </cacheField>
    <cacheField name="Architecture Alignment" numFmtId="0">
      <sharedItems containsNonDate="0" containsString="0" containsBlank="1" count="1">
        <m/>
      </sharedItems>
    </cacheField>
    <cacheField name="Certified Business Case" numFmtId="0">
      <sharedItems containsNonDate="0" containsString="0" containsBlank="1" count="1">
        <m/>
      </sharedItems>
    </cacheField>
    <cacheField name="SL3 EPG Approval" numFmtId="0">
      <sharedItems containsNonDate="0" containsString="0" containsBlank="1" count="1">
        <m/>
      </sharedItems>
    </cacheField>
    <cacheField name="SL3 Finance Approval" numFmtId="0">
      <sharedItems containsNonDate="0" containsString="0" containsBlank="1" count="1">
        <m/>
      </sharedItems>
    </cacheField>
    <cacheField name="Demand Bundle Decomp and Conceptual Architecture" numFmtId="0">
      <sharedItems containsNonDate="0" containsString="0" containsBlank="1" count="1">
        <m/>
      </sharedItems>
    </cacheField>
    <cacheField name="Detailed Milestone Refinement" numFmtId="0">
      <sharedItems containsNonDate="0" containsString="0" containsBlank="1" count="1">
        <m/>
      </sharedItems>
    </cacheField>
    <cacheField name="EPM Quality Check 1" numFmtId="0">
      <sharedItems containsNonDate="0" containsString="0" containsBlank="1" count="1">
        <m/>
      </sharedItems>
    </cacheField>
    <cacheField name="Revised Implementation Plan/Sequence Delivery" numFmtId="0">
      <sharedItems containsNonDate="0" containsString="0" containsBlank="1" count="1">
        <m/>
      </sharedItems>
    </cacheField>
    <cacheField name="Epic Approval" numFmtId="0">
      <sharedItems containsNonDate="0" containsString="0" containsBlank="1" count="1">
        <m/>
      </sharedItems>
    </cacheField>
    <cacheField name="L3 Epic Solutioning" numFmtId="0">
      <sharedItems containsNonDate="0" containsString="0" containsBlank="1" count="1">
        <m/>
      </sharedItems>
    </cacheField>
    <cacheField name="L3 D&amp;T Costing" numFmtId="0">
      <sharedItems containsNonDate="0" containsString="0" containsBlank="1" count="1">
        <m/>
      </sharedItems>
    </cacheField>
    <cacheField name="EPM Quality Check 2" numFmtId="0">
      <sharedItems containsNonDate="0" containsString="0" containsBlank="1" count="1">
        <m/>
      </sharedItems>
    </cacheField>
    <cacheField name="L3: Execute and Release" numFmtId="0">
      <sharedItems containsNonDate="0" containsString="0" containsBlank="1" count="1">
        <m/>
      </sharedItems>
    </cacheField>
    <cacheField name="SL4 Close Demand Bundle Business Finance Approval" numFmtId="0">
      <sharedItems containsNonDate="0" containsString="0" containsBlank="1" count="1">
        <m/>
      </sharedItems>
    </cacheField>
    <cacheField name="Evaluate Outcome Achievement"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s v="L1 - Establish Request for Work"/>
    <x v="0"/>
    <x v="0"/>
    <s v="Business with Tech, Local Enhancement, Lifecycle Management, Business Only"/>
    <m/>
    <m/>
    <x v="0"/>
    <s v="3. Attribute Created"/>
    <m/>
    <s v="Required"/>
    <s v="PW_SHORT_NAME"/>
    <m/>
    <s v="Work ID"/>
    <x v="0"/>
    <s v="Work ID"/>
    <b v="1"/>
    <b v="1"/>
    <s v="Field"/>
    <m/>
    <s v="No"/>
    <m/>
    <s v="YES"/>
    <m/>
    <x v="0"/>
    <x v="0"/>
    <x v="0"/>
    <x v="0"/>
    <x v="0"/>
    <x v="0"/>
    <x v="0"/>
    <x v="0"/>
    <x v="0"/>
    <x v="0"/>
    <x v="0"/>
    <x v="0"/>
    <x v="0"/>
    <x v="0"/>
    <x v="0"/>
    <x v="0"/>
    <x v="0"/>
    <x v="0"/>
    <x v="0"/>
    <x v="0"/>
    <x v="0"/>
  </r>
  <r>
    <s v="L1 - Establish Request for Work"/>
    <x v="0"/>
    <x v="1"/>
    <s v="Business with Tech, Local Enhancement, Lifecycle Management, Business Only"/>
    <m/>
    <m/>
    <x v="1"/>
    <s v="3. Attribute Created"/>
    <m/>
    <s v="Required"/>
    <s v="DESCR"/>
    <m/>
    <s v="Epic Name"/>
    <x v="1"/>
    <s v="Work Name"/>
    <b v="0"/>
    <b v="1"/>
    <s v="Field"/>
    <m/>
    <s v="No"/>
    <m/>
    <s v="YES"/>
    <m/>
    <x v="0"/>
    <x v="0"/>
    <x v="0"/>
    <x v="0"/>
    <x v="0"/>
    <x v="0"/>
    <x v="0"/>
    <x v="0"/>
    <x v="0"/>
    <x v="0"/>
    <x v="0"/>
    <x v="0"/>
    <x v="0"/>
    <x v="0"/>
    <x v="0"/>
    <x v="0"/>
    <x v="0"/>
    <x v="0"/>
    <x v="0"/>
    <x v="0"/>
    <x v="0"/>
  </r>
  <r>
    <s v="L1 - Establish Request for Work"/>
    <x v="0"/>
    <x v="2"/>
    <s v="Business with Tech, Local Enhancement, Lifecycle Management, Business Only"/>
    <m/>
    <m/>
    <x v="2"/>
    <s v="3. Attribute Created"/>
    <m/>
    <s v="No"/>
    <s v="PARENT_DESCR"/>
    <m/>
    <s v="Home Domain/Portfolio"/>
    <x v="2"/>
    <s v="Work Parent"/>
    <b v="0"/>
    <b v="1"/>
    <s v="Predefined"/>
    <m/>
    <s v="No"/>
    <m/>
    <s v="YES"/>
    <m/>
    <x v="0"/>
    <x v="0"/>
    <x v="0"/>
    <x v="0"/>
    <x v="0"/>
    <x v="0"/>
    <x v="0"/>
    <x v="0"/>
    <x v="0"/>
    <x v="0"/>
    <x v="0"/>
    <x v="0"/>
    <x v="0"/>
    <x v="0"/>
    <x v="0"/>
    <x v="0"/>
    <x v="0"/>
    <x v="0"/>
    <x v="0"/>
    <x v="0"/>
    <x v="0"/>
  </r>
  <r>
    <s v="L1 - Establish Request for Work"/>
    <x v="0"/>
    <x v="3"/>
    <s v="Business with Tech, Local Enhancement, Lifecycle Management, Business Only"/>
    <m/>
    <m/>
    <x v="3"/>
    <s v="3. Attribute Created"/>
    <m/>
    <s v="Required"/>
    <s v="Wbs22"/>
    <m/>
    <s v="Work Type"/>
    <x v="3"/>
    <s v="Work Type"/>
    <b v="1"/>
    <b v="1"/>
    <s v="Alternate Structure"/>
    <s v="Single"/>
    <s v="Yes"/>
    <s v="Program Value Bundle_x000a_Tech-Enabled Request_x000a_Business Demand"/>
    <s v="YES"/>
    <m/>
    <x v="0"/>
    <x v="0"/>
    <x v="0"/>
    <x v="0"/>
    <x v="0"/>
    <x v="0"/>
    <x v="0"/>
    <x v="0"/>
    <x v="0"/>
    <x v="0"/>
    <x v="0"/>
    <x v="0"/>
    <x v="0"/>
    <x v="0"/>
    <x v="0"/>
    <x v="0"/>
    <x v="0"/>
    <x v="0"/>
    <x v="0"/>
    <x v="0"/>
    <x v="0"/>
  </r>
  <r>
    <s v="L1 - Establish Request for Work"/>
    <x v="0"/>
    <x v="4"/>
    <s v="Business with Tech, Local Enhancement, Lifecycle Management, Business Only"/>
    <m/>
    <m/>
    <x v="4"/>
    <s v="10. Remove"/>
    <s v="MJW (5/1) - I think Bibhusha believes this should have been removed. Cynthia to confirm. Once actually removed, please change to the &quot;Z&quot; version"/>
    <s v="Required"/>
    <s v="&lt;New&gt;"/>
    <s v="This should be sourced from an existing field, also Bibhusha, why is this crossed out in your workbook?"/>
    <s v="0-Not Found"/>
    <x v="4"/>
    <s v="Does this request support a DRIVE Strategic Program?"/>
    <b v="0"/>
    <b v="1"/>
    <s v="Alt Structure"/>
    <s v="Single"/>
    <s v="Yes"/>
    <s v="DRIVE Strategic Program_x000a_D&amp;T Program_x000a_No"/>
    <s v="YES"/>
    <m/>
    <x v="0"/>
    <x v="0"/>
    <x v="0"/>
    <x v="0"/>
    <x v="0"/>
    <x v="0"/>
    <x v="0"/>
    <x v="0"/>
    <x v="0"/>
    <x v="0"/>
    <x v="0"/>
    <x v="0"/>
    <x v="0"/>
    <x v="0"/>
    <x v="0"/>
    <x v="0"/>
    <x v="0"/>
    <x v="0"/>
    <x v="0"/>
    <x v="0"/>
    <x v="0"/>
  </r>
  <r>
    <s v="L1 - Establish Request for Work"/>
    <x v="0"/>
    <x v="5"/>
    <s v="Business with Tech, Local Enhancement, Lifecycle Management, Business Only"/>
    <m/>
    <m/>
    <x v="5"/>
    <s v="3. Attribute Created"/>
    <m/>
    <s v="Required"/>
    <s v="WR31"/>
    <m/>
    <s v="Is this confidential?"/>
    <x v="5"/>
    <s v="Does this require Limited Visibility?"/>
    <b v="0"/>
    <b v="1"/>
    <s v="Alt Structure"/>
    <s v="Single"/>
    <s v="Yes"/>
    <s v="Yes - Workforce_x000a_Yes - Non-Workforce_x000a_Yes - Privileged &amp; Confidential_x000a_No"/>
    <s v="YES"/>
    <m/>
    <x v="0"/>
    <x v="0"/>
    <x v="0"/>
    <x v="0"/>
    <x v="0"/>
    <x v="0"/>
    <x v="0"/>
    <x v="0"/>
    <x v="0"/>
    <x v="0"/>
    <x v="0"/>
    <x v="0"/>
    <x v="0"/>
    <x v="0"/>
    <x v="0"/>
    <x v="0"/>
    <x v="0"/>
    <x v="0"/>
    <x v="0"/>
    <x v="0"/>
    <x v="0"/>
  </r>
  <r>
    <s v="L1 - Establish Request for Work"/>
    <x v="0"/>
    <x v="6"/>
    <s v="Business with Tech, Local Enhancement, Lifecycle Management, Business Only"/>
    <m/>
    <m/>
    <x v="6"/>
    <s v="3. Attribute Created"/>
    <m/>
    <s v="Required"/>
    <s v="&lt;New&gt;"/>
    <s v="This should be sourced from an existing field."/>
    <s v="0-Not Found"/>
    <x v="6"/>
    <s v="Is this demand Business Only?"/>
    <b v="0"/>
    <b v="1"/>
    <s v="Alt Structure"/>
    <s v="Single"/>
    <s v="Yes"/>
    <s v="Yes_x000a_No"/>
    <s v="YES"/>
    <m/>
    <x v="0"/>
    <x v="0"/>
    <x v="0"/>
    <x v="0"/>
    <x v="0"/>
    <x v="0"/>
    <x v="0"/>
    <x v="0"/>
    <x v="0"/>
    <x v="0"/>
    <x v="0"/>
    <x v="0"/>
    <x v="0"/>
    <x v="0"/>
    <x v="0"/>
    <x v="0"/>
    <x v="0"/>
    <x v="0"/>
    <x v="0"/>
    <x v="0"/>
    <x v="0"/>
  </r>
  <r>
    <m/>
    <x v="1"/>
    <x v="7"/>
    <m/>
    <m/>
    <m/>
    <x v="7"/>
    <s v="Z-No longer required"/>
    <s v="Bibhusha to confirm whether this was truly removed as a requirement"/>
    <m/>
    <m/>
    <s v="This was crossed out in the requirements document and it does not exist in config. Should we assume it was removed?"/>
    <s v="0-Not Found"/>
    <x v="7"/>
    <s v="0-Not Found"/>
    <b v="1"/>
    <b v="0"/>
    <m/>
    <m/>
    <m/>
    <m/>
    <m/>
    <m/>
    <x v="0"/>
    <x v="0"/>
    <x v="0"/>
    <x v="0"/>
    <x v="0"/>
    <x v="0"/>
    <x v="0"/>
    <x v="0"/>
    <x v="0"/>
    <x v="0"/>
    <x v="0"/>
    <x v="0"/>
    <x v="0"/>
    <x v="0"/>
    <x v="0"/>
    <x v="0"/>
    <x v="0"/>
    <x v="0"/>
    <x v="0"/>
    <x v="0"/>
    <x v="0"/>
  </r>
  <r>
    <s v="L1 - Establish Request for Work"/>
    <x v="0"/>
    <x v="8"/>
    <s v="Business with Tech, Local Enhancement, Lifecycle Management, Business Only"/>
    <m/>
    <m/>
    <x v="8"/>
    <s v="2. Feedback Needed"/>
    <s v="The field name doesn't match the configuration. What was configured is &quot;Does this request support a D&amp;T Digital Transformation Strategy?&quot;_x000a_Also, this field was crossed out in the golden copy. Does that mean it should be removed?"/>
    <s v="Required"/>
    <s v="&lt;New&gt;"/>
    <s v="This should be sourced from an existing field"/>
    <s v="0-Not Found"/>
    <x v="8"/>
    <s v="Does this request support a D&amp;T Digital Transformation Strategy?"/>
    <b v="0"/>
    <b v="0"/>
    <s v="Alt Structure"/>
    <s v="Single"/>
    <s v="Yes"/>
    <s v="Yes_x000a_No"/>
    <s v="YES"/>
    <m/>
    <x v="0"/>
    <x v="0"/>
    <x v="0"/>
    <x v="0"/>
    <x v="0"/>
    <x v="0"/>
    <x v="0"/>
    <x v="0"/>
    <x v="0"/>
    <x v="0"/>
    <x v="0"/>
    <x v="0"/>
    <x v="0"/>
    <x v="0"/>
    <x v="0"/>
    <x v="0"/>
    <x v="0"/>
    <x v="0"/>
    <x v="0"/>
    <x v="0"/>
    <x v="0"/>
  </r>
  <r>
    <s v="L1 - Establish Request for Work"/>
    <x v="0"/>
    <x v="9"/>
    <s v="Business with Tech, Local Enhancement, Lifecycle Management, Business Only"/>
    <m/>
    <m/>
    <x v="9"/>
    <s v="2. Feedback Needed"/>
    <s v="Drop down options have not been provided for configuration"/>
    <s v="Required"/>
    <s v="&lt;New&gt;"/>
    <s v="This should be sourced from an existing field."/>
    <s v="0-Not Found"/>
    <x v="9"/>
    <s v="Intended Demand Manager"/>
    <b v="0"/>
    <b v="1"/>
    <m/>
    <m/>
    <s v="No"/>
    <s v="TBD_x000a_TBD"/>
    <s v="YES"/>
    <m/>
    <x v="0"/>
    <x v="0"/>
    <x v="0"/>
    <x v="0"/>
    <x v="0"/>
    <x v="0"/>
    <x v="0"/>
    <x v="0"/>
    <x v="0"/>
    <x v="0"/>
    <x v="0"/>
    <x v="0"/>
    <x v="0"/>
    <x v="0"/>
    <x v="0"/>
    <x v="0"/>
    <x v="0"/>
    <x v="0"/>
    <x v="0"/>
    <x v="0"/>
    <x v="0"/>
  </r>
  <r>
    <s v="L1 - Establish Request for Work"/>
    <x v="0"/>
    <x v="10"/>
    <s v="Business with Tech, Local Enhancement, Lifecycle Management, Business Only"/>
    <m/>
    <m/>
    <x v="10"/>
    <s v="2. Feedback Needed"/>
    <s v="Drop down options have not been provided for configuration"/>
    <s v="Required"/>
    <s v="WR47"/>
    <m/>
    <s v="Sponsor Name"/>
    <x v="10"/>
    <s v="VP Sponsor Name"/>
    <b v="0"/>
    <b v="1"/>
    <s v="Alt Structure"/>
    <s v="Single"/>
    <s v="Yes"/>
    <s v="TBD_x000a_TBD"/>
    <s v="YES"/>
    <m/>
    <x v="0"/>
    <x v="0"/>
    <x v="0"/>
    <x v="0"/>
    <x v="0"/>
    <x v="0"/>
    <x v="0"/>
    <x v="0"/>
    <x v="0"/>
    <x v="0"/>
    <x v="0"/>
    <x v="0"/>
    <x v="0"/>
    <x v="0"/>
    <x v="0"/>
    <x v="0"/>
    <x v="0"/>
    <x v="0"/>
    <x v="0"/>
    <x v="0"/>
    <x v="0"/>
  </r>
  <r>
    <s v="L1 - Establish Request for Work"/>
    <x v="0"/>
    <x v="11"/>
    <s v="Business with Tech, Local Enhancement, Lifecycle Management, Business Only"/>
    <m/>
    <m/>
    <x v="11"/>
    <s v="3. Attribute Created"/>
    <m/>
    <s v="Required"/>
    <s v="&lt;New&gt;"/>
    <m/>
    <s v="0-Not Found"/>
    <x v="11"/>
    <s v="Does this request support a planned application or infrastructure upgrade and/or a routine infrastructure refresh?"/>
    <b v="0"/>
    <b v="1"/>
    <s v="Alt Structure"/>
    <s v="Single"/>
    <s v="Yes"/>
    <s v="Yes_x000a_No"/>
    <s v="YES"/>
    <m/>
    <x v="0"/>
    <x v="0"/>
    <x v="0"/>
    <x v="0"/>
    <x v="0"/>
    <x v="0"/>
    <x v="0"/>
    <x v="0"/>
    <x v="0"/>
    <x v="0"/>
    <x v="0"/>
    <x v="0"/>
    <x v="0"/>
    <x v="0"/>
    <x v="0"/>
    <x v="0"/>
    <x v="0"/>
    <x v="0"/>
    <x v="0"/>
    <x v="0"/>
    <x v="0"/>
  </r>
  <r>
    <s v="L1 - Establish Request for Work"/>
    <x v="0"/>
    <x v="12"/>
    <s v="Business with Tech, Local Enhancement, Lifecycle Management, Business Only"/>
    <m/>
    <m/>
    <x v="12"/>
    <s v="2. Feedback Needed"/>
    <s v="Risk Subtype (Does this request address a risk or requirement to one of the following?) Reommend NOT calling it a Risk Sub-type. Can we just simply ask, &quot;Does this request address a Legal, Regulatory, or Infosec requirement?  If they answer No - the additional biz continuity questions will not populate. If they say yes, they will.  This should be the FIRST question (to replace row 16)"/>
    <s v="Required"/>
    <s v="wr53"/>
    <s v="I added the mapping from wr53"/>
    <s v="Demand SubType"/>
    <x v="12"/>
    <s v="Risk Subtype (Does this request address a risk or requirement to one of the following?)"/>
    <b v="0"/>
    <b v="1"/>
    <m/>
    <s v="Single"/>
    <s v="Yes"/>
    <s v="Legal_x000a_Regulatory_x000a_Infosec (Protect Purple)_x000a_None"/>
    <s v="YES"/>
    <m/>
    <x v="0"/>
    <x v="0"/>
    <x v="0"/>
    <x v="0"/>
    <x v="0"/>
    <x v="0"/>
    <x v="0"/>
    <x v="0"/>
    <x v="0"/>
    <x v="0"/>
    <x v="0"/>
    <x v="0"/>
    <x v="0"/>
    <x v="0"/>
    <x v="0"/>
    <x v="0"/>
    <x v="0"/>
    <x v="0"/>
    <x v="0"/>
    <x v="0"/>
    <x v="0"/>
  </r>
  <r>
    <s v="L1 - Establish Request for Work"/>
    <x v="0"/>
    <x v="13"/>
    <s v="Business with Tech, Local Enhancement, Lifecycle Management, Business Only"/>
    <m/>
    <m/>
    <x v="13"/>
    <s v="2. Feedback Needed"/>
    <s v="Risk Type LB: Recommend putting this question below the &quot;Does this request address a legal, regulatory, or Infosec requirement?"/>
    <s v="Required"/>
    <s v="WR56"/>
    <m/>
    <s v="What is the type of risk?"/>
    <x v="13"/>
    <s v="Risk Type"/>
    <b v="0"/>
    <b v="1"/>
    <s v="Alt Structure"/>
    <s v="Single"/>
    <s v="Yes"/>
    <s v="Operational_x000a_Financial_x000a_Brand_x000a_Safety"/>
    <s v="YES"/>
    <m/>
    <x v="0"/>
    <x v="0"/>
    <x v="0"/>
    <x v="0"/>
    <x v="0"/>
    <x v="0"/>
    <x v="0"/>
    <x v="0"/>
    <x v="0"/>
    <x v="0"/>
    <x v="0"/>
    <x v="0"/>
    <x v="0"/>
    <x v="0"/>
    <x v="0"/>
    <x v="0"/>
    <x v="0"/>
    <x v="0"/>
    <x v="0"/>
    <x v="0"/>
    <x v="0"/>
  </r>
  <r>
    <s v="L1 - Establish Request for Work"/>
    <x v="0"/>
    <x v="14"/>
    <s v="Business with Tech, Local Enhancement, Lifecycle Management, Business Only"/>
    <m/>
    <m/>
    <x v="14"/>
    <s v="3. Attribute Created"/>
    <m/>
    <s v="Required"/>
    <s v="WR57"/>
    <s v="As of 5/1, no value changes expected"/>
    <s v="What is the risk exposure?"/>
    <x v="14"/>
    <s v="Risk Level"/>
    <b v="0"/>
    <b v="1"/>
    <s v="Alt Structure"/>
    <s v="Single"/>
    <s v="Yes"/>
    <s v="Minimal_x000a_Low_x000a_Medium_x000a_High_x000a_Maximum"/>
    <s v="YES"/>
    <m/>
    <x v="0"/>
    <x v="0"/>
    <x v="0"/>
    <x v="0"/>
    <x v="0"/>
    <x v="0"/>
    <x v="0"/>
    <x v="0"/>
    <x v="0"/>
    <x v="0"/>
    <x v="0"/>
    <x v="0"/>
    <x v="0"/>
    <x v="0"/>
    <x v="0"/>
    <x v="0"/>
    <x v="0"/>
    <x v="0"/>
    <x v="0"/>
    <x v="0"/>
    <x v="0"/>
  </r>
  <r>
    <s v="L1 - Establish Request for Work"/>
    <x v="0"/>
    <x v="15"/>
    <s v="Business with Tech, Local Enhancement, Lifecycle Management, Business Only"/>
    <m/>
    <m/>
    <x v="15"/>
    <s v="3. Attribute Created"/>
    <m/>
    <s v="Required"/>
    <s v="fdx_risk_compwrk_str"/>
    <s v="There was an erroneous space. I corrected it. Please be careful to paste values without formatting"/>
    <s v="What is the risk of not completing the work?"/>
    <x v="15"/>
    <s v="What is the risk of not completing the work?"/>
    <b v="1"/>
    <b v="1"/>
    <s v="Field"/>
    <m/>
    <s v="No"/>
    <m/>
    <s v="YES"/>
    <m/>
    <x v="0"/>
    <x v="0"/>
    <x v="0"/>
    <x v="0"/>
    <x v="0"/>
    <x v="0"/>
    <x v="0"/>
    <x v="0"/>
    <x v="0"/>
    <x v="0"/>
    <x v="0"/>
    <x v="0"/>
    <x v="0"/>
    <x v="0"/>
    <x v="0"/>
    <x v="0"/>
    <x v="0"/>
    <x v="0"/>
    <x v="0"/>
    <x v="0"/>
    <x v="0"/>
  </r>
  <r>
    <s v="L1 - Establish Request for Work"/>
    <x v="0"/>
    <x v="16"/>
    <s v="Business with Tech, Local Enhancement, Lifecycle Management, Business Only"/>
    <m/>
    <m/>
    <x v="16"/>
    <s v="3. Attribute Created"/>
    <m/>
    <s v="Required"/>
    <s v="fdx_law_regimp"/>
    <m/>
    <s v="What law or regulation is impacted?"/>
    <x v="16"/>
    <s v="What law or regulation is impacted?"/>
    <b v="1"/>
    <b v="1"/>
    <s v="Field"/>
    <m/>
    <s v="No"/>
    <m/>
    <s v="YES"/>
    <m/>
    <x v="0"/>
    <x v="0"/>
    <x v="0"/>
    <x v="0"/>
    <x v="0"/>
    <x v="0"/>
    <x v="0"/>
    <x v="0"/>
    <x v="0"/>
    <x v="0"/>
    <x v="0"/>
    <x v="0"/>
    <x v="0"/>
    <x v="0"/>
    <x v="0"/>
    <x v="0"/>
    <x v="0"/>
    <x v="0"/>
    <x v="0"/>
    <x v="0"/>
    <x v="0"/>
  </r>
  <r>
    <s v="L1 - Establish Request for Work"/>
    <x v="0"/>
    <x v="17"/>
    <s v="Business with Tech, Local Enhancement, Lifecycle Management, Business Only"/>
    <m/>
    <m/>
    <x v="17"/>
    <s v="3. Attribute Created"/>
    <m/>
    <s v="Required"/>
    <s v="fdx_law_attr_sme"/>
    <m/>
    <s v="Attorney/SME who can attest to risk: Name &amp; FDX ID"/>
    <x v="17"/>
    <s v="Attorney/SME who can attest to risk: Name &amp; FDX ID"/>
    <b v="1"/>
    <b v="1"/>
    <s v="Field"/>
    <m/>
    <s v="No"/>
    <m/>
    <s v="YES"/>
    <m/>
    <x v="0"/>
    <x v="0"/>
    <x v="0"/>
    <x v="0"/>
    <x v="0"/>
    <x v="0"/>
    <x v="0"/>
    <x v="0"/>
    <x v="0"/>
    <x v="0"/>
    <x v="0"/>
    <x v="0"/>
    <x v="0"/>
    <x v="0"/>
    <x v="0"/>
    <x v="0"/>
    <x v="0"/>
    <x v="0"/>
    <x v="0"/>
    <x v="0"/>
    <x v="0"/>
  </r>
  <r>
    <s v="L1 - Establish Request for Work"/>
    <x v="0"/>
    <x v="18"/>
    <s v="Business with Tech, Local Enhancement, Lifecycle Management, Business Only"/>
    <m/>
    <m/>
    <x v="18"/>
    <s v="3. Attribute Created"/>
    <m/>
    <s v="Required"/>
    <s v="WR58"/>
    <s v="As of 5/1, no value changes expected"/>
    <s v="Is there a manual solution?"/>
    <x v="18"/>
    <s v="Is there a manual solution?"/>
    <b v="1"/>
    <b v="1"/>
    <s v="Alt Structure"/>
    <s v="Single"/>
    <s v="Yes"/>
    <s v="Yes_x000a_No"/>
    <s v="YES"/>
    <m/>
    <x v="0"/>
    <x v="0"/>
    <x v="0"/>
    <x v="0"/>
    <x v="0"/>
    <x v="0"/>
    <x v="0"/>
    <x v="0"/>
    <x v="0"/>
    <x v="0"/>
    <x v="0"/>
    <x v="0"/>
    <x v="0"/>
    <x v="0"/>
    <x v="0"/>
    <x v="0"/>
    <x v="0"/>
    <x v="0"/>
    <x v="0"/>
    <x v="0"/>
    <x v="0"/>
  </r>
  <r>
    <s v="L1 - Establish Request for Work"/>
    <x v="0"/>
    <x v="19"/>
    <s v="Business with Tech, Local Enhancement, Lifecycle Management, Business Only"/>
    <m/>
    <m/>
    <x v="19"/>
    <s v="3. Attribute Created"/>
    <m/>
    <s v="Required"/>
    <s v="fdx_manual_wrk"/>
    <m/>
    <s v="If there is a manual solution, explain:"/>
    <x v="19"/>
    <s v="If there is a manual solution, explain:"/>
    <b v="1"/>
    <b v="1"/>
    <s v="Field"/>
    <m/>
    <s v="No"/>
    <m/>
    <s v="YES"/>
    <m/>
    <x v="0"/>
    <x v="0"/>
    <x v="0"/>
    <x v="0"/>
    <x v="0"/>
    <x v="0"/>
    <x v="0"/>
    <x v="0"/>
    <x v="0"/>
    <x v="0"/>
    <x v="0"/>
    <x v="0"/>
    <x v="0"/>
    <x v="0"/>
    <x v="0"/>
    <x v="0"/>
    <x v="0"/>
    <x v="0"/>
    <x v="0"/>
    <x v="0"/>
    <x v="0"/>
  </r>
  <r>
    <s v="L1 - Establish Request for Work"/>
    <x v="0"/>
    <x v="20"/>
    <s v="Business with Tech, Local Enhancement, Lifecycle Management, Business Only"/>
    <m/>
    <m/>
    <x v="20"/>
    <s v="6. Correction Required"/>
    <s v="MJW (5/1): The requirements call for a space between &quot;&gt;&quot; and &quot;15 months&quot;. Please correct in prod"/>
    <s v="Required"/>
    <s v="WR59"/>
    <s v="As of 5/1, no value changes expected, assuming the config issue is corrected"/>
    <s v="What is the time criticality?"/>
    <x v="20"/>
    <s v="What is the time criticality?"/>
    <b v="1"/>
    <b v="1"/>
    <s v="Alt Structure"/>
    <s v="Single"/>
    <s v="Yes"/>
    <s v="&gt; 15 months_x000a_12 - 15 months_x000a_6 - 12 months_x000a_3 - 6 months_x000a_&lt; 3 months_x000a_N/A"/>
    <s v="YES"/>
    <m/>
    <x v="0"/>
    <x v="0"/>
    <x v="0"/>
    <x v="0"/>
    <x v="0"/>
    <x v="0"/>
    <x v="0"/>
    <x v="0"/>
    <x v="0"/>
    <x v="0"/>
    <x v="0"/>
    <x v="0"/>
    <x v="0"/>
    <x v="0"/>
    <x v="0"/>
    <x v="0"/>
    <x v="0"/>
    <x v="0"/>
    <x v="0"/>
    <x v="0"/>
    <x v="0"/>
  </r>
  <r>
    <s v="L1 - Establish Request for Work"/>
    <x v="0"/>
    <x v="21"/>
    <s v="Business with Tech, Local Enhancement, Lifecycle Management, Business Only"/>
    <m/>
    <m/>
    <x v="21"/>
    <s v="6. Correction Required"/>
    <s v="MJW (5/1): It appears there's an erroneous colon in the name of the field"/>
    <s v="Optional"/>
    <s v="fdx_it_complete_date"/>
    <m/>
    <s v="Requested IT Completion Date"/>
    <x v="21"/>
    <s v="Requested IT completion Date:"/>
    <b v="0"/>
    <b v="0"/>
    <s v="Field"/>
    <m/>
    <s v="No"/>
    <m/>
    <s v="YES"/>
    <m/>
    <x v="0"/>
    <x v="0"/>
    <x v="0"/>
    <x v="0"/>
    <x v="0"/>
    <x v="0"/>
    <x v="0"/>
    <x v="0"/>
    <x v="0"/>
    <x v="0"/>
    <x v="0"/>
    <x v="0"/>
    <x v="0"/>
    <x v="0"/>
    <x v="0"/>
    <x v="0"/>
    <x v="0"/>
    <x v="0"/>
    <x v="0"/>
    <x v="0"/>
    <x v="0"/>
  </r>
  <r>
    <s v="L1 - Establish Request for Work"/>
    <x v="0"/>
    <x v="22"/>
    <s v="Business with Tech, Local Enhancement, Lifecycle Management, Business Only"/>
    <m/>
    <m/>
    <x v="22"/>
    <s v="2. Feedback Needed"/>
    <m/>
    <s v="Auto-filled (RO)"/>
    <s v="WR2"/>
    <s v="WR2 data mappings have no clear connection to the new WR2 options. The data should not be carried over"/>
    <s v="Demand Type"/>
    <x v="22"/>
    <s v="Demand Type"/>
    <b v="1"/>
    <b v="1"/>
    <s v="Alt Structure"/>
    <s v="Single"/>
    <s v="Yes"/>
    <m/>
    <s v="YES"/>
    <s v="RO"/>
    <x v="1"/>
    <x v="1"/>
    <x v="1"/>
    <x v="1"/>
    <x v="0"/>
    <x v="0"/>
    <x v="0"/>
    <x v="0"/>
    <x v="0"/>
    <x v="0"/>
    <x v="0"/>
    <x v="0"/>
    <x v="0"/>
    <x v="0"/>
    <x v="0"/>
    <x v="0"/>
    <x v="0"/>
    <x v="0"/>
    <x v="0"/>
    <x v="0"/>
    <x v="0"/>
  </r>
  <r>
    <s v="L1 - Establish Request for Work"/>
    <x v="0"/>
    <x v="23"/>
    <s v="Business with Tech, Local Enhancement, Lifecycle Management, Business Only"/>
    <m/>
    <m/>
    <x v="23"/>
    <s v="3. Attribute Created"/>
    <m/>
    <s v="Required"/>
    <s v="&lt;New&gt;"/>
    <s v="This should be sourced from an existing field"/>
    <s v="0-Not Found"/>
    <x v="23"/>
    <s v="What business problem are you looking to solve?"/>
    <b v="0"/>
    <b v="1"/>
    <s v="Field"/>
    <m/>
    <s v="No"/>
    <m/>
    <s v="YES"/>
    <m/>
    <x v="0"/>
    <x v="0"/>
    <x v="0"/>
    <x v="0"/>
    <x v="0"/>
    <x v="0"/>
    <x v="0"/>
    <x v="0"/>
    <x v="0"/>
    <x v="0"/>
    <x v="0"/>
    <x v="0"/>
    <x v="0"/>
    <x v="0"/>
    <x v="0"/>
    <x v="0"/>
    <x v="0"/>
    <x v="0"/>
    <x v="0"/>
    <x v="0"/>
    <x v="0"/>
  </r>
  <r>
    <s v="L1 - Establish Request for Work"/>
    <x v="0"/>
    <x v="24"/>
    <s v="Business with Tech, Local Enhancement, Lifecycle Management, Business Only"/>
    <m/>
    <m/>
    <x v="24"/>
    <s v="3. Attribute Created"/>
    <m/>
    <s v="Required"/>
    <s v="&lt;New&gt;"/>
    <s v="This should be sourced from an existing field"/>
    <s v="0-Not Found"/>
    <x v="24"/>
    <s v="Why is this needed?"/>
    <b v="0"/>
    <b v="1"/>
    <s v="Field"/>
    <m/>
    <s v="No"/>
    <m/>
    <s v="YES"/>
    <m/>
    <x v="0"/>
    <x v="0"/>
    <x v="0"/>
    <x v="0"/>
    <x v="0"/>
    <x v="0"/>
    <x v="0"/>
    <x v="0"/>
    <x v="0"/>
    <x v="0"/>
    <x v="0"/>
    <x v="0"/>
    <x v="0"/>
    <x v="0"/>
    <x v="0"/>
    <x v="0"/>
    <x v="0"/>
    <x v="0"/>
    <x v="0"/>
    <x v="0"/>
    <x v="0"/>
  </r>
  <r>
    <s v="L1 - Establish Request for Work"/>
    <x v="0"/>
    <x v="25"/>
    <s v="Business with Tech, Local Enhancement, Lifecycle Management, Business Only"/>
    <m/>
    <m/>
    <x v="25"/>
    <s v="3. Attribute Created"/>
    <m/>
    <s v="Required"/>
    <s v="&lt;New&gt;"/>
    <s v="This should be sourced from an existing field"/>
    <s v="0-Not Found"/>
    <x v="25"/>
    <s v="What is the risk if not done?"/>
    <b v="0"/>
    <b v="1"/>
    <s v="Field"/>
    <m/>
    <s v="No"/>
    <m/>
    <s v="YES"/>
    <m/>
    <x v="0"/>
    <x v="0"/>
    <x v="0"/>
    <x v="0"/>
    <x v="0"/>
    <x v="0"/>
    <x v="0"/>
    <x v="0"/>
    <x v="0"/>
    <x v="0"/>
    <x v="0"/>
    <x v="0"/>
    <x v="0"/>
    <x v="0"/>
    <x v="0"/>
    <x v="0"/>
    <x v="0"/>
    <x v="0"/>
    <x v="0"/>
    <x v="0"/>
    <x v="0"/>
  </r>
  <r>
    <s v="L1 - Establish Request for Work"/>
    <x v="0"/>
    <x v="26"/>
    <s v="Business with Tech, Local Enhancement, Lifecycle Management, Business Only"/>
    <m/>
    <m/>
    <x v="26"/>
    <s v="3. Attribute Created"/>
    <m/>
    <s v="Required"/>
    <s v="fdx_ability_to"/>
    <m/>
    <s v="Ability To Statements"/>
    <x v="26"/>
    <s v="Business Ability To Statements"/>
    <b v="0"/>
    <b v="1"/>
    <s v="Field"/>
    <m/>
    <s v="No"/>
    <m/>
    <s v="YES"/>
    <m/>
    <x v="0"/>
    <x v="0"/>
    <x v="0"/>
    <x v="0"/>
    <x v="0"/>
    <x v="0"/>
    <x v="0"/>
    <x v="0"/>
    <x v="0"/>
    <x v="0"/>
    <x v="0"/>
    <x v="0"/>
    <x v="0"/>
    <x v="0"/>
    <x v="0"/>
    <x v="0"/>
    <x v="0"/>
    <x v="0"/>
    <x v="0"/>
    <x v="0"/>
    <x v="0"/>
  </r>
  <r>
    <s v="L1 - Establish Request for Work"/>
    <x v="0"/>
    <x v="27"/>
    <s v="Business with Tech, Local Enhancement, Lifecycle Management, Business Only"/>
    <m/>
    <m/>
    <x v="27"/>
    <s v="3. Attribute Created"/>
    <m/>
    <s v="Required"/>
    <s v="fdx_biz_out_req"/>
    <m/>
    <s v="Expected Business Outcome"/>
    <x v="27"/>
    <s v="Expected Business Outcome"/>
    <b v="1"/>
    <b v="1"/>
    <s v="Field"/>
    <m/>
    <s v="No"/>
    <m/>
    <s v="YES"/>
    <m/>
    <x v="0"/>
    <x v="0"/>
    <x v="0"/>
    <x v="0"/>
    <x v="0"/>
    <x v="0"/>
    <x v="0"/>
    <x v="0"/>
    <x v="0"/>
    <x v="0"/>
    <x v="0"/>
    <x v="0"/>
    <x v="0"/>
    <x v="0"/>
    <x v="0"/>
    <x v="0"/>
    <x v="0"/>
    <x v="0"/>
    <x v="0"/>
    <x v="0"/>
    <x v="0"/>
  </r>
  <r>
    <s v="L1 - Establish Request for Work"/>
    <x v="0"/>
    <x v="28"/>
    <s v="Business with Tech, Local Enhancement, Lifecycle Management, Business Only"/>
    <m/>
    <m/>
    <x v="28"/>
    <s v="3. Attribute Created"/>
    <m/>
    <s v="Required"/>
    <s v="Str62"/>
    <s v="As of 5/1, no value changes expected"/>
    <s v="T-Shirt Size"/>
    <x v="28"/>
    <s v="T-Shirt Size"/>
    <b v="1"/>
    <b v="1"/>
    <s v="Alt Structure"/>
    <s v="Single"/>
    <s v="Yes"/>
    <s v="1: XS_x000a_2: S_x000a_3: M_x000a_4: L_x000a_5: XL"/>
    <s v="YES"/>
    <m/>
    <x v="0"/>
    <x v="0"/>
    <x v="0"/>
    <x v="0"/>
    <x v="0"/>
    <x v="0"/>
    <x v="0"/>
    <x v="0"/>
    <x v="0"/>
    <x v="0"/>
    <x v="0"/>
    <x v="0"/>
    <x v="0"/>
    <x v="0"/>
    <x v="0"/>
    <x v="0"/>
    <x v="0"/>
    <x v="0"/>
    <x v="0"/>
    <x v="0"/>
    <x v="0"/>
  </r>
  <r>
    <m/>
    <x v="1"/>
    <x v="29"/>
    <m/>
    <m/>
    <m/>
    <x v="29"/>
    <s v="2. Feedback Needed"/>
    <s v="Padma, why did you delete this row when consolidating?_x000a_Cynthia - see comment about validation options"/>
    <m/>
    <s v="WR36"/>
    <m/>
    <s v="Estimated Annualized Value Range"/>
    <x v="29"/>
    <s v="Estimated Annualized Value Range"/>
    <b v="1"/>
    <b v="1"/>
    <s v="Alt Structure"/>
    <s v="Single"/>
    <s v="Yes"/>
    <s v="1: Unknown_x000a_2: Low = &lt; $1M_x000a_3: Medium = $1M &lt; Value &lt; $10M_x000a_4: High = &gt; $10M"/>
    <m/>
    <m/>
    <x v="0"/>
    <x v="0"/>
    <x v="0"/>
    <x v="0"/>
    <x v="0"/>
    <x v="0"/>
    <x v="0"/>
    <x v="0"/>
    <x v="0"/>
    <x v="0"/>
    <x v="0"/>
    <x v="0"/>
    <x v="0"/>
    <x v="0"/>
    <x v="0"/>
    <x v="0"/>
    <x v="0"/>
    <x v="0"/>
    <x v="0"/>
    <x v="0"/>
    <x v="0"/>
  </r>
  <r>
    <m/>
    <x v="1"/>
    <x v="30"/>
    <m/>
    <m/>
    <m/>
    <x v="30"/>
    <s v="2. Feedback Needed"/>
    <s v="Padma, why did you delete this row when consolidating?"/>
    <m/>
    <s v="fdx_calc_explan"/>
    <s v="MJW - I think we can pull from the field &quot;fdx_calc_explan&quot;"/>
    <s v="Key Assumptions made in Quantifying Impact"/>
    <x v="30"/>
    <s v="Explain how you arrived at the estimated value range above:"/>
    <b v="0"/>
    <b v="0"/>
    <s v="Field"/>
    <m/>
    <s v="No"/>
    <m/>
    <m/>
    <m/>
    <x v="0"/>
    <x v="0"/>
    <x v="0"/>
    <x v="0"/>
    <x v="0"/>
    <x v="0"/>
    <x v="0"/>
    <x v="0"/>
    <x v="0"/>
    <x v="0"/>
    <x v="0"/>
    <x v="0"/>
    <x v="0"/>
    <x v="0"/>
    <x v="0"/>
    <x v="0"/>
    <x v="0"/>
    <x v="0"/>
    <x v="0"/>
    <x v="0"/>
    <x v="0"/>
  </r>
  <r>
    <m/>
    <x v="1"/>
    <x v="31"/>
    <m/>
    <m/>
    <m/>
    <x v="31"/>
    <s v="2. Feedback Needed"/>
    <s v="Padma, why did you delete this row when consolidating?"/>
    <m/>
    <s v="STR119"/>
    <s v="As of 5/1, no value changes expected"/>
    <s v="Primary Type of Value"/>
    <x v="31"/>
    <s v="Primary Type of Value"/>
    <b v="1"/>
    <b v="1"/>
    <s v="Alt Structure"/>
    <s v="Single"/>
    <s v="Yes"/>
    <s v="Brand_x000a_Financial - Cost Avoidance_x000a_Financial - Cost Savings/Reductions_x000a_Customer Experience - Recipient Experience_x000a_Customer Experience - Visibility_x000a_Customer Experience - Problem Resolution_x000a_Customer Experience - Other_x000a_Innovation_x000a_Financial - Revenue Growth (Customer Acquisition)_x000a_Financial - Revenue Growth (Yield)_x000a_Financial - Revenue Protection_x000a_Safety/Legal_x000a_Service - Modernization_x000a_Service - Other_x000a_Sustainability_x000a_Talent and Culture_x000a_Tech Reliability_x000a_Tech Development Experience"/>
    <m/>
    <m/>
    <x v="0"/>
    <x v="0"/>
    <x v="0"/>
    <x v="0"/>
    <x v="0"/>
    <x v="0"/>
    <x v="0"/>
    <x v="0"/>
    <x v="0"/>
    <x v="0"/>
    <x v="0"/>
    <x v="0"/>
    <x v="0"/>
    <x v="0"/>
    <x v="0"/>
    <x v="0"/>
    <x v="0"/>
    <x v="0"/>
    <x v="0"/>
    <x v="0"/>
    <x v="0"/>
  </r>
  <r>
    <s v="L1 - Establish Request for Work"/>
    <x v="0"/>
    <x v="32"/>
    <s v="Business with Tech, Local Enhancement, Lifecycle Management, Business Only"/>
    <m/>
    <m/>
    <x v="32"/>
    <s v="2. Feedback Needed"/>
    <s v="The field name makes sense &quot;Primary Type of Value Impact&quot;, but the requirements have a lot more text. What's the verdict"/>
    <s v="Required"/>
    <s v="Str128"/>
    <s v="As of 5/1, no value changes expected"/>
    <s v="Primary Type of Value Impact"/>
    <x v="32"/>
    <s v="Primary Type of Value Impact"/>
    <b v="1"/>
    <b v="0"/>
    <s v="Alt Structure"/>
    <s v="Single"/>
    <s v="Yes"/>
    <s v="High_x000a_Medium_x000a_Low"/>
    <s v="YES"/>
    <m/>
    <x v="0"/>
    <x v="0"/>
    <x v="0"/>
    <x v="0"/>
    <x v="0"/>
    <x v="0"/>
    <x v="0"/>
    <x v="0"/>
    <x v="0"/>
    <x v="0"/>
    <x v="0"/>
    <x v="0"/>
    <x v="0"/>
    <x v="0"/>
    <x v="0"/>
    <x v="0"/>
    <x v="0"/>
    <x v="0"/>
    <x v="0"/>
    <x v="0"/>
    <x v="0"/>
  </r>
  <r>
    <s v="L1 - Establish Request for Work"/>
    <x v="0"/>
    <x v="33"/>
    <s v="Business with Tech, Local Enhancement, Lifecycle Management, Business Only"/>
    <m/>
    <m/>
    <x v="33"/>
    <s v="3. Attribute Created"/>
    <s v="MJW (5/1) - To Cynthia, why is &quot;Data &amp; AI&quot; no longer a portfolio?"/>
    <s v="Required"/>
    <s v="&lt;New&gt;"/>
    <s v="This should be sourced from an existing field. Maybe we can pull from the 1st instance of an Initiative's Epic's WR43 Home portfolio"/>
    <s v="0-Not Found"/>
    <x v="33"/>
    <s v="Primary Impacted Portfolio"/>
    <b v="0"/>
    <b v="1"/>
    <s v="Alt Structure"/>
    <s v="Single"/>
    <s v="Yes"/>
    <s v="Commercial_x000a_Enterprise Services_x000a_Platforms_x000a_Supply Chain Operations"/>
    <s v="YES"/>
    <m/>
    <x v="0"/>
    <x v="0"/>
    <x v="0"/>
    <x v="0"/>
    <x v="0"/>
    <x v="0"/>
    <x v="0"/>
    <x v="0"/>
    <x v="0"/>
    <x v="0"/>
    <x v="0"/>
    <x v="0"/>
    <x v="0"/>
    <x v="0"/>
    <x v="0"/>
    <x v="0"/>
    <x v="0"/>
    <x v="0"/>
    <x v="0"/>
    <x v="0"/>
    <x v="0"/>
  </r>
  <r>
    <s v="L1 - Establish Request for Work"/>
    <x v="0"/>
    <x v="34"/>
    <s v="Business with Tech, Local Enhancement, Lifecycle Management, Business Only"/>
    <m/>
    <m/>
    <x v="34"/>
    <s v="3. Attribute Created"/>
    <s v="MJW (5/1) - To Cynthia, why is &quot;Data &amp; AI&quot; no longer a portfolio?"/>
    <s v="Optional"/>
    <s v="Wbs60"/>
    <s v="Two things: Need a home for Data &amp; AI. Also, is it possible to migrate multi-selects from the API?"/>
    <s v="Impacted Portfolios"/>
    <x v="34"/>
    <s v="Other Impacted Portfolios"/>
    <b v="0"/>
    <b v="1"/>
    <s v="Alt Structure"/>
    <s v="Multi"/>
    <s v="Yes"/>
    <s v="Commercial_x000a_Enterprise Services_x000a_Platforms_x000a_Supply Chain Operations"/>
    <s v="YES"/>
    <m/>
    <x v="0"/>
    <x v="0"/>
    <x v="0"/>
    <x v="0"/>
    <x v="0"/>
    <x v="0"/>
    <x v="0"/>
    <x v="0"/>
    <x v="0"/>
    <x v="0"/>
    <x v="0"/>
    <x v="0"/>
    <x v="0"/>
    <x v="0"/>
    <x v="0"/>
    <x v="0"/>
    <x v="0"/>
    <x v="0"/>
    <x v="0"/>
    <x v="0"/>
    <x v="0"/>
  </r>
  <r>
    <s v="L1 - Establish Request for Work"/>
    <x v="0"/>
    <x v="35"/>
    <s v="Business with Tech, Local Enhancement, Lifecycle Management, Business Only"/>
    <m/>
    <m/>
    <x v="35"/>
    <s v="3. Attribute Created"/>
    <m/>
    <s v="Required"/>
    <s v="wr40"/>
    <s v="Added to source from wr40. Will need transformations to remove &quot;Domain&quot; and the ones associated with portfolios"/>
    <s v="Demand Domain or Portfolio"/>
    <x v="35"/>
    <s v="What Business Unit does this request support?"/>
    <b v="0"/>
    <b v="1"/>
    <s v="Alt Structure"/>
    <s v="Single"/>
    <s v="Yes"/>
    <s v="Airline_x000a_Americas International_x000a_APAC_x000a_Commercial_x000a_Data and Tech_x000a_Dock_x000a_Europe_x000a_Freight_x000a_Global Air Hubs &amp; Ramps_x000a_Global Capabilities Strategy_x000a_Global Clearance_x000a_Linehaul_x000a_MEISA_x000a_Network 2.0_x000a_None_x000a_P&amp;D_x000a_Revenue Growth_x000a_Robotics/Physical AI_x000a_Safety_x000a_Service_x000a_SG&amp;A_x000a_Surface Fleet and Support Equipment_x000a_Surface Operations_x000a_Tricolor"/>
    <s v="YES"/>
    <m/>
    <x v="0"/>
    <x v="0"/>
    <x v="0"/>
    <x v="0"/>
    <x v="0"/>
    <x v="0"/>
    <x v="0"/>
    <x v="0"/>
    <x v="0"/>
    <x v="0"/>
    <x v="0"/>
    <x v="0"/>
    <x v="0"/>
    <x v="0"/>
    <x v="0"/>
    <x v="0"/>
    <x v="0"/>
    <x v="0"/>
    <x v="0"/>
    <x v="0"/>
    <x v="0"/>
  </r>
  <r>
    <s v="L1 - Establish Request for Work"/>
    <x v="0"/>
    <x v="36"/>
    <s v="Business with Tech, Local Enhancement, Lifecycle Management, Business Only"/>
    <m/>
    <m/>
    <x v="36"/>
    <s v="2. Feedback Needed"/>
    <s v="5/1 (MJW) - The names don't match between requirement and configuration"/>
    <s v="Required"/>
    <s v="WR46"/>
    <m/>
    <s v="Submit for Triage"/>
    <x v="36"/>
    <s v="Submit for Triage"/>
    <b v="1"/>
    <b v="0"/>
    <s v="Alt Structure"/>
    <s v="Single"/>
    <s v="Yes"/>
    <s v="Yes"/>
    <s v="YES"/>
    <m/>
    <x v="0"/>
    <x v="0"/>
    <x v="0"/>
    <x v="0"/>
    <x v="0"/>
    <x v="0"/>
    <x v="0"/>
    <x v="0"/>
    <x v="0"/>
    <x v="0"/>
    <x v="0"/>
    <x v="0"/>
    <x v="0"/>
    <x v="0"/>
    <x v="0"/>
    <x v="0"/>
    <x v="0"/>
    <x v="0"/>
    <x v="0"/>
    <x v="0"/>
    <x v="0"/>
  </r>
  <r>
    <s v="L1 - Establish Request for Work"/>
    <x v="0"/>
    <x v="37"/>
    <s v="Business with Tech, Local Enhancement, Lifecycle Management, Business Only"/>
    <m/>
    <m/>
    <x v="37"/>
    <m/>
    <m/>
    <s v="Required"/>
    <s v="&lt;New&gt;"/>
    <m/>
    <s v="0-Not Found"/>
    <x v="37"/>
    <s v="Is this non-discretionary demand vital to business continuity?"/>
    <b v="0"/>
    <b v="1"/>
    <s v="Alt Structure"/>
    <s v="Single"/>
    <s v="Yes"/>
    <m/>
    <s v="YES"/>
    <m/>
    <x v="0"/>
    <x v="0"/>
    <x v="0"/>
    <x v="0"/>
    <x v="0"/>
    <x v="0"/>
    <x v="0"/>
    <x v="0"/>
    <x v="0"/>
    <x v="0"/>
    <x v="0"/>
    <x v="0"/>
    <x v="0"/>
    <x v="0"/>
    <x v="0"/>
    <x v="0"/>
    <x v="0"/>
    <x v="0"/>
    <x v="0"/>
    <x v="0"/>
    <x v="0"/>
  </r>
  <r>
    <s v="L1 - Establish Request for Work"/>
    <x v="0"/>
    <x v="38"/>
    <s v="Business with Tech, Local Enhancement, Lifecycle Management, Business Only"/>
    <m/>
    <m/>
    <x v="38"/>
    <m/>
    <m/>
    <s v="Required"/>
    <s v="&lt;New&gt;"/>
    <m/>
    <s v="0-Not Found"/>
    <x v="38"/>
    <s v="Business Case Requirements"/>
    <b v="0"/>
    <b v="0"/>
    <s v="Alt Structure"/>
    <s v="Single"/>
    <s v="Yes"/>
    <m/>
    <s v="YES"/>
    <m/>
    <x v="0"/>
    <x v="0"/>
    <x v="0"/>
    <x v="0"/>
    <x v="0"/>
    <x v="0"/>
    <x v="0"/>
    <x v="0"/>
    <x v="0"/>
    <x v="0"/>
    <x v="0"/>
    <x v="0"/>
    <x v="0"/>
    <x v="0"/>
    <x v="0"/>
    <x v="0"/>
    <x v="0"/>
    <x v="0"/>
    <x v="0"/>
    <x v="0"/>
    <x v="0"/>
  </r>
  <r>
    <s v="L1 - Establish Request for Work"/>
    <x v="0"/>
    <x v="39"/>
    <s v="Business with Tech, Local Enhancement, Lifecycle Management, Business Only"/>
    <m/>
    <m/>
    <x v="39"/>
    <m/>
    <m/>
    <s v="Required"/>
    <s v="&lt;New&gt;"/>
    <m/>
    <s v="0-Not Found"/>
    <x v="39"/>
    <s v="Level of Architecture"/>
    <b v="0"/>
    <b v="1"/>
    <s v="Alt Structure"/>
    <s v="Single"/>
    <s v="Yes"/>
    <m/>
    <s v="YES"/>
    <m/>
    <x v="0"/>
    <x v="0"/>
    <x v="0"/>
    <x v="0"/>
    <x v="0"/>
    <x v="0"/>
    <x v="0"/>
    <x v="0"/>
    <x v="0"/>
    <x v="0"/>
    <x v="0"/>
    <x v="0"/>
    <x v="0"/>
    <x v="0"/>
    <x v="0"/>
    <x v="0"/>
    <x v="0"/>
    <x v="0"/>
    <x v="0"/>
    <x v="0"/>
    <x v="0"/>
  </r>
  <r>
    <s v="L1 - Establish Request for Work"/>
    <x v="0"/>
    <x v="40"/>
    <s v="Business with Tech, Local Enhancement, Lifecycle Management, Business Only"/>
    <m/>
    <m/>
    <x v="40"/>
    <m/>
    <m/>
    <s v="Required"/>
    <s v="WR50"/>
    <m/>
    <s v="Impacts Value Prop or Risk to Customer Service?"/>
    <x v="40"/>
    <s v="Impacts Value Prop or Risk to Customer Service?"/>
    <b v="1"/>
    <b v="0"/>
    <s v="Alt Structure"/>
    <s v="Single"/>
    <s v="Yes"/>
    <m/>
    <s v="YES"/>
    <m/>
    <x v="0"/>
    <x v="0"/>
    <x v="0"/>
    <x v="0"/>
    <x v="0"/>
    <x v="0"/>
    <x v="0"/>
    <x v="0"/>
    <x v="0"/>
    <x v="0"/>
    <x v="0"/>
    <x v="0"/>
    <x v="0"/>
    <x v="0"/>
    <x v="0"/>
    <x v="0"/>
    <x v="0"/>
    <x v="0"/>
    <x v="0"/>
    <x v="0"/>
    <x v="0"/>
  </r>
  <r>
    <s v="L1 - Establish Request for Work"/>
    <x v="0"/>
    <x v="41"/>
    <s v="Business with Tech, Local Enhancement, Lifecycle Management, Business Only"/>
    <m/>
    <m/>
    <x v="41"/>
    <m/>
    <m/>
    <s v="Required"/>
    <s v="???"/>
    <s v="Why can't we use WBS86 from the source?"/>
    <s v="0-Not Found"/>
    <x v="41"/>
    <s v="Level of Governance"/>
    <b v="0"/>
    <b v="1"/>
    <s v="Alt Structure"/>
    <s v="Single"/>
    <s v="Yes"/>
    <m/>
    <s v="YES"/>
    <m/>
    <x v="0"/>
    <x v="0"/>
    <x v="0"/>
    <x v="0"/>
    <x v="0"/>
    <x v="0"/>
    <x v="0"/>
    <x v="0"/>
    <x v="0"/>
    <x v="0"/>
    <x v="0"/>
    <x v="0"/>
    <x v="0"/>
    <x v="0"/>
    <x v="0"/>
    <x v="0"/>
    <x v="0"/>
    <x v="0"/>
    <x v="0"/>
    <x v="0"/>
    <x v="0"/>
  </r>
  <r>
    <s v="L1 - Establish Request for Work"/>
    <x v="0"/>
    <x v="42"/>
    <s v="Business with Tech, Local Enhancement, Lifecycle Management, Business Only"/>
    <m/>
    <m/>
    <x v="42"/>
    <m/>
    <m/>
    <s v="Required"/>
    <s v="WR39"/>
    <m/>
    <s v="Ready for SL1?"/>
    <x v="42"/>
    <s v="Triage Decision"/>
    <b v="0"/>
    <b v="0"/>
    <s v="Alt Structure"/>
    <s v="Single"/>
    <s v="Yes"/>
    <m/>
    <s v="YES"/>
    <m/>
    <x v="0"/>
    <x v="0"/>
    <x v="0"/>
    <x v="0"/>
    <x v="0"/>
    <x v="0"/>
    <x v="0"/>
    <x v="0"/>
    <x v="0"/>
    <x v="0"/>
    <x v="0"/>
    <x v="0"/>
    <x v="0"/>
    <x v="0"/>
    <x v="0"/>
    <x v="0"/>
    <x v="0"/>
    <x v="0"/>
    <x v="0"/>
    <x v="0"/>
    <x v="0"/>
  </r>
  <r>
    <s v="L1 - Establish Request for Work"/>
    <x v="0"/>
    <x v="43"/>
    <s v="Business with Tech, Local Enhancement, Lifecycle Management, Business Only"/>
    <m/>
    <m/>
    <x v="43"/>
    <m/>
    <m/>
    <s v="Required"/>
    <s v="fdx_ready_sl1_req"/>
    <m/>
    <s v="Triage Comments"/>
    <x v="43"/>
    <s v="Triage Comments"/>
    <b v="1"/>
    <b v="1"/>
    <s v="Field"/>
    <m/>
    <s v="No"/>
    <m/>
    <s v="YES"/>
    <m/>
    <x v="0"/>
    <x v="0"/>
    <x v="0"/>
    <x v="0"/>
    <x v="0"/>
    <x v="0"/>
    <x v="0"/>
    <x v="0"/>
    <x v="0"/>
    <x v="0"/>
    <x v="0"/>
    <x v="0"/>
    <x v="0"/>
    <x v="0"/>
    <x v="0"/>
    <x v="0"/>
    <x v="0"/>
    <x v="0"/>
    <x v="0"/>
    <x v="0"/>
    <x v="0"/>
  </r>
  <r>
    <s v="L1 - Establish Request for Work"/>
    <x v="0"/>
    <x v="44"/>
    <s v="Business with Tech, Local Enhancement, Lifecycle Management, Business Only"/>
    <m/>
    <m/>
    <x v="44"/>
    <m/>
    <m/>
    <s v="Required"/>
    <s v="&lt;New&gt;"/>
    <m/>
    <s v="0-Not Found"/>
    <x v="7"/>
    <s v="0-Not Found"/>
    <b v="1"/>
    <b v="0"/>
    <s v="Lifecycle Role"/>
    <m/>
    <s v="No"/>
    <m/>
    <s v="YES"/>
    <m/>
    <x v="0"/>
    <x v="0"/>
    <x v="0"/>
    <x v="0"/>
    <x v="0"/>
    <x v="0"/>
    <x v="0"/>
    <x v="0"/>
    <x v="0"/>
    <x v="0"/>
    <x v="0"/>
    <x v="0"/>
    <x v="0"/>
    <x v="0"/>
    <x v="0"/>
    <x v="0"/>
    <x v="0"/>
    <x v="0"/>
    <x v="0"/>
    <x v="0"/>
    <x v="0"/>
  </r>
  <r>
    <s v="L1 - Establish Request for Work"/>
    <x v="0"/>
    <x v="45"/>
    <s v="Business with Tech, Local Enhancement, Lifecycle Management, Business Only"/>
    <m/>
    <m/>
    <x v="45"/>
    <m/>
    <m/>
    <s v="Required"/>
    <s v="&lt;New&gt;"/>
    <m/>
    <s v="0-Not Found"/>
    <x v="44"/>
    <s v="0-Not Found"/>
    <b v="1"/>
    <b v="0"/>
    <m/>
    <m/>
    <m/>
    <m/>
    <m/>
    <m/>
    <x v="0"/>
    <x v="0"/>
    <x v="0"/>
    <x v="0"/>
    <x v="0"/>
    <x v="0"/>
    <x v="0"/>
    <x v="0"/>
    <x v="0"/>
    <x v="0"/>
    <x v="0"/>
    <x v="0"/>
    <x v="0"/>
    <x v="0"/>
    <x v="0"/>
    <x v="0"/>
    <x v="0"/>
    <x v="0"/>
    <x v="0"/>
    <x v="0"/>
    <x v="0"/>
  </r>
  <r>
    <s v="L1 - Establish Request for Work"/>
    <x v="0"/>
    <x v="46"/>
    <s v="Business with Tech, Local Enhancement, Lifecycle Management, Business Only"/>
    <m/>
    <m/>
    <x v="46"/>
    <m/>
    <m/>
    <s v="Required"/>
    <s v="LC_ROLE96100_PLAN"/>
    <m/>
    <s v="PEO"/>
    <x v="45"/>
    <s v="0-Not Found"/>
    <b v="0"/>
    <b v="0"/>
    <m/>
    <m/>
    <m/>
    <m/>
    <m/>
    <m/>
    <x v="0"/>
    <x v="0"/>
    <x v="0"/>
    <x v="0"/>
    <x v="0"/>
    <x v="0"/>
    <x v="0"/>
    <x v="0"/>
    <x v="0"/>
    <x v="0"/>
    <x v="0"/>
    <x v="0"/>
    <x v="0"/>
    <x v="0"/>
    <x v="0"/>
    <x v="0"/>
    <x v="0"/>
    <x v="0"/>
    <x v="0"/>
    <x v="0"/>
    <x v="0"/>
  </r>
  <r>
    <s v="L1 - Establish Request for Work"/>
    <x v="0"/>
    <x v="47"/>
    <s v="Business with Tech, Local Enhancement, Lifecycle Management, Business Only"/>
    <m/>
    <m/>
    <x v="47"/>
    <m/>
    <m/>
    <s v="Required"/>
    <s v="&lt;New&gt;"/>
    <m/>
    <s v="0-Not Found"/>
    <x v="46"/>
    <s v="0-Not Found"/>
    <b v="1"/>
    <b v="0"/>
    <s v="Field"/>
    <s v="Single"/>
    <s v="Yes"/>
    <m/>
    <s v="YES"/>
    <m/>
    <x v="0"/>
    <x v="0"/>
    <x v="0"/>
    <x v="0"/>
    <x v="0"/>
    <x v="0"/>
    <x v="0"/>
    <x v="0"/>
    <x v="0"/>
    <x v="0"/>
    <x v="0"/>
    <x v="0"/>
    <x v="0"/>
    <x v="0"/>
    <x v="0"/>
    <x v="0"/>
    <x v="0"/>
    <x v="0"/>
    <x v="0"/>
    <x v="0"/>
    <x v="0"/>
  </r>
  <r>
    <s v="L1 - Establish Request for Work"/>
    <x v="0"/>
    <x v="48"/>
    <s v="Business with Tech, Local Enhancement, Lifecycle Management, Business Only"/>
    <m/>
    <m/>
    <x v="48"/>
    <m/>
    <m/>
    <s v="Required"/>
    <s v="&lt;New&gt;"/>
    <m/>
    <s v="0-Not Found"/>
    <x v="47"/>
    <s v="0-Not Found"/>
    <b v="1"/>
    <b v="0"/>
    <s v="Field"/>
    <s v="Single"/>
    <s v="Yes"/>
    <m/>
    <s v="YES"/>
    <m/>
    <x v="0"/>
    <x v="0"/>
    <x v="0"/>
    <x v="0"/>
    <x v="0"/>
    <x v="0"/>
    <x v="0"/>
    <x v="0"/>
    <x v="0"/>
    <x v="0"/>
    <x v="0"/>
    <x v="0"/>
    <x v="0"/>
    <x v="0"/>
    <x v="0"/>
    <x v="0"/>
    <x v="0"/>
    <x v="0"/>
    <x v="0"/>
    <x v="0"/>
    <x v="0"/>
  </r>
  <r>
    <s v="L1 - Establish Request for Work"/>
    <x v="0"/>
    <x v="49"/>
    <s v="Business with Tech, Local Enhancement, Lifecycle Management, Business Only"/>
    <m/>
    <m/>
    <x v="49"/>
    <m/>
    <m/>
    <s v="Required"/>
    <s v="&lt;New&gt;"/>
    <m/>
    <s v="0-Not Found"/>
    <x v="48"/>
    <s v="0-Not Found"/>
    <b v="1"/>
    <b v="0"/>
    <s v="Field"/>
    <s v="Single"/>
    <s v="Yes"/>
    <m/>
    <s v="YES"/>
    <m/>
    <x v="0"/>
    <x v="0"/>
    <x v="0"/>
    <x v="0"/>
    <x v="0"/>
    <x v="0"/>
    <x v="0"/>
    <x v="0"/>
    <x v="0"/>
    <x v="0"/>
    <x v="0"/>
    <x v="0"/>
    <x v="0"/>
    <x v="0"/>
    <x v="0"/>
    <x v="0"/>
    <x v="0"/>
    <x v="0"/>
    <x v="0"/>
    <x v="0"/>
    <x v="0"/>
  </r>
  <r>
    <s v="L1 - Establish Request for Work"/>
    <x v="0"/>
    <x v="50"/>
    <s v="Business with Tech, Local Enhancement, Lifecycle Management, Business Only"/>
    <m/>
    <m/>
    <x v="50"/>
    <m/>
    <m/>
    <s v="Required"/>
    <s v="&lt;New&gt;"/>
    <m/>
    <s v="0-Not Found"/>
    <x v="49"/>
    <s v="0-Not Found"/>
    <b v="1"/>
    <b v="0"/>
    <s v="Field"/>
    <s v="Single"/>
    <s v="Yes"/>
    <m/>
    <s v="YES"/>
    <m/>
    <x v="0"/>
    <x v="0"/>
    <x v="0"/>
    <x v="0"/>
    <x v="0"/>
    <x v="0"/>
    <x v="0"/>
    <x v="0"/>
    <x v="0"/>
    <x v="0"/>
    <x v="0"/>
    <x v="0"/>
    <x v="0"/>
    <x v="0"/>
    <x v="0"/>
    <x v="0"/>
    <x v="0"/>
    <x v="0"/>
    <x v="0"/>
    <x v="0"/>
    <x v="0"/>
  </r>
  <r>
    <m/>
    <x v="1"/>
    <x v="51"/>
    <m/>
    <m/>
    <m/>
    <x v="51"/>
    <m/>
    <m/>
    <m/>
    <m/>
    <s v="This feels out of place"/>
    <s v="0-Not Found"/>
    <x v="7"/>
    <s v="0-Not Found"/>
    <b v="1"/>
    <b v="0"/>
    <m/>
    <m/>
    <m/>
    <m/>
    <m/>
    <m/>
    <x v="0"/>
    <x v="0"/>
    <x v="0"/>
    <x v="0"/>
    <x v="0"/>
    <x v="0"/>
    <x v="0"/>
    <x v="0"/>
    <x v="0"/>
    <x v="0"/>
    <x v="0"/>
    <x v="0"/>
    <x v="0"/>
    <x v="0"/>
    <x v="0"/>
    <x v="0"/>
    <x v="0"/>
    <x v="0"/>
    <x v="0"/>
    <x v="0"/>
    <x v="0"/>
  </r>
  <r>
    <s v="L1 - Establish Request for Work"/>
    <x v="0"/>
    <x v="52"/>
    <s v="Business with Tech, Local Enhancement, Lifecycle Management, Business Only"/>
    <m/>
    <m/>
    <x v="52"/>
    <m/>
    <m/>
    <s v="Required"/>
    <s v="Str30"/>
    <s v="Is this really the right mapping? SL3 goes to L1 Request approved?"/>
    <s v="SL1: Approved for L1?"/>
    <x v="50"/>
    <s v="Request Approved?"/>
    <b v="0"/>
    <b v="1"/>
    <s v="Alt Structure"/>
    <s v="Single"/>
    <s v="Yes"/>
    <m/>
    <s v="YES"/>
    <m/>
    <x v="0"/>
    <x v="0"/>
    <x v="0"/>
    <x v="0"/>
    <x v="0"/>
    <x v="0"/>
    <x v="0"/>
    <x v="0"/>
    <x v="0"/>
    <x v="0"/>
    <x v="0"/>
    <x v="0"/>
    <x v="0"/>
    <x v="0"/>
    <x v="0"/>
    <x v="0"/>
    <x v="0"/>
    <x v="0"/>
    <x v="0"/>
    <x v="0"/>
    <x v="0"/>
  </r>
  <r>
    <s v="L1 - Establish Request for Work"/>
    <x v="0"/>
    <x v="53"/>
    <s v="Business with Tech, Local Enhancement, Lifecycle Management, Business Only"/>
    <m/>
    <m/>
    <x v="53"/>
    <m/>
    <m/>
    <s v="Required"/>
    <s v="fdx_sl1_notes"/>
    <s v="Why would the notes from SL1 go into L3?"/>
    <s v="Notes on SL1 Decision"/>
    <x v="51"/>
    <s v="Notes on Request Approval Decision"/>
    <b v="0"/>
    <b v="0"/>
    <s v="Field"/>
    <m/>
    <s v="No"/>
    <m/>
    <s v="YES"/>
    <m/>
    <x v="0"/>
    <x v="0"/>
    <x v="0"/>
    <x v="0"/>
    <x v="0"/>
    <x v="0"/>
    <x v="0"/>
    <x v="0"/>
    <x v="0"/>
    <x v="0"/>
    <x v="0"/>
    <x v="0"/>
    <x v="0"/>
    <x v="0"/>
    <x v="0"/>
    <x v="0"/>
    <x v="0"/>
    <x v="0"/>
    <x v="0"/>
    <x v="0"/>
    <x v="0"/>
  </r>
  <r>
    <s v="L1 - Establish Request for Work"/>
    <x v="0"/>
    <x v="54"/>
    <s v="Business with Tech, Local Enhancement, Lifecycle Management, Business Only"/>
    <m/>
    <m/>
    <x v="54"/>
    <m/>
    <m/>
    <s v="Required"/>
    <s v="&lt;New&gt;"/>
    <s v="Are there any fields we would source the data from?"/>
    <s v="0-Not Found"/>
    <x v="52"/>
    <s v="Flow Type"/>
    <b v="0"/>
    <b v="1"/>
    <s v="Alt Structure"/>
    <s v="Single"/>
    <s v="Yes"/>
    <m/>
    <s v="YES"/>
    <m/>
    <x v="0"/>
    <x v="0"/>
    <x v="0"/>
    <x v="0"/>
    <x v="0"/>
    <x v="0"/>
    <x v="0"/>
    <x v="0"/>
    <x v="0"/>
    <x v="0"/>
    <x v="0"/>
    <x v="0"/>
    <x v="0"/>
    <x v="0"/>
    <x v="0"/>
    <x v="0"/>
    <x v="0"/>
    <x v="0"/>
    <x v="0"/>
    <x v="0"/>
    <x v="0"/>
  </r>
  <r>
    <s v="L2-Design-Transformational Inv"/>
    <x v="2"/>
    <x v="55"/>
    <s v="Business with Tech, Local Enhancement, Lifecycle Management, Business Only"/>
    <m/>
    <s v="Demand Bundle"/>
    <x v="55"/>
    <m/>
    <m/>
    <s v="Required"/>
    <s v="Str109"/>
    <m/>
    <s v="Impacts Commercial Portfolio?"/>
    <x v="53"/>
    <s v="Impacts Commercial Portfolio?"/>
    <b v="1"/>
    <b v="1"/>
    <s v="Alt. Struct"/>
    <s v="Single"/>
    <s v="Yes"/>
    <m/>
    <m/>
    <m/>
    <x v="0"/>
    <x v="0"/>
    <x v="0"/>
    <x v="0"/>
    <x v="0"/>
    <x v="0"/>
    <x v="0"/>
    <x v="0"/>
    <x v="0"/>
    <x v="0"/>
    <x v="0"/>
    <x v="0"/>
    <x v="0"/>
    <x v="0"/>
    <x v="0"/>
    <x v="0"/>
    <x v="0"/>
    <x v="0"/>
    <x v="0"/>
    <x v="0"/>
    <x v="0"/>
  </r>
  <r>
    <s v="L2-Design-Transformational Inv"/>
    <x v="2"/>
    <x v="56"/>
    <s v="Business with Tech, Local Enhancement, Lifecycle Management, Business Only"/>
    <m/>
    <s v="Demand Bundle"/>
    <x v="56"/>
    <m/>
    <m/>
    <s v="Required"/>
    <s v="Str111"/>
    <m/>
    <s v="Impacts Enterprise Services Portfolio?"/>
    <x v="54"/>
    <s v="Impacts Enterprise Services Portfolio?"/>
    <b v="1"/>
    <b v="1"/>
    <s v="Alt. Struct"/>
    <s v="Single"/>
    <s v="Yes"/>
    <m/>
    <m/>
    <m/>
    <x v="0"/>
    <x v="0"/>
    <x v="0"/>
    <x v="0"/>
    <x v="0"/>
    <x v="0"/>
    <x v="0"/>
    <x v="0"/>
    <x v="0"/>
    <x v="0"/>
    <x v="0"/>
    <x v="0"/>
    <x v="0"/>
    <x v="0"/>
    <x v="0"/>
    <x v="0"/>
    <x v="0"/>
    <x v="0"/>
    <x v="0"/>
    <x v="0"/>
    <x v="0"/>
  </r>
  <r>
    <s v="L2-Design-Transformational Inv"/>
    <x v="2"/>
    <x v="57"/>
    <s v="Business with Tech, Local Enhancement, Lifecycle Management, Business Only"/>
    <m/>
    <s v="Demand Bundle"/>
    <x v="57"/>
    <m/>
    <m/>
    <s v="Required"/>
    <s v="Str110"/>
    <m/>
    <s v="Impacts Platform Portfolio?"/>
    <x v="55"/>
    <s v="Impacts Platforms Portfolio?"/>
    <b v="0"/>
    <b v="1"/>
    <s v="Alt. Struct"/>
    <s v="Single"/>
    <s v="Yes"/>
    <m/>
    <m/>
    <m/>
    <x v="0"/>
    <x v="0"/>
    <x v="0"/>
    <x v="0"/>
    <x v="0"/>
    <x v="0"/>
    <x v="0"/>
    <x v="0"/>
    <x v="0"/>
    <x v="0"/>
    <x v="0"/>
    <x v="0"/>
    <x v="0"/>
    <x v="0"/>
    <x v="0"/>
    <x v="0"/>
    <x v="0"/>
    <x v="0"/>
    <x v="0"/>
    <x v="0"/>
    <x v="0"/>
  </r>
  <r>
    <s v="L2-Design-Transformational Inv"/>
    <x v="2"/>
    <x v="58"/>
    <s v="Business with Tech, Local Enhancement, Lifecycle Management, Business Only"/>
    <m/>
    <s v="Demand Bundle"/>
    <x v="58"/>
    <m/>
    <m/>
    <s v="Required"/>
    <s v="Str113"/>
    <m/>
    <s v="Impacts Supply Chain Operations Portfolio?"/>
    <x v="56"/>
    <s v="Impacts Supply Chain Operations Portfolio?"/>
    <b v="1"/>
    <b v="1"/>
    <s v="Alt. Struct"/>
    <s v="Single"/>
    <s v="Yes"/>
    <m/>
    <m/>
    <m/>
    <x v="0"/>
    <x v="0"/>
    <x v="0"/>
    <x v="0"/>
    <x v="0"/>
    <x v="0"/>
    <x v="0"/>
    <x v="0"/>
    <x v="0"/>
    <x v="0"/>
    <x v="0"/>
    <x v="0"/>
    <x v="0"/>
    <x v="0"/>
    <x v="0"/>
    <x v="0"/>
    <x v="0"/>
    <x v="0"/>
    <x v="0"/>
    <x v="0"/>
    <x v="0"/>
  </r>
  <r>
    <s v="L2-Design-Transformational Inv"/>
    <x v="2"/>
    <x v="59"/>
    <s v="Business with Tech, Local Enhancement, Lifecycle Management, Business Only"/>
    <m/>
    <s v="Demand Bundle"/>
    <x v="28"/>
    <m/>
    <m/>
    <s v="Required"/>
    <s v="Str62"/>
    <m/>
    <s v="T-Shirt Size"/>
    <x v="28"/>
    <s v="T-Shirt Size"/>
    <b v="1"/>
    <b v="1"/>
    <s v="Alt. Struct"/>
    <s v="Single"/>
    <s v="Yes"/>
    <m/>
    <m/>
    <m/>
    <x v="0"/>
    <x v="0"/>
    <x v="0"/>
    <x v="0"/>
    <x v="0"/>
    <x v="0"/>
    <x v="0"/>
    <x v="0"/>
    <x v="0"/>
    <x v="0"/>
    <x v="0"/>
    <x v="0"/>
    <x v="0"/>
    <x v="0"/>
    <x v="0"/>
    <x v="0"/>
    <x v="0"/>
    <x v="0"/>
    <x v="0"/>
    <x v="0"/>
    <x v="0"/>
  </r>
  <r>
    <s v="L2-Design-Transformational Inv"/>
    <x v="2"/>
    <x v="60"/>
    <s v="Business with Tech, Local Enhancement, Lifecycle Management, Business Only"/>
    <m/>
    <s v="Demand Bundle"/>
    <x v="59"/>
    <m/>
    <m/>
    <s v="Required"/>
    <s v="Str36"/>
    <m/>
    <s v="0-Not Found"/>
    <x v="57"/>
    <s v="Business Complexity Estimate"/>
    <b v="0"/>
    <b v="1"/>
    <s v="Alt. Struct"/>
    <s v="Single"/>
    <s v="Yes"/>
    <m/>
    <m/>
    <m/>
    <x v="0"/>
    <x v="0"/>
    <x v="0"/>
    <x v="0"/>
    <x v="0"/>
    <x v="0"/>
    <x v="0"/>
    <x v="0"/>
    <x v="0"/>
    <x v="0"/>
    <x v="0"/>
    <x v="0"/>
    <x v="0"/>
    <x v="0"/>
    <x v="0"/>
    <x v="0"/>
    <x v="0"/>
    <x v="0"/>
    <x v="0"/>
    <x v="0"/>
    <x v="0"/>
  </r>
  <r>
    <s v="L2-Design-Transformational Inv"/>
    <x v="2"/>
    <x v="61"/>
    <s v="Business with Tech, Local Enhancement, Lifecycle Management, Business Only"/>
    <m/>
    <s v="Demand Bundle"/>
    <x v="60"/>
    <m/>
    <m/>
    <s v="Required"/>
    <s v="fdx_assump_work"/>
    <m/>
    <s v="Key Assumptions Made in Quantifying Impact"/>
    <x v="58"/>
    <s v="Key Assumptions Made in Quantifying Impact"/>
    <b v="1"/>
    <b v="1"/>
    <s v="Field"/>
    <s v="n/a"/>
    <s v="No"/>
    <m/>
    <m/>
    <m/>
    <x v="0"/>
    <x v="0"/>
    <x v="0"/>
    <x v="0"/>
    <x v="0"/>
    <x v="0"/>
    <x v="0"/>
    <x v="0"/>
    <x v="0"/>
    <x v="0"/>
    <x v="0"/>
    <x v="0"/>
    <x v="0"/>
    <x v="0"/>
    <x v="0"/>
    <x v="0"/>
    <x v="0"/>
    <x v="0"/>
    <x v="0"/>
    <x v="0"/>
    <x v="0"/>
  </r>
  <r>
    <s v="L2-Design-Transformational Inv"/>
    <x v="2"/>
    <x v="62"/>
    <s v="Business with Tech, Local Enhancement, Lifecycle Management, Business Only"/>
    <m/>
    <s v="Demand Bundle"/>
    <x v="61"/>
    <m/>
    <m/>
    <s v="Required"/>
    <s v="Str33"/>
    <m/>
    <s v="0-Not Found"/>
    <x v="59"/>
    <s v="Baseline Fiscal Year of Work Bundle"/>
    <b v="0"/>
    <b v="1"/>
    <s v="Alt. Struct"/>
    <s v="Single"/>
    <s v="Yes"/>
    <m/>
    <m/>
    <m/>
    <x v="0"/>
    <x v="0"/>
    <x v="0"/>
    <x v="0"/>
    <x v="0"/>
    <x v="0"/>
    <x v="0"/>
    <x v="0"/>
    <x v="0"/>
    <x v="0"/>
    <x v="0"/>
    <x v="0"/>
    <x v="0"/>
    <x v="0"/>
    <x v="0"/>
    <x v="0"/>
    <x v="0"/>
    <x v="0"/>
    <x v="0"/>
    <x v="0"/>
    <x v="0"/>
  </r>
  <r>
    <s v="L2-Design-Transformational Inv"/>
    <x v="2"/>
    <x v="63"/>
    <s v="Business with Tech, Local Enhancement, Lifecycle Management, Business Only"/>
    <m/>
    <s v="Demand Bundle"/>
    <x v="62"/>
    <m/>
    <m/>
    <s v="Required"/>
    <s v="&lt;New&gt;"/>
    <s v="Are there any fields we would source the data from? Also how can it be both calculated and not caclulated. Make a new column if you want, but don't consolidate two things to one"/>
    <s v="0-Not Found"/>
    <x v="60"/>
    <s v="Net Recurring Benefits CY '27 -P&amp;L/Hard"/>
    <b v="0"/>
    <b v="1"/>
    <s v="Calculated Field today but will have to provide another version of a separate non calculated field in new design"/>
    <s v="n/a"/>
    <s v="No"/>
    <m/>
    <m/>
    <m/>
    <x v="0"/>
    <x v="0"/>
    <x v="0"/>
    <x v="0"/>
    <x v="0"/>
    <x v="0"/>
    <x v="0"/>
    <x v="0"/>
    <x v="0"/>
    <x v="0"/>
    <x v="0"/>
    <x v="0"/>
    <x v="0"/>
    <x v="0"/>
    <x v="0"/>
    <x v="0"/>
    <x v="0"/>
    <x v="0"/>
    <x v="0"/>
    <x v="0"/>
    <x v="0"/>
  </r>
  <r>
    <s v="L2-Design-Transformational Inv"/>
    <x v="2"/>
    <x v="64"/>
    <s v="Business with Tech, Local Enhancement, Lifecycle Management, Business Only"/>
    <m/>
    <s v="Demand Bundle"/>
    <x v="63"/>
    <m/>
    <m/>
    <s v="Required"/>
    <s v="&lt;New&gt;"/>
    <s v="Are there any fields we would source the data from? Also how can it be both calculated and not caclulated. Make a new column if you want, but don't consolidate two things to one"/>
    <s v="0-Not Found"/>
    <x v="61"/>
    <s v="Net Recurring Benefits CY '28 -P&amp;L/Hard"/>
    <b v="0"/>
    <b v="1"/>
    <s v="Calculated Field today but will have to provide another version of a separate non calculated field in new design"/>
    <s v="n/a"/>
    <s v="No"/>
    <m/>
    <m/>
    <m/>
    <x v="0"/>
    <x v="0"/>
    <x v="0"/>
    <x v="0"/>
    <x v="0"/>
    <x v="0"/>
    <x v="0"/>
    <x v="0"/>
    <x v="0"/>
    <x v="0"/>
    <x v="0"/>
    <x v="0"/>
    <x v="0"/>
    <x v="0"/>
    <x v="0"/>
    <x v="0"/>
    <x v="0"/>
    <x v="0"/>
    <x v="0"/>
    <x v="0"/>
    <x v="0"/>
  </r>
  <r>
    <s v="L2-Design-Transformational Inv"/>
    <x v="2"/>
    <x v="65"/>
    <s v="Business with Tech, Local Enhancement, Lifecycle Management, Business Only"/>
    <m/>
    <s v="Demand Bundle"/>
    <x v="64"/>
    <m/>
    <m/>
    <s v="Required"/>
    <s v="&lt;New&gt;"/>
    <s v="Are there any fields we would source the data from? Also how can it be both calculated and not caclulated. Make a new column if you want, but don't consolidate two things to one"/>
    <s v="0-Not Found"/>
    <x v="62"/>
    <s v="Net Recurring Benefits CY '29 -P&amp;L/Hard"/>
    <b v="0"/>
    <b v="1"/>
    <s v="Calculated Field today but will have to provide another version of a separate non calculated field in new design"/>
    <s v="n/a"/>
    <s v="No"/>
    <m/>
    <m/>
    <m/>
    <x v="0"/>
    <x v="0"/>
    <x v="0"/>
    <x v="0"/>
    <x v="0"/>
    <x v="0"/>
    <x v="0"/>
    <x v="0"/>
    <x v="0"/>
    <x v="0"/>
    <x v="0"/>
    <x v="0"/>
    <x v="0"/>
    <x v="0"/>
    <x v="0"/>
    <x v="0"/>
    <x v="0"/>
    <x v="0"/>
    <x v="0"/>
    <x v="0"/>
    <x v="0"/>
  </r>
  <r>
    <s v="L2-Design-Transformational Inv"/>
    <x v="2"/>
    <x v="66"/>
    <s v="Business with Tech, Local Enhancement, Lifecycle Management, Business Only"/>
    <m/>
    <s v="Demand Bundle"/>
    <x v="65"/>
    <m/>
    <m/>
    <s v="Required"/>
    <m/>
    <s v="Are there any fields we would source the data from? Also how can it be both calculated and not caclulated. Make a new column if you want, but don't consolidate two things to one"/>
    <s v="0-Not Found"/>
    <x v="63"/>
    <s v="Net Recurring Benefits TY '26 -P&amp;L/Hard"/>
    <b v="0"/>
    <b v="1"/>
    <s v="Field"/>
    <s v="n/a"/>
    <s v="No"/>
    <m/>
    <m/>
    <m/>
    <x v="0"/>
    <x v="0"/>
    <x v="0"/>
    <x v="0"/>
    <x v="0"/>
    <x v="0"/>
    <x v="0"/>
    <x v="0"/>
    <x v="0"/>
    <x v="0"/>
    <x v="0"/>
    <x v="0"/>
    <x v="0"/>
    <x v="0"/>
    <x v="0"/>
    <x v="0"/>
    <x v="0"/>
    <x v="0"/>
    <x v="0"/>
    <x v="0"/>
    <x v="0"/>
  </r>
  <r>
    <s v="L2-Design-Transformational Inv"/>
    <x v="2"/>
    <x v="67"/>
    <s v="Business with Tech, Local Enhancement, Lifecycle Management, Business Only"/>
    <m/>
    <s v="Demand Bundle"/>
    <x v="66"/>
    <m/>
    <m/>
    <s v="Required"/>
    <s v="fdx_l1_nrb_soft"/>
    <m/>
    <s v="L1 Net Recurring Benefits ($, annualized)-Soft"/>
    <x v="64"/>
    <s v="Net Recurring Benefits -Soft"/>
    <b v="0"/>
    <b v="1"/>
    <s v="Field"/>
    <s v="n/a"/>
    <s v="No"/>
    <m/>
    <m/>
    <m/>
    <x v="0"/>
    <x v="0"/>
    <x v="0"/>
    <x v="0"/>
    <x v="0"/>
    <x v="0"/>
    <x v="0"/>
    <x v="0"/>
    <x v="0"/>
    <x v="0"/>
    <x v="0"/>
    <x v="0"/>
    <x v="0"/>
    <x v="0"/>
    <x v="0"/>
    <x v="0"/>
    <x v="0"/>
    <x v="0"/>
    <x v="0"/>
    <x v="0"/>
    <x v="0"/>
  </r>
  <r>
    <s v="L2-Design-Transformational Inv"/>
    <x v="2"/>
    <x v="68"/>
    <s v="Business with Tech, Local Enhancement, Lifecycle Management, Business Only"/>
    <m/>
    <s v="Demand Bundle"/>
    <x v="67"/>
    <m/>
    <m/>
    <s v="Required"/>
    <m/>
    <m/>
    <s v="0-Not Found"/>
    <x v="65"/>
    <s v="Net Recurring Benefits -Total"/>
    <b v="0"/>
    <b v="1"/>
    <s v="Field"/>
    <s v="n/a"/>
    <s v="No"/>
    <m/>
    <m/>
    <m/>
    <x v="0"/>
    <x v="0"/>
    <x v="0"/>
    <x v="0"/>
    <x v="0"/>
    <x v="0"/>
    <x v="0"/>
    <x v="0"/>
    <x v="0"/>
    <x v="0"/>
    <x v="0"/>
    <x v="0"/>
    <x v="0"/>
    <x v="0"/>
    <x v="0"/>
    <x v="0"/>
    <x v="0"/>
    <x v="0"/>
    <x v="0"/>
    <x v="0"/>
    <x v="0"/>
  </r>
  <r>
    <s v="L2-Design-Transformational Inv"/>
    <x v="2"/>
    <x v="69"/>
    <s v="Business with Tech, Local Enhancement, Lifecycle Management, Business Only"/>
    <m/>
    <s v="Demand Bundle"/>
    <x v="68"/>
    <m/>
    <m/>
    <s v="Required"/>
    <s v="fdx_l1_otb_total"/>
    <m/>
    <s v="L1 One-time Benefit ($)"/>
    <x v="66"/>
    <s v="One-time Benefit ($)"/>
    <b v="0"/>
    <b v="1"/>
    <s v="Field"/>
    <s v="n/a"/>
    <s v="No"/>
    <m/>
    <m/>
    <m/>
    <x v="0"/>
    <x v="0"/>
    <x v="0"/>
    <x v="0"/>
    <x v="0"/>
    <x v="0"/>
    <x v="0"/>
    <x v="0"/>
    <x v="0"/>
    <x v="0"/>
    <x v="0"/>
    <x v="0"/>
    <x v="0"/>
    <x v="0"/>
    <x v="0"/>
    <x v="0"/>
    <x v="0"/>
    <x v="0"/>
    <x v="0"/>
    <x v="0"/>
    <x v="0"/>
  </r>
  <r>
    <s v="L2-Design-Transformational Inv"/>
    <x v="2"/>
    <x v="70"/>
    <s v="Business with Tech, Local Enhancement, Lifecycle Management, Business Only"/>
    <m/>
    <s v="Demand Bundle"/>
    <x v="69"/>
    <m/>
    <m/>
    <s v="Required"/>
    <s v="Str134"/>
    <m/>
    <s v="0-Not Found"/>
    <x v="67"/>
    <s v="Enterprise KPIs"/>
    <b v="0"/>
    <b v="1"/>
    <s v="Alt. Struct"/>
    <s v="Multi"/>
    <s v="Yes"/>
    <m/>
    <m/>
    <m/>
    <x v="0"/>
    <x v="0"/>
    <x v="0"/>
    <x v="0"/>
    <x v="0"/>
    <x v="0"/>
    <x v="0"/>
    <x v="0"/>
    <x v="0"/>
    <x v="0"/>
    <x v="0"/>
    <x v="0"/>
    <x v="0"/>
    <x v="0"/>
    <x v="0"/>
    <x v="0"/>
    <x v="0"/>
    <x v="0"/>
    <x v="0"/>
    <x v="0"/>
    <x v="0"/>
  </r>
  <r>
    <s v="L2-Design-Transformational Inv"/>
    <x v="2"/>
    <x v="71"/>
    <s v="Business with Tech, Local Enhancement, Lifecycle Management, Business Only"/>
    <m/>
    <s v="Demand Bundle"/>
    <x v="31"/>
    <m/>
    <m/>
    <s v="Required"/>
    <s v="Str119"/>
    <m/>
    <s v="Primary Type of Value"/>
    <x v="31"/>
    <s v="Primary Type of Value"/>
    <b v="1"/>
    <b v="1"/>
    <s v="Alt. Struct"/>
    <s v="Single"/>
    <s v="Yes"/>
    <m/>
    <m/>
    <m/>
    <x v="0"/>
    <x v="0"/>
    <x v="0"/>
    <x v="0"/>
    <x v="0"/>
    <x v="0"/>
    <x v="0"/>
    <x v="0"/>
    <x v="0"/>
    <x v="0"/>
    <x v="0"/>
    <x v="0"/>
    <x v="0"/>
    <x v="0"/>
    <x v="0"/>
    <x v="0"/>
    <x v="0"/>
    <x v="0"/>
    <x v="0"/>
    <x v="0"/>
    <x v="0"/>
  </r>
  <r>
    <s v="L2-Design-Transformational Inv"/>
    <x v="2"/>
    <x v="72"/>
    <s v="Business with Tech, Local Enhancement, Lifecycle Management, Business Only"/>
    <m/>
    <s v="Demand Bundle"/>
    <x v="70"/>
    <m/>
    <m/>
    <s v="Required"/>
    <s v="Str128"/>
    <m/>
    <s v="Primary Type of Value Impact"/>
    <x v="32"/>
    <s v="Primary Type of Value Impact"/>
    <b v="1"/>
    <b v="1"/>
    <s v="Alt. Struct"/>
    <s v="Single"/>
    <s v="Yes"/>
    <m/>
    <m/>
    <m/>
    <x v="0"/>
    <x v="0"/>
    <x v="0"/>
    <x v="0"/>
    <x v="0"/>
    <x v="0"/>
    <x v="0"/>
    <x v="0"/>
    <x v="0"/>
    <x v="0"/>
    <x v="0"/>
    <x v="0"/>
    <x v="0"/>
    <x v="0"/>
    <x v="0"/>
    <x v="0"/>
    <x v="0"/>
    <x v="0"/>
    <x v="0"/>
    <x v="0"/>
    <x v="0"/>
  </r>
  <r>
    <s v="L2-Design-Transformational Inv"/>
    <x v="2"/>
    <x v="73"/>
    <s v="Business with Tech, Local Enhancement, Lifecycle Management, Business Only"/>
    <m/>
    <s v="Demand Bundle"/>
    <x v="71"/>
    <m/>
    <m/>
    <s v="Required"/>
    <m/>
    <m/>
    <s v="0-Not Found"/>
    <x v="68"/>
    <s v="Does this Work impact Customer Experience?"/>
    <b v="0"/>
    <b v="1"/>
    <s v="Alt. Struct"/>
    <s v="Single"/>
    <s v="Yes"/>
    <m/>
    <m/>
    <m/>
    <x v="0"/>
    <x v="0"/>
    <x v="0"/>
    <x v="0"/>
    <x v="0"/>
    <x v="0"/>
    <x v="0"/>
    <x v="0"/>
    <x v="0"/>
    <x v="0"/>
    <x v="0"/>
    <x v="0"/>
    <x v="0"/>
    <x v="0"/>
    <x v="0"/>
    <x v="0"/>
    <x v="0"/>
    <x v="0"/>
    <x v="0"/>
    <x v="0"/>
    <x v="0"/>
  </r>
  <r>
    <s v="L2-Design-Transformational Inv"/>
    <x v="2"/>
    <x v="74"/>
    <s v="Business with Tech, Local Enhancement, Lifecycle Management, Business Only"/>
    <m/>
    <s v="Demand Bundle"/>
    <x v="72"/>
    <m/>
    <m/>
    <s v="Required"/>
    <m/>
    <m/>
    <s v="0-Not Found"/>
    <x v="69"/>
    <s v="If yes, indicate level of Customer Experience impact"/>
    <b v="0"/>
    <b v="1"/>
    <s v="Alt. Struct"/>
    <s v="Single"/>
    <s v="Yes"/>
    <m/>
    <m/>
    <m/>
    <x v="0"/>
    <x v="0"/>
    <x v="0"/>
    <x v="0"/>
    <x v="0"/>
    <x v="0"/>
    <x v="0"/>
    <x v="0"/>
    <x v="0"/>
    <x v="0"/>
    <x v="0"/>
    <x v="0"/>
    <x v="0"/>
    <x v="0"/>
    <x v="0"/>
    <x v="0"/>
    <x v="0"/>
    <x v="0"/>
    <x v="0"/>
    <x v="0"/>
    <x v="0"/>
  </r>
  <r>
    <s v="L2-Design-Transformational Inv"/>
    <x v="2"/>
    <x v="75"/>
    <s v="Business with Tech, Local Enhancement, Lifecycle Management, Business Only"/>
    <m/>
    <s v="Demand Bundle"/>
    <x v="73"/>
    <m/>
    <m/>
    <s v="Required"/>
    <m/>
    <m/>
    <s v="0-Not Found"/>
    <x v="70"/>
    <s v="Does this Work impact Service?"/>
    <b v="0"/>
    <b v="1"/>
    <s v="Alt. Struct"/>
    <s v="Single"/>
    <s v="Yes"/>
    <m/>
    <m/>
    <m/>
    <x v="0"/>
    <x v="0"/>
    <x v="0"/>
    <x v="0"/>
    <x v="0"/>
    <x v="0"/>
    <x v="0"/>
    <x v="0"/>
    <x v="0"/>
    <x v="0"/>
    <x v="0"/>
    <x v="0"/>
    <x v="0"/>
    <x v="0"/>
    <x v="0"/>
    <x v="0"/>
    <x v="0"/>
    <x v="0"/>
    <x v="0"/>
    <x v="0"/>
    <x v="0"/>
  </r>
  <r>
    <s v="L2-Design-Transformational Inv"/>
    <x v="2"/>
    <x v="76"/>
    <s v="Business with Tech, Local Enhancement, Lifecycle Management, Business Only"/>
    <m/>
    <s v="Demand Bundle"/>
    <x v="74"/>
    <m/>
    <m/>
    <s v="Required"/>
    <m/>
    <m/>
    <s v="0-Not Found"/>
    <x v="71"/>
    <s v="If yes, indicate level of Service impact"/>
    <b v="0"/>
    <b v="1"/>
    <s v="Alt. Struct"/>
    <s v="Single"/>
    <s v="Yes"/>
    <m/>
    <m/>
    <m/>
    <x v="0"/>
    <x v="0"/>
    <x v="0"/>
    <x v="0"/>
    <x v="0"/>
    <x v="0"/>
    <x v="0"/>
    <x v="0"/>
    <x v="0"/>
    <x v="0"/>
    <x v="0"/>
    <x v="0"/>
    <x v="0"/>
    <x v="0"/>
    <x v="0"/>
    <x v="0"/>
    <x v="0"/>
    <x v="0"/>
    <x v="0"/>
    <x v="0"/>
    <x v="0"/>
  </r>
  <r>
    <s v="L2-Design-Transformational Inv"/>
    <x v="2"/>
    <x v="77"/>
    <s v="Business with Tech, Local Enhancement, Lifecycle Management, Business Only"/>
    <m/>
    <s v="Demand Bundle"/>
    <x v="75"/>
    <m/>
    <m/>
    <s v="Required"/>
    <m/>
    <m/>
    <s v="0-Not Found"/>
    <x v="72"/>
    <s v="SL3 EPG Approval"/>
    <b v="0"/>
    <b v="1"/>
    <s v="Alt. Struct"/>
    <s v="Single"/>
    <s v="Yes"/>
    <m/>
    <m/>
    <m/>
    <x v="0"/>
    <x v="0"/>
    <x v="0"/>
    <x v="0"/>
    <x v="0"/>
    <x v="0"/>
    <x v="0"/>
    <x v="0"/>
    <x v="0"/>
    <x v="0"/>
    <x v="0"/>
    <x v="0"/>
    <x v="0"/>
    <x v="0"/>
    <x v="0"/>
    <x v="0"/>
    <x v="0"/>
    <x v="0"/>
    <x v="0"/>
    <x v="0"/>
    <x v="0"/>
  </r>
  <r>
    <s v="L2-Design-Transformational Inv"/>
    <x v="2"/>
    <x v="78"/>
    <s v="Business with Tech, Local Enhancement, Lifecycle Management, Business Only"/>
    <m/>
    <s v="Demand Bundle"/>
    <x v="76"/>
    <m/>
    <m/>
    <s v="Required"/>
    <m/>
    <m/>
    <s v="0-Not Found"/>
    <x v="73"/>
    <s v="SL3 EPG Approval Notes"/>
    <b v="0"/>
    <b v="1"/>
    <s v="Field"/>
    <s v="n/a"/>
    <s v="No"/>
    <m/>
    <m/>
    <m/>
    <x v="0"/>
    <x v="0"/>
    <x v="0"/>
    <x v="0"/>
    <x v="0"/>
    <x v="0"/>
    <x v="0"/>
    <x v="0"/>
    <x v="0"/>
    <x v="0"/>
    <x v="0"/>
    <x v="0"/>
    <x v="0"/>
    <x v="0"/>
    <x v="0"/>
    <x v="0"/>
    <x v="0"/>
    <x v="0"/>
    <x v="0"/>
    <x v="0"/>
    <x v="0"/>
  </r>
  <r>
    <s v="L2-Design-Transformational Inv"/>
    <x v="2"/>
    <x v="79"/>
    <s v="Business with Tech, Local Enhancement, Lifecycle Management, Business Only"/>
    <m/>
    <s v="Demand Bundle"/>
    <x v="77"/>
    <m/>
    <m/>
    <s v="Required"/>
    <m/>
    <m/>
    <s v="0-Not Found"/>
    <x v="74"/>
    <s v="SL3 Business Finance Approval"/>
    <b v="0"/>
    <b v="1"/>
    <s v="Alt. Struct"/>
    <s v="Single"/>
    <s v="Yes"/>
    <m/>
    <m/>
    <m/>
    <x v="0"/>
    <x v="0"/>
    <x v="0"/>
    <x v="0"/>
    <x v="0"/>
    <x v="0"/>
    <x v="0"/>
    <x v="0"/>
    <x v="0"/>
    <x v="0"/>
    <x v="0"/>
    <x v="0"/>
    <x v="0"/>
    <x v="0"/>
    <x v="0"/>
    <x v="0"/>
    <x v="0"/>
    <x v="0"/>
    <x v="0"/>
    <x v="0"/>
    <x v="0"/>
  </r>
  <r>
    <s v="L2-Design-Transformational Inv"/>
    <x v="2"/>
    <x v="80"/>
    <s v="Business with Tech, Local Enhancement, Lifecycle Management, Business Only"/>
    <m/>
    <s v="Demand Bundle"/>
    <x v="78"/>
    <m/>
    <m/>
    <s v="Required"/>
    <m/>
    <m/>
    <s v="0-Not Found"/>
    <x v="75"/>
    <s v="SL3 Business Finance Approval Notes"/>
    <b v="0"/>
    <b v="1"/>
    <s v="Field"/>
    <s v="n/a"/>
    <s v="No"/>
    <m/>
    <m/>
    <m/>
    <x v="0"/>
    <x v="0"/>
    <x v="0"/>
    <x v="0"/>
    <x v="0"/>
    <x v="0"/>
    <x v="0"/>
    <x v="0"/>
    <x v="0"/>
    <x v="0"/>
    <x v="0"/>
    <x v="0"/>
    <x v="0"/>
    <x v="0"/>
    <x v="0"/>
    <x v="0"/>
    <x v="0"/>
    <x v="0"/>
    <x v="0"/>
    <x v="0"/>
    <x v="0"/>
  </r>
  <r>
    <s v="L3 - Execute"/>
    <x v="3"/>
    <x v="81"/>
    <s v="Business with Tech, Local Enhancement, Lifecycle Management, Business Only"/>
    <m/>
    <s v="Epic"/>
    <x v="79"/>
    <m/>
    <m/>
    <s v="Required"/>
    <s v="WR43"/>
    <m/>
    <s v="Home Portfolio"/>
    <x v="76"/>
    <s v="Home Portfolio"/>
    <b v="1"/>
    <b v="1"/>
    <s v="Alt Structure"/>
    <s v="Single"/>
    <s v="Yes"/>
    <m/>
    <m/>
    <m/>
    <x v="0"/>
    <x v="0"/>
    <x v="0"/>
    <x v="0"/>
    <x v="0"/>
    <x v="0"/>
    <x v="0"/>
    <x v="0"/>
    <x v="0"/>
    <x v="0"/>
    <x v="0"/>
    <x v="0"/>
    <x v="0"/>
    <x v="0"/>
    <x v="0"/>
    <x v="0"/>
    <x v="0"/>
    <x v="0"/>
    <x v="0"/>
    <x v="0"/>
    <x v="0"/>
  </r>
  <r>
    <s v="L3 - Execute"/>
    <x v="3"/>
    <x v="82"/>
    <s v="Business with Tech, Local Enhancement, Lifecycle Management, Business Only"/>
    <m/>
    <s v="Epic"/>
    <x v="55"/>
    <m/>
    <m/>
    <s v="Required"/>
    <s v="Str109"/>
    <m/>
    <s v="Impacts Commercial Portfolio?"/>
    <x v="53"/>
    <s v="Impacts Commercial Portfolio?"/>
    <b v="1"/>
    <b v="1"/>
    <s v="Alt Structure"/>
    <s v="Single"/>
    <s v="Yes"/>
    <m/>
    <m/>
    <m/>
    <x v="0"/>
    <x v="0"/>
    <x v="0"/>
    <x v="0"/>
    <x v="0"/>
    <x v="0"/>
    <x v="0"/>
    <x v="0"/>
    <x v="0"/>
    <x v="0"/>
    <x v="0"/>
    <x v="0"/>
    <x v="0"/>
    <x v="0"/>
    <x v="0"/>
    <x v="0"/>
    <x v="0"/>
    <x v="0"/>
    <x v="0"/>
    <x v="0"/>
    <x v="0"/>
  </r>
  <r>
    <s v="L3 - Execute"/>
    <x v="3"/>
    <x v="83"/>
    <s v="Business with Tech, Local Enhancement, Lifecycle Management, Business Only"/>
    <m/>
    <s v="Epic"/>
    <x v="56"/>
    <m/>
    <m/>
    <s v="Required"/>
    <s v="Str111"/>
    <m/>
    <s v="Impacts Enterprise Services Portfolio?"/>
    <x v="54"/>
    <s v="Impacts Enterprise Services Portfolio?"/>
    <b v="1"/>
    <b v="1"/>
    <s v="Alt Structure"/>
    <s v="Single"/>
    <s v="Yes"/>
    <m/>
    <m/>
    <m/>
    <x v="0"/>
    <x v="0"/>
    <x v="0"/>
    <x v="0"/>
    <x v="0"/>
    <x v="0"/>
    <x v="0"/>
    <x v="0"/>
    <x v="0"/>
    <x v="0"/>
    <x v="0"/>
    <x v="0"/>
    <x v="0"/>
    <x v="0"/>
    <x v="0"/>
    <x v="0"/>
    <x v="0"/>
    <x v="0"/>
    <x v="0"/>
    <x v="0"/>
    <x v="0"/>
  </r>
  <r>
    <s v="L3 - Execute"/>
    <x v="3"/>
    <x v="84"/>
    <s v="Business with Tech, Local Enhancement, Lifecycle Management, Business Only"/>
    <m/>
    <s v="Epic"/>
    <x v="57"/>
    <m/>
    <m/>
    <s v="Required"/>
    <s v="Str110"/>
    <m/>
    <s v="Impacts Platform Portfolio?"/>
    <x v="55"/>
    <s v="Impacts Platforms Portfolio?"/>
    <b v="0"/>
    <b v="1"/>
    <s v="Alt Structure"/>
    <s v="Single"/>
    <s v="Yes"/>
    <m/>
    <m/>
    <m/>
    <x v="0"/>
    <x v="0"/>
    <x v="0"/>
    <x v="0"/>
    <x v="0"/>
    <x v="0"/>
    <x v="0"/>
    <x v="0"/>
    <x v="0"/>
    <x v="0"/>
    <x v="0"/>
    <x v="0"/>
    <x v="0"/>
    <x v="0"/>
    <x v="0"/>
    <x v="0"/>
    <x v="0"/>
    <x v="0"/>
    <x v="0"/>
    <x v="0"/>
    <x v="0"/>
  </r>
  <r>
    <s v="L3 - Execute"/>
    <x v="3"/>
    <x v="85"/>
    <s v="Business with Tech, Local Enhancement, Lifecycle Management, Business Only"/>
    <m/>
    <s v="Epic"/>
    <x v="58"/>
    <m/>
    <m/>
    <s v="Required"/>
    <s v="Str113"/>
    <m/>
    <s v="Impacts Supply Chain Operations Portfolio?"/>
    <x v="56"/>
    <s v="Impacts Supply Chain Operations Portfolio?"/>
    <b v="1"/>
    <b v="1"/>
    <s v="Alt Structure"/>
    <s v="Single"/>
    <s v="Yes"/>
    <m/>
    <m/>
    <m/>
    <x v="0"/>
    <x v="0"/>
    <x v="0"/>
    <x v="0"/>
    <x v="0"/>
    <x v="0"/>
    <x v="0"/>
    <x v="0"/>
    <x v="0"/>
    <x v="0"/>
    <x v="0"/>
    <x v="0"/>
    <x v="0"/>
    <x v="0"/>
    <x v="0"/>
    <x v="0"/>
    <x v="0"/>
    <x v="0"/>
    <x v="0"/>
    <x v="0"/>
    <x v="0"/>
  </r>
  <r>
    <s v="L3 - Execute"/>
    <x v="3"/>
    <x v="86"/>
    <s v="Business with Tech, Local Enhancement, Lifecycle Management, Business Only"/>
    <m/>
    <s v="Epic"/>
    <x v="80"/>
    <m/>
    <m/>
    <s v="Required"/>
    <s v="AC_START"/>
    <m/>
    <s v="Actual/Schedule Start"/>
    <x v="77"/>
    <s v="Actual/Schedule Start"/>
    <b v="1"/>
    <b v="1"/>
    <s v="Predefined"/>
    <m/>
    <s v="No"/>
    <m/>
    <m/>
    <m/>
    <x v="0"/>
    <x v="0"/>
    <x v="0"/>
    <x v="0"/>
    <x v="0"/>
    <x v="0"/>
    <x v="0"/>
    <x v="0"/>
    <x v="0"/>
    <x v="0"/>
    <x v="0"/>
    <x v="0"/>
    <x v="0"/>
    <x v="0"/>
    <x v="0"/>
    <x v="0"/>
    <x v="0"/>
    <x v="0"/>
    <x v="0"/>
    <x v="0"/>
    <x v="0"/>
  </r>
  <r>
    <s v="L3 - Execute"/>
    <x v="3"/>
    <x v="87"/>
    <s v="Business with Tech, Local Enhancement, Lifecycle Management, Business Only"/>
    <m/>
    <s v="Epic"/>
    <x v="81"/>
    <m/>
    <m/>
    <s v="Required"/>
    <s v="AC_FINISH"/>
    <m/>
    <s v="Actual/Schedule Finish"/>
    <x v="78"/>
    <s v="Actual/Schedule Finish"/>
    <b v="1"/>
    <b v="1"/>
    <s v="Predefined"/>
    <m/>
    <s v="No"/>
    <m/>
    <m/>
    <m/>
    <x v="0"/>
    <x v="0"/>
    <x v="0"/>
    <x v="0"/>
    <x v="0"/>
    <x v="0"/>
    <x v="0"/>
    <x v="0"/>
    <x v="0"/>
    <x v="0"/>
    <x v="0"/>
    <x v="0"/>
    <x v="0"/>
    <x v="0"/>
    <x v="0"/>
    <x v="0"/>
    <x v="0"/>
    <x v="0"/>
    <x v="0"/>
    <x v="0"/>
    <x v="0"/>
  </r>
  <r>
    <s v="L3 - Execute"/>
    <x v="3"/>
    <x v="88"/>
    <s v="Business with Tech, Local Enhancement, Lifecycle Management, Business Only"/>
    <m/>
    <s v="Demand Bundle"/>
    <x v="82"/>
    <m/>
    <m/>
    <s v="Read Only"/>
    <s v="Wbs28"/>
    <m/>
    <s v="Stage"/>
    <x v="79"/>
    <s v="Stage"/>
    <b v="1"/>
    <b v="1"/>
    <s v="Alt Structure"/>
    <s v="Single"/>
    <s v="Yes"/>
    <m/>
    <m/>
    <m/>
    <x v="0"/>
    <x v="0"/>
    <x v="0"/>
    <x v="0"/>
    <x v="0"/>
    <x v="0"/>
    <x v="0"/>
    <x v="0"/>
    <x v="0"/>
    <x v="0"/>
    <x v="0"/>
    <x v="0"/>
    <x v="0"/>
    <x v="0"/>
    <x v="0"/>
    <x v="0"/>
    <x v="0"/>
    <x v="0"/>
    <x v="0"/>
    <x v="0"/>
    <x v="0"/>
  </r>
  <r>
    <s v="L3 - Execute"/>
    <x v="3"/>
    <x v="89"/>
    <s v="Business with Tech, Local Enhancement, Lifecycle Management, Business Only"/>
    <m/>
    <s v="Demand Bundle"/>
    <x v="3"/>
    <m/>
    <m/>
    <s v="Required"/>
    <s v="Wbs22"/>
    <m/>
    <s v="Work Type"/>
    <x v="3"/>
    <s v="Work Type"/>
    <b v="1"/>
    <b v="1"/>
    <s v="Alt Structure"/>
    <s v="Single"/>
    <s v="Yes"/>
    <m/>
    <m/>
    <m/>
    <x v="0"/>
    <x v="0"/>
    <x v="0"/>
    <x v="0"/>
    <x v="0"/>
    <x v="0"/>
    <x v="0"/>
    <x v="0"/>
    <x v="0"/>
    <x v="0"/>
    <x v="0"/>
    <x v="0"/>
    <x v="0"/>
    <x v="0"/>
    <x v="0"/>
    <x v="0"/>
    <x v="0"/>
    <x v="0"/>
    <x v="0"/>
    <x v="0"/>
    <x v="0"/>
  </r>
  <r>
    <s v="L3 - Execute"/>
    <x v="3"/>
    <x v="90"/>
    <s v="Business with Tech, Local Enhancement, Lifecycle Management, Business Only"/>
    <m/>
    <s v="Demand Bundle"/>
    <x v="83"/>
    <m/>
    <m/>
    <s v="Required"/>
    <s v="WR53"/>
    <m/>
    <s v="Demand SubType"/>
    <x v="80"/>
    <s v="Demand SubType"/>
    <b v="1"/>
    <b v="1"/>
    <s v="Alt Structure"/>
    <s v="Single"/>
    <s v="Yes"/>
    <m/>
    <m/>
    <m/>
    <x v="0"/>
    <x v="0"/>
    <x v="0"/>
    <x v="0"/>
    <x v="0"/>
    <x v="0"/>
    <x v="0"/>
    <x v="0"/>
    <x v="0"/>
    <x v="0"/>
    <x v="0"/>
    <x v="0"/>
    <x v="0"/>
    <x v="0"/>
    <x v="0"/>
    <x v="0"/>
    <x v="0"/>
    <x v="0"/>
    <x v="0"/>
    <x v="0"/>
    <x v="0"/>
  </r>
  <r>
    <s v="L3 - Execute"/>
    <x v="3"/>
    <x v="91"/>
    <s v="Business with Tech, Local Enhancement, Lifecycle Management, Business Only"/>
    <m/>
    <s v="Demand Bundle"/>
    <x v="84"/>
    <m/>
    <m/>
    <s v="Required"/>
    <s v="Wbs20"/>
    <m/>
    <s v="Work Status"/>
    <x v="81"/>
    <s v="Work Status"/>
    <b v="1"/>
    <b v="1"/>
    <s v="Alt Structure"/>
    <s v="Single"/>
    <s v="Yes"/>
    <m/>
    <m/>
    <m/>
    <x v="0"/>
    <x v="0"/>
    <x v="0"/>
    <x v="0"/>
    <x v="0"/>
    <x v="0"/>
    <x v="0"/>
    <x v="0"/>
    <x v="0"/>
    <x v="0"/>
    <x v="0"/>
    <x v="0"/>
    <x v="0"/>
    <x v="0"/>
    <x v="0"/>
    <x v="0"/>
    <x v="0"/>
    <x v="0"/>
    <x v="0"/>
    <x v="0"/>
    <x v="0"/>
  </r>
  <r>
    <s v="L3 - Execute"/>
    <x v="3"/>
    <x v="92"/>
    <s v="Business with Tech, Local Enhancement, Lifecycle Management, Business Only"/>
    <m/>
    <s v="Epic"/>
    <x v="85"/>
    <m/>
    <m/>
    <s v="Required"/>
    <s v="Wbs20"/>
    <m/>
    <s v="Work Status"/>
    <x v="81"/>
    <s v="Work Status"/>
    <b v="1"/>
    <b v="0"/>
    <s v="Alt Structure"/>
    <s v="Single"/>
    <s v="Yes"/>
    <m/>
    <m/>
    <m/>
    <x v="0"/>
    <x v="0"/>
    <x v="0"/>
    <x v="0"/>
    <x v="0"/>
    <x v="0"/>
    <x v="0"/>
    <x v="0"/>
    <x v="0"/>
    <x v="0"/>
    <x v="0"/>
    <x v="0"/>
    <x v="0"/>
    <x v="0"/>
    <x v="0"/>
    <x v="0"/>
    <x v="0"/>
    <x v="0"/>
    <x v="0"/>
    <x v="0"/>
    <x v="0"/>
  </r>
  <r>
    <s v="L3 - Execute"/>
    <x v="3"/>
    <x v="93"/>
    <s v="Business with Tech, Local Enhancement, Lifecycle Management, Business Only"/>
    <m/>
    <s v="Demand Bundle"/>
    <x v="86"/>
    <m/>
    <m/>
    <s v="Required"/>
    <s v="PE01"/>
    <m/>
    <s v="Work Description"/>
    <x v="82"/>
    <s v="Description"/>
    <b v="0"/>
    <b v="1"/>
    <s v="Field"/>
    <m/>
    <s v="No"/>
    <m/>
    <m/>
    <m/>
    <x v="0"/>
    <x v="0"/>
    <x v="0"/>
    <x v="0"/>
    <x v="0"/>
    <x v="0"/>
    <x v="0"/>
    <x v="0"/>
    <x v="0"/>
    <x v="0"/>
    <x v="0"/>
    <x v="0"/>
    <x v="0"/>
    <x v="0"/>
    <x v="0"/>
    <x v="0"/>
    <x v="0"/>
    <x v="0"/>
    <x v="0"/>
    <x v="0"/>
    <x v="0"/>
  </r>
  <r>
    <s v="L3 - Execute"/>
    <x v="3"/>
    <x v="94"/>
    <s v="Business with Tech, Local Enhancement, Lifecycle Management, Business Only"/>
    <m/>
    <s v="Epic"/>
    <x v="87"/>
    <m/>
    <m/>
    <s v="Required"/>
    <s v="DESCR"/>
    <m/>
    <s v="Epic Name"/>
    <x v="83"/>
    <s v="0-Not Found"/>
    <b v="0"/>
    <b v="0"/>
    <s v="Field"/>
    <m/>
    <s v="No"/>
    <m/>
    <m/>
    <m/>
    <x v="0"/>
    <x v="0"/>
    <x v="0"/>
    <x v="0"/>
    <x v="0"/>
    <x v="0"/>
    <x v="0"/>
    <x v="0"/>
    <x v="0"/>
    <x v="0"/>
    <x v="0"/>
    <x v="0"/>
    <x v="0"/>
    <x v="0"/>
    <x v="0"/>
    <x v="0"/>
    <x v="0"/>
    <x v="0"/>
    <x v="0"/>
    <x v="0"/>
    <x v="0"/>
  </r>
  <r>
    <s v="L3 - Execute"/>
    <x v="3"/>
    <x v="95"/>
    <s v="Business with Tech, Local Enhancement, Lifecycle Management, Business Only"/>
    <m/>
    <s v="Epic"/>
    <x v="88"/>
    <m/>
    <m/>
    <s v="Required"/>
    <s v="PE01"/>
    <m/>
    <s v="Work Description"/>
    <x v="82"/>
    <s v="Description"/>
    <b v="0"/>
    <b v="0"/>
    <s v="Field"/>
    <m/>
    <s v="No"/>
    <m/>
    <m/>
    <m/>
    <x v="0"/>
    <x v="0"/>
    <x v="0"/>
    <x v="0"/>
    <x v="0"/>
    <x v="0"/>
    <x v="0"/>
    <x v="0"/>
    <x v="0"/>
    <x v="0"/>
    <x v="0"/>
    <x v="0"/>
    <x v="0"/>
    <x v="0"/>
    <x v="0"/>
    <x v="0"/>
    <x v="0"/>
    <x v="0"/>
    <x v="0"/>
    <x v="0"/>
    <x v="0"/>
  </r>
  <r>
    <s v="L3 - Execute"/>
    <x v="3"/>
    <x v="96"/>
    <s v="Business with Tech, Local Enhancement, Lifecycle Management, Business Only"/>
    <m/>
    <s v="Demand Bundle"/>
    <x v="28"/>
    <m/>
    <m/>
    <s v="Required"/>
    <s v="Str62"/>
    <m/>
    <s v="T-Shirt Size"/>
    <x v="28"/>
    <s v="T-Shirt Size"/>
    <b v="1"/>
    <b v="1"/>
    <s v="Alt Structure"/>
    <s v="Single"/>
    <s v="Yes"/>
    <m/>
    <m/>
    <m/>
    <x v="0"/>
    <x v="0"/>
    <x v="0"/>
    <x v="0"/>
    <x v="0"/>
    <x v="0"/>
    <x v="0"/>
    <x v="0"/>
    <x v="0"/>
    <x v="0"/>
    <x v="0"/>
    <x v="0"/>
    <x v="0"/>
    <x v="0"/>
    <x v="0"/>
    <x v="0"/>
    <x v="0"/>
    <x v="0"/>
    <x v="0"/>
    <x v="0"/>
    <x v="0"/>
  </r>
  <r>
    <s v="L3 - Execute"/>
    <x v="3"/>
    <x v="97"/>
    <s v="Business with Tech, Local Enhancement, Lifecycle Management, Business Only"/>
    <m/>
    <s v="Epic"/>
    <x v="28"/>
    <m/>
    <m/>
    <s v="Required"/>
    <s v="Str62"/>
    <m/>
    <s v="T-Shirt Size"/>
    <x v="28"/>
    <s v="T-Shirt Size"/>
    <b v="1"/>
    <b v="1"/>
    <s v="Alt Structure"/>
    <s v="Single"/>
    <s v="Yes"/>
    <m/>
    <m/>
    <m/>
    <x v="0"/>
    <x v="0"/>
    <x v="0"/>
    <x v="0"/>
    <x v="0"/>
    <x v="0"/>
    <x v="0"/>
    <x v="0"/>
    <x v="0"/>
    <x v="0"/>
    <x v="0"/>
    <x v="0"/>
    <x v="0"/>
    <x v="0"/>
    <x v="0"/>
    <x v="0"/>
    <x v="0"/>
    <x v="0"/>
    <x v="0"/>
    <x v="0"/>
    <x v="0"/>
  </r>
  <r>
    <s v="L3 - Execute"/>
    <x v="3"/>
    <x v="98"/>
    <s v="Business with Tech, Local Enhancement, Lifecycle Management, Business Only"/>
    <m/>
    <s v="Epic"/>
    <x v="89"/>
    <m/>
    <m/>
    <m/>
    <s v="fdx_epic_notes"/>
    <m/>
    <s v="Epic Notes and Comments"/>
    <x v="84"/>
    <s v="Epic Notes and Comments"/>
    <b v="1"/>
    <b v="0"/>
    <s v="Field"/>
    <m/>
    <s v="No"/>
    <m/>
    <m/>
    <m/>
    <x v="0"/>
    <x v="0"/>
    <x v="0"/>
    <x v="0"/>
    <x v="0"/>
    <x v="0"/>
    <x v="0"/>
    <x v="0"/>
    <x v="0"/>
    <x v="0"/>
    <x v="0"/>
    <x v="0"/>
    <x v="0"/>
    <x v="0"/>
    <x v="0"/>
    <x v="0"/>
    <x v="0"/>
    <x v="0"/>
    <x v="0"/>
    <x v="0"/>
    <x v="0"/>
  </r>
  <r>
    <s v="L3 - Execute"/>
    <x v="3"/>
    <x v="99"/>
    <s v="Business with Tech, Local Enhancement, Lifecycle Management, Business Only"/>
    <m/>
    <s v="Epic"/>
    <x v="90"/>
    <m/>
    <m/>
    <s v="Read Only"/>
    <s v="fdx_agility_id"/>
    <m/>
    <s v="Agility #"/>
    <x v="85"/>
    <s v="Agility #"/>
    <b v="1"/>
    <b v="1"/>
    <s v="Field"/>
    <m/>
    <s v="No"/>
    <m/>
    <m/>
    <m/>
    <x v="0"/>
    <x v="0"/>
    <x v="0"/>
    <x v="0"/>
    <x v="0"/>
    <x v="0"/>
    <x v="0"/>
    <x v="0"/>
    <x v="0"/>
    <x v="0"/>
    <x v="0"/>
    <x v="0"/>
    <x v="0"/>
    <x v="0"/>
    <x v="0"/>
    <x v="0"/>
    <x v="0"/>
    <x v="0"/>
    <x v="0"/>
    <x v="0"/>
    <x v="0"/>
  </r>
  <r>
    <s v="L3 - Execute"/>
    <x v="3"/>
    <x v="100"/>
    <s v="Business with Tech, Local Enhancement, Lifecycle Management, Business Only"/>
    <m/>
    <s v="Epic"/>
    <x v="91"/>
    <m/>
    <m/>
    <s v="Read Only"/>
    <s v="fdx_agility_URL"/>
    <m/>
    <s v="0-Not Found"/>
    <x v="86"/>
    <s v="0-Not Found"/>
    <b v="1"/>
    <b v="0"/>
    <s v="Field"/>
    <s v="RO"/>
    <s v="No"/>
    <m/>
    <m/>
    <m/>
    <x v="0"/>
    <x v="0"/>
    <x v="0"/>
    <x v="0"/>
    <x v="0"/>
    <x v="0"/>
    <x v="0"/>
    <x v="0"/>
    <x v="0"/>
    <x v="0"/>
    <x v="0"/>
    <x v="0"/>
    <x v="0"/>
    <x v="0"/>
    <x v="0"/>
    <x v="0"/>
    <x v="0"/>
    <x v="0"/>
    <x v="0"/>
    <x v="0"/>
    <x v="0"/>
  </r>
  <r>
    <s v="L3 - Execute"/>
    <x v="3"/>
    <x v="101"/>
    <s v="Business with Tech, Local Enhancement, Lifecycle Management, Business Only"/>
    <m/>
    <s v="Epic"/>
    <x v="92"/>
    <m/>
    <m/>
    <s v="Read Only"/>
    <s v="1284"/>
    <m/>
    <s v="Agility % Complete (Size)"/>
    <x v="87"/>
    <s v="Agility % Complete (Size)"/>
    <b v="1"/>
    <b v="0"/>
    <s v="Calculated"/>
    <s v="RO"/>
    <s v="No"/>
    <m/>
    <m/>
    <m/>
    <x v="0"/>
    <x v="0"/>
    <x v="0"/>
    <x v="0"/>
    <x v="0"/>
    <x v="0"/>
    <x v="0"/>
    <x v="0"/>
    <x v="0"/>
    <x v="0"/>
    <x v="0"/>
    <x v="0"/>
    <x v="0"/>
    <x v="0"/>
    <x v="0"/>
    <x v="0"/>
    <x v="0"/>
    <x v="0"/>
    <x v="0"/>
    <x v="0"/>
    <x v="0"/>
  </r>
  <r>
    <s v="L3 - Execute"/>
    <x v="3"/>
    <x v="102"/>
    <s v="Business with Tech, Local Enhancement, Lifecycle Management, Business Only"/>
    <m/>
    <s v="Epic"/>
    <x v="93"/>
    <m/>
    <m/>
    <s v="Read Only"/>
    <s v=" -"/>
    <m/>
    <s v="0-Not Found"/>
    <x v="88"/>
    <s v="0-Not Found"/>
    <b v="1"/>
    <b v="0"/>
    <s v="System"/>
    <s v="Req"/>
    <s v="No"/>
    <m/>
    <m/>
    <m/>
    <x v="0"/>
    <x v="0"/>
    <x v="0"/>
    <x v="0"/>
    <x v="0"/>
    <x v="0"/>
    <x v="0"/>
    <x v="0"/>
    <x v="0"/>
    <x v="0"/>
    <x v="0"/>
    <x v="0"/>
    <x v="0"/>
    <x v="0"/>
    <x v="0"/>
    <x v="0"/>
    <x v="0"/>
    <x v="0"/>
    <x v="0"/>
    <x v="0"/>
    <x v="0"/>
  </r>
  <r>
    <s v="L3 - Execute"/>
    <x v="3"/>
    <x v="103"/>
    <s v="Business with Tech, Local Enhancement, Lifecycle Management, Business Only"/>
    <m/>
    <s v="Epic"/>
    <x v="94"/>
    <m/>
    <m/>
    <s v="Required"/>
    <s v="PRODUCT_ALLO"/>
    <m/>
    <s v="Solution(s)"/>
    <x v="89"/>
    <s v="Solution(s)"/>
    <b v="1"/>
    <b v="1"/>
    <s v="Predefined"/>
    <m/>
    <s v="No"/>
    <m/>
    <m/>
    <m/>
    <x v="0"/>
    <x v="0"/>
    <x v="0"/>
    <x v="0"/>
    <x v="0"/>
    <x v="0"/>
    <x v="0"/>
    <x v="0"/>
    <x v="0"/>
    <x v="0"/>
    <x v="0"/>
    <x v="0"/>
    <x v="0"/>
    <x v="0"/>
    <x v="0"/>
    <x v="0"/>
    <x v="0"/>
    <x v="0"/>
    <x v="0"/>
    <x v="0"/>
    <x v="0"/>
  </r>
  <r>
    <s v="L3 - Execute"/>
    <x v="3"/>
    <x v="104"/>
    <s v="Business with Tech, Local Enhancement, Lifecycle Management, Business Only"/>
    <m/>
    <s v="Epic"/>
    <x v="95"/>
    <m/>
    <m/>
    <s v="Required"/>
    <s v="fdx_in_scope"/>
    <m/>
    <s v="In Scope"/>
    <x v="90"/>
    <s v="In Scope"/>
    <b v="1"/>
    <b v="1"/>
    <s v="Field"/>
    <m/>
    <s v="No"/>
    <m/>
    <m/>
    <m/>
    <x v="0"/>
    <x v="0"/>
    <x v="0"/>
    <x v="0"/>
    <x v="0"/>
    <x v="0"/>
    <x v="0"/>
    <x v="0"/>
    <x v="0"/>
    <x v="0"/>
    <x v="0"/>
    <x v="0"/>
    <x v="0"/>
    <x v="0"/>
    <x v="0"/>
    <x v="0"/>
    <x v="0"/>
    <x v="0"/>
    <x v="0"/>
    <x v="0"/>
    <x v="0"/>
  </r>
  <r>
    <s v="L3 - Execute"/>
    <x v="3"/>
    <x v="105"/>
    <s v="Business with Tech, Local Enhancement, Lifecycle Management, Business Only"/>
    <m/>
    <s v="Epic"/>
    <x v="96"/>
    <m/>
    <m/>
    <s v="Required"/>
    <s v="fdx_out_of_scope"/>
    <m/>
    <s v="Out of Scope"/>
    <x v="91"/>
    <s v="Out of Scope"/>
    <b v="1"/>
    <b v="1"/>
    <s v="Field"/>
    <m/>
    <s v="No"/>
    <m/>
    <m/>
    <m/>
    <x v="0"/>
    <x v="0"/>
    <x v="0"/>
    <x v="0"/>
    <x v="0"/>
    <x v="0"/>
    <x v="0"/>
    <x v="0"/>
    <x v="0"/>
    <x v="0"/>
    <x v="0"/>
    <x v="0"/>
    <x v="0"/>
    <x v="0"/>
    <x v="0"/>
    <x v="0"/>
    <x v="0"/>
    <x v="0"/>
    <x v="0"/>
    <x v="0"/>
    <x v="0"/>
  </r>
  <r>
    <s v="L3 - Execute"/>
    <x v="3"/>
    <x v="106"/>
    <s v="Business with Tech, Local Enhancement, Lifecycle Management, Business Only"/>
    <m/>
    <s v="Demand Bundle"/>
    <x v="97"/>
    <m/>
    <m/>
    <s v="Optional"/>
    <s v="Wbs94"/>
    <m/>
    <s v="Region(s) Impacted"/>
    <x v="92"/>
    <s v="Region(s) Impacted"/>
    <b v="1"/>
    <b v="1"/>
    <s v="Alt Structure"/>
    <s v="Multi"/>
    <s v="Yes"/>
    <m/>
    <m/>
    <m/>
    <x v="0"/>
    <x v="0"/>
    <x v="0"/>
    <x v="0"/>
    <x v="0"/>
    <x v="0"/>
    <x v="0"/>
    <x v="0"/>
    <x v="0"/>
    <x v="0"/>
    <x v="0"/>
    <x v="0"/>
    <x v="0"/>
    <x v="0"/>
    <x v="0"/>
    <x v="0"/>
    <x v="0"/>
    <x v="0"/>
    <x v="0"/>
    <x v="0"/>
    <x v="0"/>
  </r>
  <r>
    <s v="L3 - Execute"/>
    <x v="3"/>
    <x v="107"/>
    <s v="Business with Tech, Local Enhancement, Lifecycle Management, Business Only"/>
    <m/>
    <s v="Demand Bundle"/>
    <x v="98"/>
    <m/>
    <m/>
    <s v="Optional"/>
    <s v="fdx_work_ppm_num"/>
    <m/>
    <s v="PPM Project Number"/>
    <x v="93"/>
    <s v="PPM Project Number"/>
    <b v="1"/>
    <b v="1"/>
    <s v="Field"/>
    <m/>
    <s v="No"/>
    <m/>
    <m/>
    <m/>
    <x v="0"/>
    <x v="0"/>
    <x v="0"/>
    <x v="0"/>
    <x v="0"/>
    <x v="0"/>
    <x v="0"/>
    <x v="0"/>
    <x v="0"/>
    <x v="0"/>
    <x v="0"/>
    <x v="0"/>
    <x v="0"/>
    <x v="0"/>
    <x v="0"/>
    <x v="0"/>
    <x v="0"/>
    <x v="0"/>
    <x v="0"/>
    <x v="0"/>
    <x v="0"/>
  </r>
  <r>
    <s v="L3 - Execute"/>
    <x v="3"/>
    <x v="108"/>
    <s v="Business with Tech, Local Enhancement, Lifecycle Management, Business Only"/>
    <m/>
    <s v="Demand Bundle"/>
    <x v="99"/>
    <m/>
    <m/>
    <s v="Required"/>
    <s v="fdx_ability_to_work"/>
    <m/>
    <s v="Ability To Statements"/>
    <x v="26"/>
    <s v="Business Ability To Statements"/>
    <b v="0"/>
    <b v="0"/>
    <s v="Field"/>
    <m/>
    <s v="No"/>
    <m/>
    <m/>
    <m/>
    <x v="0"/>
    <x v="0"/>
    <x v="0"/>
    <x v="0"/>
    <x v="0"/>
    <x v="0"/>
    <x v="0"/>
    <x v="0"/>
    <x v="0"/>
    <x v="0"/>
    <x v="0"/>
    <x v="0"/>
    <x v="0"/>
    <x v="0"/>
    <x v="0"/>
    <x v="0"/>
    <x v="0"/>
    <x v="0"/>
    <x v="0"/>
    <x v="0"/>
    <x v="0"/>
  </r>
  <r>
    <s v="L3 - Execute"/>
    <x v="3"/>
    <x v="109"/>
    <s v="Business with Tech, Local Enhancement, Lifecycle Management, Business Only"/>
    <m/>
    <s v="Demand Bundle"/>
    <x v="100"/>
    <m/>
    <m/>
    <s v="Required"/>
    <s v="fdx_epic_archdoc_URL"/>
    <m/>
    <s v="Epic Architectural Documentation"/>
    <x v="94"/>
    <s v="Architectural Documentation"/>
    <b v="0"/>
    <b v="0"/>
    <s v="Field"/>
    <m/>
    <s v="No"/>
    <m/>
    <m/>
    <m/>
    <x v="0"/>
    <x v="0"/>
    <x v="0"/>
    <x v="0"/>
    <x v="0"/>
    <x v="0"/>
    <x v="0"/>
    <x v="0"/>
    <x v="0"/>
    <x v="0"/>
    <x v="0"/>
    <x v="0"/>
    <x v="0"/>
    <x v="0"/>
    <x v="0"/>
    <x v="0"/>
    <x v="0"/>
    <x v="0"/>
    <x v="0"/>
    <x v="0"/>
    <x v="0"/>
  </r>
  <r>
    <s v="L3 - Execute"/>
    <x v="3"/>
    <x v="110"/>
    <s v="Business with Tech, Local Enhancement, Lifecycle Management, Business Only"/>
    <m/>
    <s v="Epic"/>
    <x v="100"/>
    <m/>
    <m/>
    <s v="Required"/>
    <s v="fdx_epic_archdoc_URL"/>
    <m/>
    <s v="Epic Architectural Documentation"/>
    <x v="94"/>
    <s v="Architectural Documentation"/>
    <b v="0"/>
    <b v="0"/>
    <s v="Field"/>
    <m/>
    <s v="No"/>
    <m/>
    <m/>
    <m/>
    <x v="0"/>
    <x v="0"/>
    <x v="0"/>
    <x v="0"/>
    <x v="0"/>
    <x v="0"/>
    <x v="0"/>
    <x v="0"/>
    <x v="0"/>
    <x v="0"/>
    <x v="0"/>
    <x v="0"/>
    <x v="0"/>
    <x v="0"/>
    <x v="0"/>
    <x v="0"/>
    <x v="0"/>
    <x v="0"/>
    <x v="0"/>
    <x v="0"/>
    <x v="0"/>
  </r>
  <r>
    <s v="L3 - Execute"/>
    <x v="3"/>
    <x v="111"/>
    <s v="Business with Tech, Local Enhancement, Lifecycle Management, Business Only"/>
    <m/>
    <s v="Demand Bundle"/>
    <x v="101"/>
    <m/>
    <m/>
    <s v="Required"/>
    <s v="fdx_it_ent_arch"/>
    <m/>
    <s v="IT Architect"/>
    <x v="95"/>
    <s v="IT Architect"/>
    <b v="1"/>
    <b v="1"/>
    <s v="Field"/>
    <m/>
    <s v="No"/>
    <m/>
    <m/>
    <m/>
    <x v="0"/>
    <x v="0"/>
    <x v="0"/>
    <x v="0"/>
    <x v="0"/>
    <x v="0"/>
    <x v="0"/>
    <x v="0"/>
    <x v="0"/>
    <x v="0"/>
    <x v="0"/>
    <x v="0"/>
    <x v="0"/>
    <x v="0"/>
    <x v="0"/>
    <x v="0"/>
    <x v="0"/>
    <x v="0"/>
    <x v="0"/>
    <x v="0"/>
    <x v="0"/>
  </r>
  <r>
    <s v="L3 - Execute"/>
    <x v="3"/>
    <x v="112"/>
    <s v="Business with Tech, Local Enhancement, Lifecycle Management, Business Only"/>
    <m/>
    <s v="Demand Bundle"/>
    <x v="102"/>
    <m/>
    <m/>
    <s v="Required"/>
    <s v="fdx_bus_ent_arch"/>
    <m/>
    <s v="Business Architect"/>
    <x v="96"/>
    <s v="Business Architect"/>
    <b v="1"/>
    <b v="1"/>
    <s v="Field"/>
    <m/>
    <s v="No"/>
    <m/>
    <m/>
    <m/>
    <x v="0"/>
    <x v="0"/>
    <x v="0"/>
    <x v="0"/>
    <x v="0"/>
    <x v="0"/>
    <x v="0"/>
    <x v="0"/>
    <x v="0"/>
    <x v="0"/>
    <x v="0"/>
    <x v="0"/>
    <x v="0"/>
    <x v="0"/>
    <x v="0"/>
    <x v="0"/>
    <x v="0"/>
    <x v="0"/>
    <x v="0"/>
    <x v="0"/>
    <x v="0"/>
  </r>
  <r>
    <s v="L3 - Execute"/>
    <x v="3"/>
    <x v="113"/>
    <s v="Business with Tech, Local Enhancement, Lifecycle Management, Business Only"/>
    <m/>
    <s v="Demand Bundle"/>
    <x v="27"/>
    <m/>
    <m/>
    <s v="Required"/>
    <s v="fdx_biz_out_work"/>
    <m/>
    <s v="Expected Business Outcome"/>
    <x v="27"/>
    <s v="Expected Business Outcome"/>
    <b v="1"/>
    <b v="1"/>
    <s v="Field"/>
    <m/>
    <s v="No"/>
    <m/>
    <m/>
    <m/>
    <x v="0"/>
    <x v="0"/>
    <x v="0"/>
    <x v="0"/>
    <x v="0"/>
    <x v="0"/>
    <x v="0"/>
    <x v="0"/>
    <x v="0"/>
    <x v="0"/>
    <x v="0"/>
    <x v="0"/>
    <x v="0"/>
    <x v="0"/>
    <x v="0"/>
    <x v="0"/>
    <x v="0"/>
    <x v="0"/>
    <x v="0"/>
    <x v="0"/>
    <x v="0"/>
  </r>
  <r>
    <s v="L3 - Execute"/>
    <x v="3"/>
    <x v="114"/>
    <s v="Business with Tech, Local Enhancement, Lifecycle Management, Business Only"/>
    <m/>
    <s v="Demand Bundle"/>
    <x v="103"/>
    <m/>
    <m/>
    <s v="Required"/>
    <s v="Wbs709"/>
    <m/>
    <s v="Health Status"/>
    <x v="97"/>
    <s v="Health Status"/>
    <b v="1"/>
    <b v="1"/>
    <s v="Alt Structure"/>
    <m/>
    <s v="No"/>
    <m/>
    <m/>
    <m/>
    <x v="0"/>
    <x v="0"/>
    <x v="0"/>
    <x v="0"/>
    <x v="0"/>
    <x v="0"/>
    <x v="0"/>
    <x v="0"/>
    <x v="0"/>
    <x v="0"/>
    <x v="0"/>
    <x v="0"/>
    <x v="0"/>
    <x v="0"/>
    <x v="0"/>
    <x v="0"/>
    <x v="0"/>
    <x v="0"/>
    <x v="0"/>
    <x v="0"/>
    <x v="0"/>
  </r>
  <r>
    <s v="L3 - Execute"/>
    <x v="3"/>
    <x v="115"/>
    <s v="Business with Tech, Local Enhancement, Lifecycle Management, Business Only"/>
    <m/>
    <s v="Demand Bundle"/>
    <x v="104"/>
    <m/>
    <m/>
    <s v="Required"/>
    <s v="fdx_status_work"/>
    <m/>
    <s v="Status Rationale"/>
    <x v="98"/>
    <s v="Status Rationale"/>
    <b v="1"/>
    <b v="1"/>
    <s v="Field"/>
    <m/>
    <s v="No"/>
    <m/>
    <m/>
    <m/>
    <x v="0"/>
    <x v="0"/>
    <x v="0"/>
    <x v="0"/>
    <x v="0"/>
    <x v="0"/>
    <x v="0"/>
    <x v="0"/>
    <x v="0"/>
    <x v="0"/>
    <x v="0"/>
    <x v="0"/>
    <x v="0"/>
    <x v="0"/>
    <x v="0"/>
    <x v="0"/>
    <x v="0"/>
    <x v="0"/>
    <x v="0"/>
    <x v="0"/>
    <x v="0"/>
  </r>
  <r>
    <s v="L3 - Execute"/>
    <x v="3"/>
    <x v="116"/>
    <s v="Business with Tech, Local Enhancement, Lifecycle Management, Business Only"/>
    <m/>
    <s v="Epic"/>
    <x v="105"/>
    <m/>
    <m/>
    <s v="Optional"/>
    <s v="fdx_epic_notes"/>
    <m/>
    <s v="Epic Notes and Comments"/>
    <x v="84"/>
    <s v="Epic Notes and Comments"/>
    <b v="1"/>
    <b v="1"/>
    <s v="Field"/>
    <m/>
    <s v="No"/>
    <m/>
    <m/>
    <m/>
    <x v="0"/>
    <x v="0"/>
    <x v="0"/>
    <x v="0"/>
    <x v="0"/>
    <x v="0"/>
    <x v="0"/>
    <x v="0"/>
    <x v="0"/>
    <x v="0"/>
    <x v="0"/>
    <x v="0"/>
    <x v="0"/>
    <x v="0"/>
    <x v="0"/>
    <x v="0"/>
    <x v="0"/>
    <x v="0"/>
    <x v="0"/>
    <x v="0"/>
    <x v="0"/>
  </r>
  <r>
    <s v="L3 - Execute"/>
    <x v="3"/>
    <x v="117"/>
    <s v="Business with Tech, Local Enhancement, Lifecycle Management, Business Only"/>
    <m/>
    <s v="Epic"/>
    <x v="106"/>
    <m/>
    <m/>
    <s v="Optional"/>
    <m/>
    <m/>
    <s v="0-Not Found"/>
    <x v="99"/>
    <s v="Capital Number"/>
    <b v="0"/>
    <b v="1"/>
    <s v="Field"/>
    <m/>
    <s v="No"/>
    <m/>
    <m/>
    <m/>
    <x v="0"/>
    <x v="0"/>
    <x v="0"/>
    <x v="0"/>
    <x v="0"/>
    <x v="0"/>
    <x v="0"/>
    <x v="0"/>
    <x v="0"/>
    <x v="0"/>
    <x v="0"/>
    <x v="0"/>
    <x v="0"/>
    <x v="0"/>
    <x v="0"/>
    <x v="0"/>
    <x v="0"/>
    <x v="0"/>
    <x v="0"/>
    <x v="0"/>
    <x v="0"/>
  </r>
  <r>
    <s v="L3 - Execute"/>
    <x v="3"/>
    <x v="118"/>
    <s v="Business with Tech, Local Enhancement, Lifecycle Management, Business Only"/>
    <m/>
    <s v="Demand Bundle"/>
    <x v="107"/>
    <m/>
    <m/>
    <s v="Optional"/>
    <s v="fdx_first_id"/>
    <m/>
    <s v="OnSpring ID"/>
    <x v="100"/>
    <s v="OnSpring ID"/>
    <b v="1"/>
    <b v="1"/>
    <s v="Field"/>
    <m/>
    <s v="No"/>
    <m/>
    <m/>
    <m/>
    <x v="0"/>
    <x v="0"/>
    <x v="0"/>
    <x v="0"/>
    <x v="0"/>
    <x v="0"/>
    <x v="0"/>
    <x v="0"/>
    <x v="0"/>
    <x v="0"/>
    <x v="0"/>
    <x v="0"/>
    <x v="0"/>
    <x v="0"/>
    <x v="0"/>
    <x v="0"/>
    <x v="0"/>
    <x v="0"/>
    <x v="0"/>
    <x v="0"/>
    <x v="0"/>
  </r>
  <r>
    <s v="L3 - Execute"/>
    <x v="3"/>
    <x v="119"/>
    <s v="Business with Tech, Local Enhancement, Lifecycle Management, Business Only"/>
    <m/>
    <s v="Epic"/>
    <x v="107"/>
    <m/>
    <m/>
    <s v="Optional"/>
    <s v="fdx_first_id"/>
    <m/>
    <s v="OnSpring ID"/>
    <x v="100"/>
    <s v="OnSpring ID"/>
    <b v="1"/>
    <b v="1"/>
    <s v="Field"/>
    <m/>
    <s v="No"/>
    <m/>
    <m/>
    <m/>
    <x v="0"/>
    <x v="0"/>
    <x v="0"/>
    <x v="0"/>
    <x v="0"/>
    <x v="0"/>
    <x v="0"/>
    <x v="0"/>
    <x v="0"/>
    <x v="0"/>
    <x v="0"/>
    <x v="0"/>
    <x v="0"/>
    <x v="0"/>
    <x v="0"/>
    <x v="0"/>
    <x v="0"/>
    <x v="0"/>
    <x v="0"/>
    <x v="0"/>
    <x v="0"/>
  </r>
  <r>
    <s v="L3 - Execute"/>
    <x v="3"/>
    <x v="120"/>
    <s v="Business with Tech, Local Enhancement, Lifecycle Management, Business Only"/>
    <m/>
    <s v="Epic"/>
    <x v="108"/>
    <m/>
    <m/>
    <s v="Required"/>
    <m/>
    <m/>
    <s v="0-Not Found"/>
    <x v="101"/>
    <s v="Ready for L3 EPM Quality Check?"/>
    <b v="0"/>
    <b v="0"/>
    <s v="Alt Structure"/>
    <s v="Single"/>
    <s v="Yes"/>
    <m/>
    <m/>
    <m/>
    <x v="0"/>
    <x v="0"/>
    <x v="0"/>
    <x v="0"/>
    <x v="0"/>
    <x v="0"/>
    <x v="0"/>
    <x v="0"/>
    <x v="0"/>
    <x v="0"/>
    <x v="0"/>
    <x v="0"/>
    <x v="0"/>
    <x v="0"/>
    <x v="0"/>
    <x v="0"/>
    <x v="0"/>
    <x v="0"/>
    <x v="0"/>
    <x v="0"/>
    <x v="0"/>
  </r>
  <r>
    <s v="L3 - Execute"/>
    <x v="3"/>
    <x v="121"/>
    <s v="Business with Tech, Local Enhancement, Lifecycle Management, Business Only"/>
    <m/>
    <s v="Epic"/>
    <x v="109"/>
    <m/>
    <m/>
    <s v="Required"/>
    <m/>
    <m/>
    <s v="0-Not Found"/>
    <x v="102"/>
    <s v="L3 EPM Review 1"/>
    <b v="0"/>
    <b v="0"/>
    <s v="Alt Structure"/>
    <s v="Single"/>
    <s v="Yes"/>
    <m/>
    <m/>
    <m/>
    <x v="0"/>
    <x v="0"/>
    <x v="0"/>
    <x v="0"/>
    <x v="0"/>
    <x v="0"/>
    <x v="0"/>
    <x v="0"/>
    <x v="0"/>
    <x v="0"/>
    <x v="0"/>
    <x v="0"/>
    <x v="0"/>
    <x v="0"/>
    <x v="0"/>
    <x v="0"/>
    <x v="0"/>
    <x v="0"/>
    <x v="0"/>
    <x v="0"/>
    <x v="0"/>
  </r>
  <r>
    <s v="L3 - Execute"/>
    <x v="3"/>
    <x v="122"/>
    <s v="Business with Tech, Local Enhancement, Lifecycle Management, Business Only"/>
    <m/>
    <s v="Epic"/>
    <x v="110"/>
    <m/>
    <m/>
    <s v="Required"/>
    <m/>
    <m/>
    <s v="0-Not Found"/>
    <x v="103"/>
    <s v="L3 EPM Review 1 Notes"/>
    <b v="0"/>
    <b v="0"/>
    <s v="Field"/>
    <m/>
    <s v="No"/>
    <m/>
    <m/>
    <m/>
    <x v="0"/>
    <x v="0"/>
    <x v="0"/>
    <x v="0"/>
    <x v="0"/>
    <x v="0"/>
    <x v="0"/>
    <x v="0"/>
    <x v="0"/>
    <x v="0"/>
    <x v="0"/>
    <x v="0"/>
    <x v="0"/>
    <x v="0"/>
    <x v="0"/>
    <x v="0"/>
    <x v="0"/>
    <x v="0"/>
    <x v="0"/>
    <x v="0"/>
    <x v="0"/>
  </r>
  <r>
    <s v="L3 - Execute"/>
    <x v="3"/>
    <x v="123"/>
    <s v="Business with Tech, Local Enhancement, Lifecycle Management, Business Only"/>
    <m/>
    <s v="Epic"/>
    <x v="111"/>
    <m/>
    <m/>
    <s v="Required"/>
    <m/>
    <m/>
    <s v="0-Not Found"/>
    <x v="104"/>
    <s v="Ready for L3 Epic Approval?"/>
    <b v="0"/>
    <b v="0"/>
    <s v="Alt Structure"/>
    <s v="Single"/>
    <s v="Yes"/>
    <m/>
    <m/>
    <m/>
    <x v="0"/>
    <x v="0"/>
    <x v="0"/>
    <x v="0"/>
    <x v="0"/>
    <x v="0"/>
    <x v="0"/>
    <x v="0"/>
    <x v="0"/>
    <x v="0"/>
    <x v="0"/>
    <x v="0"/>
    <x v="0"/>
    <x v="0"/>
    <x v="0"/>
    <x v="0"/>
    <x v="0"/>
    <x v="0"/>
    <x v="0"/>
    <x v="0"/>
    <x v="0"/>
  </r>
  <r>
    <s v="L3 - Execute"/>
    <x v="3"/>
    <x v="124"/>
    <s v="Business with Tech, Local Enhancement, Lifecycle Management, Business Only"/>
    <m/>
    <s v="Epic"/>
    <x v="112"/>
    <m/>
    <m/>
    <s v="Required"/>
    <m/>
    <m/>
    <s v="0-Not Found"/>
    <x v="105"/>
    <s v="L3 Epic Approval"/>
    <b v="0"/>
    <b v="0"/>
    <s v="Alt Structure"/>
    <s v="Single"/>
    <s v="Yes"/>
    <m/>
    <m/>
    <m/>
    <x v="0"/>
    <x v="0"/>
    <x v="0"/>
    <x v="0"/>
    <x v="0"/>
    <x v="0"/>
    <x v="0"/>
    <x v="0"/>
    <x v="0"/>
    <x v="0"/>
    <x v="0"/>
    <x v="0"/>
    <x v="0"/>
    <x v="0"/>
    <x v="0"/>
    <x v="0"/>
    <x v="0"/>
    <x v="0"/>
    <x v="0"/>
    <x v="0"/>
    <x v="0"/>
  </r>
  <r>
    <s v="L3 - Execute"/>
    <x v="3"/>
    <x v="125"/>
    <s v="Business with Tech, Local Enhancement, Lifecycle Management, Business Only"/>
    <m/>
    <s v="Epic"/>
    <x v="113"/>
    <m/>
    <m/>
    <s v="Required"/>
    <m/>
    <m/>
    <s v="0-Not Found"/>
    <x v="106"/>
    <s v="L3 Epic Approval Notes"/>
    <b v="0"/>
    <b v="0"/>
    <s v="Field"/>
    <m/>
    <s v="No"/>
    <m/>
    <m/>
    <m/>
    <x v="0"/>
    <x v="0"/>
    <x v="0"/>
    <x v="0"/>
    <x v="0"/>
    <x v="0"/>
    <x v="0"/>
    <x v="0"/>
    <x v="0"/>
    <x v="0"/>
    <x v="0"/>
    <x v="0"/>
    <x v="0"/>
    <x v="0"/>
    <x v="0"/>
    <x v="0"/>
    <x v="0"/>
    <x v="0"/>
    <x v="0"/>
    <x v="0"/>
    <x v="0"/>
  </r>
  <r>
    <s v="L3 - Execute"/>
    <x v="3"/>
    <x v="126"/>
    <s v="Business with Tech, Local Enhancement, Lifecycle Management, Business Only"/>
    <m/>
    <s v="Epic"/>
    <x v="114"/>
    <m/>
    <m/>
    <s v="Required"/>
    <m/>
    <m/>
    <s v="0-Not Found"/>
    <x v="107"/>
    <s v="L3 EPM Review 2"/>
    <b v="0"/>
    <b v="0"/>
    <s v="Alt Structure"/>
    <s v="Single"/>
    <s v="Yes"/>
    <m/>
    <m/>
    <m/>
    <x v="0"/>
    <x v="0"/>
    <x v="0"/>
    <x v="0"/>
    <x v="0"/>
    <x v="0"/>
    <x v="0"/>
    <x v="0"/>
    <x v="0"/>
    <x v="0"/>
    <x v="0"/>
    <x v="0"/>
    <x v="0"/>
    <x v="0"/>
    <x v="0"/>
    <x v="0"/>
    <x v="0"/>
    <x v="0"/>
    <x v="0"/>
    <x v="0"/>
    <x v="0"/>
  </r>
  <r>
    <s v="L3 - Execute"/>
    <x v="3"/>
    <x v="127"/>
    <s v="Business with Tech, Local Enhancement, Lifecycle Management, Business Only"/>
    <m/>
    <s v="Epic"/>
    <x v="115"/>
    <m/>
    <m/>
    <s v="Required"/>
    <s v="Wbs102"/>
    <m/>
    <s v="Ready to Close: Epic Intent has been met"/>
    <x v="108"/>
    <s v="Ready to Close: Epic Intent has been met?"/>
    <b v="0"/>
    <b v="0"/>
    <s v="Alt Structure"/>
    <s v="Single"/>
    <s v="Yes"/>
    <m/>
    <m/>
    <m/>
    <x v="0"/>
    <x v="0"/>
    <x v="0"/>
    <x v="0"/>
    <x v="0"/>
    <x v="0"/>
    <x v="0"/>
    <x v="0"/>
    <x v="0"/>
    <x v="0"/>
    <x v="0"/>
    <x v="0"/>
    <x v="0"/>
    <x v="0"/>
    <x v="0"/>
    <x v="0"/>
    <x v="0"/>
    <x v="0"/>
    <x v="0"/>
    <x v="0"/>
    <x v="0"/>
  </r>
  <r>
    <s v="L3 - Execute"/>
    <x v="3"/>
    <x v="128"/>
    <s v="Business with Tech, Local Enhancement, Lifecycle Management, Business Only"/>
    <m/>
    <s v="Epic"/>
    <x v="116"/>
    <m/>
    <m/>
    <s v="Required"/>
    <s v="fdx_results"/>
    <m/>
    <s v="Results/Outcome Notes"/>
    <x v="109"/>
    <s v="Results/Outcome Notes"/>
    <b v="1"/>
    <b v="1"/>
    <s v="Field"/>
    <m/>
    <s v="No"/>
    <m/>
    <m/>
    <m/>
    <x v="0"/>
    <x v="0"/>
    <x v="0"/>
    <x v="0"/>
    <x v="0"/>
    <x v="0"/>
    <x v="0"/>
    <x v="0"/>
    <x v="0"/>
    <x v="0"/>
    <x v="0"/>
    <x v="0"/>
    <x v="0"/>
    <x v="0"/>
    <x v="0"/>
    <x v="0"/>
    <x v="0"/>
    <x v="0"/>
    <x v="0"/>
    <x v="0"/>
    <x v="0"/>
  </r>
  <r>
    <s v="L4 - Evaluate Complete"/>
    <x v="4"/>
    <x v="129"/>
    <s v="Business with Tech, Local Enhancement, Lifecycle Management, Business Only"/>
    <m/>
    <s v="Demand Bundle"/>
    <x v="117"/>
    <m/>
    <m/>
    <s v="Required"/>
    <m/>
    <m/>
    <s v="0-Not Found"/>
    <x v="110"/>
    <s v="SL4 Close Work Bundle - Business Finance Approval"/>
    <b v="0"/>
    <b v="0"/>
    <s v="Alt Structure"/>
    <s v="Single"/>
    <s v="Yes"/>
    <m/>
    <m/>
    <m/>
    <x v="0"/>
    <x v="0"/>
    <x v="0"/>
    <x v="0"/>
    <x v="0"/>
    <x v="0"/>
    <x v="0"/>
    <x v="0"/>
    <x v="0"/>
    <x v="0"/>
    <x v="0"/>
    <x v="0"/>
    <x v="0"/>
    <x v="0"/>
    <x v="0"/>
    <x v="0"/>
    <x v="0"/>
    <x v="0"/>
    <x v="0"/>
    <x v="0"/>
    <x v="0"/>
  </r>
  <r>
    <s v="L4 - Evaluate Complete"/>
    <x v="4"/>
    <x v="130"/>
    <s v="Business with Tech, Local Enhancement, Lifecycle Management, Business Only"/>
    <m/>
    <s v="Demand Bundle"/>
    <x v="118"/>
    <m/>
    <m/>
    <s v="Required"/>
    <m/>
    <m/>
    <s v="0-Not Found"/>
    <x v="111"/>
    <s v="SL4 Close Work Bundle - Business Finance Approval Notes"/>
    <b v="0"/>
    <b v="0"/>
    <s v="Field"/>
    <m/>
    <s v="No"/>
    <m/>
    <m/>
    <m/>
    <x v="0"/>
    <x v="0"/>
    <x v="0"/>
    <x v="0"/>
    <x v="0"/>
    <x v="0"/>
    <x v="0"/>
    <x v="0"/>
    <x v="0"/>
    <x v="0"/>
    <x v="0"/>
    <x v="0"/>
    <x v="0"/>
    <x v="0"/>
    <x v="0"/>
    <x v="0"/>
    <x v="0"/>
    <x v="0"/>
    <x v="0"/>
    <x v="0"/>
    <x v="0"/>
  </r>
  <r>
    <s v="L4 - Evaluate Complete"/>
    <x v="4"/>
    <x v="131"/>
    <s v="Business with Tech, Local Enhancement, Lifecycle Management, Business Only"/>
    <m/>
    <s v="Demand Bundle"/>
    <x v="119"/>
    <m/>
    <m/>
    <s v="Required"/>
    <m/>
    <m/>
    <s v="0-Not Found"/>
    <x v="112"/>
    <s v="Ready to Close: Work Bundle Intent has been met?"/>
    <b v="0"/>
    <b v="1"/>
    <s v="Alt Structure"/>
    <s v="Single"/>
    <s v="Yes"/>
    <m/>
    <m/>
    <m/>
    <x v="0"/>
    <x v="0"/>
    <x v="0"/>
    <x v="0"/>
    <x v="0"/>
    <x v="0"/>
    <x v="0"/>
    <x v="0"/>
    <x v="0"/>
    <x v="0"/>
    <x v="0"/>
    <x v="0"/>
    <x v="0"/>
    <x v="0"/>
    <x v="0"/>
    <x v="0"/>
    <x v="0"/>
    <x v="0"/>
    <x v="0"/>
    <x v="0"/>
    <x v="0"/>
  </r>
  <r>
    <s v="L4 - Evaluate Complete"/>
    <x v="4"/>
    <x v="132"/>
    <s v="Business with Tech, Local Enhancement, Lifecycle Management, Business Only"/>
    <m/>
    <s v="Epic - TASK"/>
    <x v="120"/>
    <m/>
    <m/>
    <s v="Required"/>
    <s v="Wbs102"/>
    <m/>
    <s v="Ready to Close: Epic Intent has been met"/>
    <x v="108"/>
    <s v="Ready to Close: Epic Intent has been met?"/>
    <b v="0"/>
    <b v="1"/>
    <s v="Alt Structure"/>
    <s v="Single"/>
    <s v="Yes"/>
    <m/>
    <m/>
    <m/>
    <x v="0"/>
    <x v="0"/>
    <x v="0"/>
    <x v="0"/>
    <x v="0"/>
    <x v="0"/>
    <x v="0"/>
    <x v="0"/>
    <x v="0"/>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575181-812E-4FB5-824D-7F1FEE510AE0}" name="PivotTable2"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4:Y137" firstHeaderRow="1" firstDataRow="1" firstDataCol="25"/>
  <pivotFields count="44">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0"/>
        <item x="2"/>
        <item x="3"/>
        <item x="4"/>
        <item x="1"/>
      </items>
      <extLst>
        <ext xmlns:x14="http://schemas.microsoft.com/office/spreadsheetml/2009/9/main" uri="{2946ED86-A175-432a-8AC1-64E0C546D7DE}">
          <x14:pivotField fillDownLabels="1"/>
        </ext>
      </extLst>
    </pivotField>
    <pivotField axis="axisRow" compact="0" outline="0" subtotalTop="0" showAll="0" defaultSubtota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1">
        <item x="99"/>
        <item x="81"/>
        <item x="80"/>
        <item x="90"/>
        <item x="92"/>
        <item x="91"/>
        <item x="50"/>
        <item x="17"/>
        <item x="61"/>
        <item x="26"/>
        <item x="102"/>
        <item x="38"/>
        <item x="59"/>
        <item x="49"/>
        <item x="106"/>
        <item x="48"/>
        <item x="93"/>
        <item x="47"/>
        <item x="83"/>
        <item x="22"/>
        <item x="86"/>
        <item x="8"/>
        <item x="4"/>
        <item x="7"/>
        <item x="11"/>
        <item x="5"/>
        <item x="71"/>
        <item x="73"/>
        <item x="69"/>
        <item x="45"/>
        <item x="112"/>
        <item x="113"/>
        <item x="100"/>
        <item x="88"/>
        <item x="87"/>
        <item x="105"/>
        <item x="85"/>
        <item x="89"/>
        <item x="110"/>
        <item x="109"/>
        <item x="114"/>
        <item x="29"/>
        <item x="27"/>
        <item x="30"/>
        <item x="54"/>
        <item x="103"/>
        <item x="79"/>
        <item x="19"/>
        <item x="72"/>
        <item x="74"/>
        <item x="55"/>
        <item x="56"/>
        <item x="57"/>
        <item x="58"/>
        <item x="40"/>
        <item x="95"/>
        <item x="9"/>
        <item x="18"/>
        <item x="6"/>
        <item x="37"/>
        <item x="101"/>
        <item x="60"/>
        <item x="39"/>
        <item x="41"/>
        <item x="62"/>
        <item x="63"/>
        <item x="64"/>
        <item x="66"/>
        <item x="67"/>
        <item x="65"/>
        <item x="53"/>
        <item x="68"/>
        <item x="107"/>
        <item x="34"/>
        <item x="96"/>
        <item x="46"/>
        <item x="98"/>
        <item x="33"/>
        <item x="31"/>
        <item x="70"/>
        <item x="32"/>
        <item x="111"/>
        <item x="108"/>
        <item x="42"/>
        <item x="115"/>
        <item x="120"/>
        <item x="119"/>
        <item x="97"/>
        <item x="52"/>
        <item x="21"/>
        <item x="116"/>
        <item x="14"/>
        <item x="12"/>
        <item x="13"/>
        <item x="44"/>
        <item x="77"/>
        <item x="78"/>
        <item x="75"/>
        <item x="76"/>
        <item x="51"/>
        <item x="117"/>
        <item x="118"/>
        <item x="94"/>
        <item x="82"/>
        <item x="104"/>
        <item x="36"/>
        <item x="43"/>
        <item x="28"/>
        <item x="10"/>
        <item x="23"/>
        <item x="35"/>
        <item x="25"/>
        <item x="15"/>
        <item x="20"/>
        <item x="16"/>
        <item x="24"/>
        <item x="0"/>
        <item x="1"/>
        <item x="2"/>
        <item x="84"/>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13">
        <item x="45"/>
        <item x="48"/>
        <item x="49"/>
        <item x="47"/>
        <item x="44"/>
        <item x="46"/>
        <item x="88"/>
        <item x="87"/>
        <item x="78"/>
        <item x="77"/>
        <item x="1"/>
        <item x="26"/>
        <item x="85"/>
        <item x="86"/>
        <item x="58"/>
        <item x="27"/>
        <item x="23"/>
        <item x="96"/>
        <item x="106"/>
        <item x="94"/>
        <item x="99"/>
        <item x="103"/>
        <item x="84"/>
        <item x="30"/>
        <item x="100"/>
        <item x="90"/>
        <item x="21"/>
        <item x="95"/>
        <item x="64"/>
        <item x="66"/>
        <item x="111"/>
        <item x="17"/>
        <item x="16"/>
        <item x="19"/>
        <item x="91"/>
        <item x="43"/>
        <item x="51"/>
        <item x="109"/>
        <item x="15"/>
        <item x="25"/>
        <item x="73"/>
        <item x="75"/>
        <item x="98"/>
        <item x="60"/>
        <item x="61"/>
        <item x="62"/>
        <item x="65"/>
        <item x="63"/>
        <item x="24"/>
        <item x="93"/>
        <item x="2"/>
        <item x="82"/>
        <item x="89"/>
        <item x="0"/>
        <item x="53"/>
        <item x="55"/>
        <item x="54"/>
        <item x="56"/>
        <item x="31"/>
        <item x="32"/>
        <item x="59"/>
        <item x="57"/>
        <item x="28"/>
        <item x="83"/>
        <item x="108"/>
        <item x="74"/>
        <item x="101"/>
        <item x="102"/>
        <item x="107"/>
        <item x="72"/>
        <item x="67"/>
        <item x="11"/>
        <item x="12"/>
        <item x="4"/>
        <item x="8"/>
        <item x="9"/>
        <item x="10"/>
        <item x="13"/>
        <item x="14"/>
        <item x="18"/>
        <item x="20"/>
        <item x="5"/>
        <item x="33"/>
        <item x="34"/>
        <item x="52"/>
        <item x="110"/>
        <item x="37"/>
        <item x="38"/>
        <item x="39"/>
        <item x="42"/>
        <item x="50"/>
        <item x="105"/>
        <item x="112"/>
        <item x="104"/>
        <item x="35"/>
        <item x="81"/>
        <item x="3"/>
        <item x="79"/>
        <item x="69"/>
        <item x="71"/>
        <item x="6"/>
        <item x="97"/>
        <item x="68"/>
        <item x="70"/>
        <item x="41"/>
        <item x="92"/>
        <item x="22"/>
        <item x="29"/>
        <item x="76"/>
        <item x="36"/>
        <item x="40"/>
        <item x="80"/>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2">
        <item x="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 axis="axisRow" compact="0" outline="0" showAll="0" defaultSubtotal="0">
      <items count="1">
        <item n=" " x="0"/>
      </items>
      <extLst>
        <ext xmlns:x14="http://schemas.microsoft.com/office/spreadsheetml/2009/9/main" uri="{2946ED86-A175-432a-8AC1-64E0C546D7DE}">
          <x14:pivotField fillDownLabels="1"/>
        </ext>
      </extLst>
    </pivotField>
  </pivotFields>
  <rowFields count="25">
    <field x="1"/>
    <field x="2"/>
    <field x="13"/>
    <field x="6"/>
    <field x="23"/>
    <field x="24"/>
    <field x="25"/>
    <field x="26"/>
    <field x="27"/>
    <field x="28"/>
    <field x="29"/>
    <field x="30"/>
    <field x="31"/>
    <field x="32"/>
    <field x="33"/>
    <field x="34"/>
    <field x="35"/>
    <field x="36"/>
    <field x="37"/>
    <field x="38"/>
    <field x="39"/>
    <field x="40"/>
    <field x="41"/>
    <field x="42"/>
    <field x="43"/>
  </rowFields>
  <rowItems count="133">
    <i>
      <x/>
      <x/>
      <x v="53"/>
      <x v="116"/>
      <x v="1"/>
      <x v="1"/>
      <x v="1"/>
      <x v="1"/>
      <x/>
      <x/>
      <x/>
      <x/>
      <x/>
      <x/>
      <x/>
      <x/>
      <x/>
      <x/>
      <x/>
      <x/>
      <x/>
      <x/>
      <x/>
      <x/>
      <x/>
    </i>
    <i r="1">
      <x v="1"/>
      <x v="10"/>
      <x v="117"/>
      <x v="1"/>
      <x v="1"/>
      <x v="1"/>
      <x v="1"/>
      <x/>
      <x/>
      <x/>
      <x/>
      <x/>
      <x/>
      <x/>
      <x/>
      <x/>
      <x/>
      <x/>
      <x/>
      <x/>
      <x/>
      <x/>
      <x/>
      <x/>
    </i>
    <i r="1">
      <x v="2"/>
      <x v="50"/>
      <x v="118"/>
      <x v="1"/>
      <x v="1"/>
      <x v="1"/>
      <x v="1"/>
      <x/>
      <x/>
      <x/>
      <x/>
      <x/>
      <x/>
      <x/>
      <x/>
      <x/>
      <x/>
      <x/>
      <x/>
      <x/>
      <x/>
      <x/>
      <x/>
      <x/>
    </i>
    <i r="1">
      <x v="3"/>
      <x v="96"/>
      <x v="120"/>
      <x v="1"/>
      <x v="1"/>
      <x v="1"/>
      <x v="1"/>
      <x/>
      <x/>
      <x/>
      <x/>
      <x/>
      <x/>
      <x/>
      <x/>
      <x/>
      <x/>
      <x/>
      <x/>
      <x/>
      <x/>
      <x/>
      <x/>
      <x/>
    </i>
    <i r="1">
      <x v="4"/>
      <x v="73"/>
      <x v="22"/>
      <x v="1"/>
      <x v="1"/>
      <x v="1"/>
      <x v="1"/>
      <x/>
      <x/>
      <x/>
      <x/>
      <x/>
      <x/>
      <x/>
      <x/>
      <x/>
      <x/>
      <x/>
      <x/>
      <x/>
      <x/>
      <x/>
      <x/>
      <x/>
    </i>
    <i r="1">
      <x v="5"/>
      <x v="81"/>
      <x v="25"/>
      <x v="1"/>
      <x v="1"/>
      <x v="1"/>
      <x v="1"/>
      <x/>
      <x/>
      <x/>
      <x/>
      <x/>
      <x/>
      <x/>
      <x/>
      <x/>
      <x/>
      <x/>
      <x/>
      <x/>
      <x/>
      <x/>
      <x/>
      <x/>
    </i>
    <i r="1">
      <x v="6"/>
      <x v="100"/>
      <x v="58"/>
      <x v="1"/>
      <x v="1"/>
      <x v="1"/>
      <x v="1"/>
      <x/>
      <x/>
      <x/>
      <x/>
      <x/>
      <x/>
      <x/>
      <x/>
      <x/>
      <x/>
      <x/>
      <x/>
      <x/>
      <x/>
      <x/>
      <x/>
      <x/>
    </i>
    <i r="1">
      <x v="8"/>
      <x v="74"/>
      <x v="21"/>
      <x v="1"/>
      <x v="1"/>
      <x v="1"/>
      <x v="1"/>
      <x/>
      <x/>
      <x/>
      <x/>
      <x/>
      <x/>
      <x/>
      <x/>
      <x/>
      <x/>
      <x/>
      <x/>
      <x/>
      <x/>
      <x/>
      <x/>
      <x/>
    </i>
    <i r="1">
      <x v="9"/>
      <x v="75"/>
      <x v="56"/>
      <x v="1"/>
      <x v="1"/>
      <x v="1"/>
      <x v="1"/>
      <x/>
      <x/>
      <x/>
      <x/>
      <x/>
      <x/>
      <x/>
      <x/>
      <x/>
      <x/>
      <x/>
      <x/>
      <x/>
      <x/>
      <x/>
      <x/>
      <x/>
    </i>
    <i r="1">
      <x v="10"/>
      <x v="76"/>
      <x v="108"/>
      <x v="1"/>
      <x v="1"/>
      <x v="1"/>
      <x v="1"/>
      <x/>
      <x/>
      <x/>
      <x/>
      <x/>
      <x/>
      <x/>
      <x/>
      <x/>
      <x/>
      <x/>
      <x/>
      <x/>
      <x/>
      <x/>
      <x/>
      <x/>
    </i>
    <i r="1">
      <x v="11"/>
      <x v="71"/>
      <x v="24"/>
      <x v="1"/>
      <x v="1"/>
      <x v="1"/>
      <x v="1"/>
      <x/>
      <x/>
      <x/>
      <x/>
      <x/>
      <x/>
      <x/>
      <x/>
      <x/>
      <x/>
      <x/>
      <x/>
      <x/>
      <x/>
      <x/>
      <x/>
      <x/>
    </i>
    <i r="1">
      <x v="12"/>
      <x v="72"/>
      <x v="92"/>
      <x v="1"/>
      <x v="1"/>
      <x v="1"/>
      <x v="1"/>
      <x/>
      <x/>
      <x/>
      <x/>
      <x/>
      <x/>
      <x/>
      <x/>
      <x/>
      <x/>
      <x/>
      <x/>
      <x/>
      <x/>
      <x/>
      <x/>
      <x/>
    </i>
    <i r="1">
      <x v="13"/>
      <x v="77"/>
      <x v="93"/>
      <x v="1"/>
      <x v="1"/>
      <x v="1"/>
      <x v="1"/>
      <x/>
      <x/>
      <x/>
      <x/>
      <x/>
      <x/>
      <x/>
      <x/>
      <x/>
      <x/>
      <x/>
      <x/>
      <x/>
      <x/>
      <x/>
      <x/>
      <x/>
    </i>
    <i r="1">
      <x v="14"/>
      <x v="78"/>
      <x v="91"/>
      <x v="1"/>
      <x v="1"/>
      <x v="1"/>
      <x v="1"/>
      <x/>
      <x/>
      <x/>
      <x/>
      <x/>
      <x/>
      <x/>
      <x/>
      <x/>
      <x/>
      <x/>
      <x/>
      <x/>
      <x/>
      <x/>
      <x/>
      <x/>
    </i>
    <i r="1">
      <x v="15"/>
      <x v="38"/>
      <x v="112"/>
      <x v="1"/>
      <x v="1"/>
      <x v="1"/>
      <x v="1"/>
      <x/>
      <x/>
      <x/>
      <x/>
      <x/>
      <x/>
      <x/>
      <x/>
      <x/>
      <x/>
      <x/>
      <x/>
      <x/>
      <x/>
      <x/>
      <x/>
      <x/>
    </i>
    <i r="1">
      <x v="16"/>
      <x v="32"/>
      <x v="114"/>
      <x v="1"/>
      <x v="1"/>
      <x v="1"/>
      <x v="1"/>
      <x/>
      <x/>
      <x/>
      <x/>
      <x/>
      <x/>
      <x/>
      <x/>
      <x/>
      <x/>
      <x/>
      <x/>
      <x/>
      <x/>
      <x/>
      <x/>
      <x/>
    </i>
    <i r="1">
      <x v="17"/>
      <x v="31"/>
      <x v="7"/>
      <x v="1"/>
      <x v="1"/>
      <x v="1"/>
      <x v="1"/>
      <x/>
      <x/>
      <x/>
      <x/>
      <x/>
      <x/>
      <x/>
      <x/>
      <x/>
      <x/>
      <x/>
      <x/>
      <x/>
      <x/>
      <x/>
      <x/>
      <x/>
    </i>
    <i r="1">
      <x v="18"/>
      <x v="79"/>
      <x v="57"/>
      <x v="1"/>
      <x v="1"/>
      <x v="1"/>
      <x v="1"/>
      <x/>
      <x/>
      <x/>
      <x/>
      <x/>
      <x/>
      <x/>
      <x/>
      <x/>
      <x/>
      <x/>
      <x/>
      <x/>
      <x/>
      <x/>
      <x/>
      <x/>
    </i>
    <i r="1">
      <x v="19"/>
      <x v="33"/>
      <x v="47"/>
      <x v="1"/>
      <x v="1"/>
      <x v="1"/>
      <x v="1"/>
      <x/>
      <x/>
      <x/>
      <x/>
      <x/>
      <x/>
      <x/>
      <x/>
      <x/>
      <x/>
      <x/>
      <x/>
      <x/>
      <x/>
      <x/>
      <x/>
      <x/>
    </i>
    <i r="1">
      <x v="20"/>
      <x v="80"/>
      <x v="113"/>
      <x v="1"/>
      <x v="1"/>
      <x v="1"/>
      <x v="1"/>
      <x/>
      <x/>
      <x/>
      <x/>
      <x/>
      <x/>
      <x/>
      <x/>
      <x/>
      <x/>
      <x/>
      <x/>
      <x/>
      <x/>
      <x/>
      <x/>
      <x/>
    </i>
    <i r="1">
      <x v="21"/>
      <x v="26"/>
      <x v="89"/>
      <x v="1"/>
      <x v="1"/>
      <x v="1"/>
      <x v="1"/>
      <x/>
      <x/>
      <x/>
      <x/>
      <x/>
      <x/>
      <x/>
      <x/>
      <x/>
      <x/>
      <x/>
      <x/>
      <x/>
      <x/>
      <x/>
      <x/>
      <x/>
    </i>
    <i r="1">
      <x v="22"/>
      <x v="106"/>
      <x v="19"/>
      <x/>
      <x/>
      <x/>
      <x/>
      <x/>
      <x/>
      <x/>
      <x/>
      <x/>
      <x/>
      <x/>
      <x/>
      <x/>
      <x/>
      <x/>
      <x/>
      <x/>
      <x/>
      <x/>
      <x/>
      <x/>
    </i>
    <i r="1">
      <x v="23"/>
      <x v="16"/>
      <x v="109"/>
      <x v="1"/>
      <x v="1"/>
      <x v="1"/>
      <x v="1"/>
      <x/>
      <x/>
      <x/>
      <x/>
      <x/>
      <x/>
      <x/>
      <x/>
      <x/>
      <x/>
      <x/>
      <x/>
      <x/>
      <x/>
      <x/>
      <x/>
      <x/>
    </i>
    <i r="1">
      <x v="24"/>
      <x v="48"/>
      <x v="115"/>
      <x v="1"/>
      <x v="1"/>
      <x v="1"/>
      <x v="1"/>
      <x/>
      <x/>
      <x/>
      <x/>
      <x/>
      <x/>
      <x/>
      <x/>
      <x/>
      <x/>
      <x/>
      <x/>
      <x/>
      <x/>
      <x/>
      <x/>
      <x/>
    </i>
    <i r="1">
      <x v="25"/>
      <x v="39"/>
      <x v="111"/>
      <x v="1"/>
      <x v="1"/>
      <x v="1"/>
      <x v="1"/>
      <x/>
      <x/>
      <x/>
      <x/>
      <x/>
      <x/>
      <x/>
      <x/>
      <x/>
      <x/>
      <x/>
      <x/>
      <x/>
      <x/>
      <x/>
      <x/>
      <x/>
    </i>
    <i r="1">
      <x v="26"/>
      <x v="11"/>
      <x v="9"/>
      <x v="1"/>
      <x v="1"/>
      <x v="1"/>
      <x v="1"/>
      <x/>
      <x/>
      <x/>
      <x/>
      <x/>
      <x/>
      <x/>
      <x/>
      <x/>
      <x/>
      <x/>
      <x/>
      <x/>
      <x/>
      <x/>
      <x/>
      <x/>
    </i>
    <i r="1">
      <x v="27"/>
      <x v="15"/>
      <x v="42"/>
      <x v="1"/>
      <x v="1"/>
      <x v="1"/>
      <x v="1"/>
      <x/>
      <x/>
      <x/>
      <x/>
      <x/>
      <x/>
      <x/>
      <x/>
      <x/>
      <x/>
      <x/>
      <x/>
      <x/>
      <x/>
      <x/>
      <x/>
      <x/>
    </i>
    <i r="1">
      <x v="28"/>
      <x v="62"/>
      <x v="107"/>
      <x v="1"/>
      <x v="1"/>
      <x v="1"/>
      <x v="1"/>
      <x/>
      <x/>
      <x/>
      <x/>
      <x/>
      <x/>
      <x/>
      <x/>
      <x/>
      <x/>
      <x/>
      <x/>
      <x/>
      <x/>
      <x/>
      <x/>
      <x/>
    </i>
    <i r="1">
      <x v="32"/>
      <x v="59"/>
      <x v="80"/>
      <x v="1"/>
      <x v="1"/>
      <x v="1"/>
      <x v="1"/>
      <x/>
      <x/>
      <x/>
      <x/>
      <x/>
      <x/>
      <x/>
      <x/>
      <x/>
      <x/>
      <x/>
      <x/>
      <x/>
      <x/>
      <x/>
      <x/>
      <x/>
    </i>
    <i r="1">
      <x v="33"/>
      <x v="82"/>
      <x v="77"/>
      <x v="1"/>
      <x v="1"/>
      <x v="1"/>
      <x v="1"/>
      <x/>
      <x/>
      <x/>
      <x/>
      <x/>
      <x/>
      <x/>
      <x/>
      <x/>
      <x/>
      <x/>
      <x/>
      <x/>
      <x/>
      <x/>
      <x/>
      <x/>
    </i>
    <i r="1">
      <x v="34"/>
      <x v="83"/>
      <x v="73"/>
      <x v="1"/>
      <x v="1"/>
      <x v="1"/>
      <x v="1"/>
      <x/>
      <x/>
      <x/>
      <x/>
      <x/>
      <x/>
      <x/>
      <x/>
      <x/>
      <x/>
      <x/>
      <x/>
      <x/>
      <x/>
      <x/>
      <x/>
      <x/>
    </i>
    <i r="1">
      <x v="35"/>
      <x v="94"/>
      <x v="110"/>
      <x v="1"/>
      <x v="1"/>
      <x v="1"/>
      <x v="1"/>
      <x/>
      <x/>
      <x/>
      <x/>
      <x/>
      <x/>
      <x/>
      <x/>
      <x/>
      <x/>
      <x/>
      <x/>
      <x/>
      <x/>
      <x/>
      <x/>
      <x/>
    </i>
    <i r="1">
      <x v="36"/>
      <x v="109"/>
      <x v="105"/>
      <x v="1"/>
      <x v="1"/>
      <x v="1"/>
      <x v="1"/>
      <x/>
      <x/>
      <x/>
      <x/>
      <x/>
      <x/>
      <x/>
      <x/>
      <x/>
      <x/>
      <x/>
      <x/>
      <x/>
      <x/>
      <x/>
      <x/>
      <x/>
    </i>
    <i r="1">
      <x v="37"/>
      <x v="86"/>
      <x v="59"/>
      <x v="1"/>
      <x v="1"/>
      <x v="1"/>
      <x v="1"/>
      <x/>
      <x/>
      <x/>
      <x/>
      <x/>
      <x/>
      <x/>
      <x/>
      <x/>
      <x/>
      <x/>
      <x/>
      <x/>
      <x/>
      <x/>
      <x/>
      <x/>
    </i>
    <i r="1">
      <x v="38"/>
      <x v="87"/>
      <x v="11"/>
      <x v="1"/>
      <x v="1"/>
      <x v="1"/>
      <x v="1"/>
      <x/>
      <x/>
      <x/>
      <x/>
      <x/>
      <x/>
      <x/>
      <x/>
      <x/>
      <x/>
      <x/>
      <x/>
      <x/>
      <x/>
      <x/>
      <x/>
      <x/>
    </i>
    <i r="1">
      <x v="39"/>
      <x v="88"/>
      <x v="62"/>
      <x v="1"/>
      <x v="1"/>
      <x v="1"/>
      <x v="1"/>
      <x/>
      <x/>
      <x/>
      <x/>
      <x/>
      <x/>
      <x/>
      <x/>
      <x/>
      <x/>
      <x/>
      <x/>
      <x/>
      <x/>
      <x/>
      <x/>
      <x/>
    </i>
    <i r="1">
      <x v="40"/>
      <x v="110"/>
      <x v="54"/>
      <x v="1"/>
      <x v="1"/>
      <x v="1"/>
      <x v="1"/>
      <x/>
      <x/>
      <x/>
      <x/>
      <x/>
      <x/>
      <x/>
      <x/>
      <x/>
      <x/>
      <x/>
      <x/>
      <x/>
      <x/>
      <x/>
      <x/>
      <x/>
    </i>
    <i r="1">
      <x v="41"/>
      <x v="104"/>
      <x v="63"/>
      <x v="1"/>
      <x v="1"/>
      <x v="1"/>
      <x v="1"/>
      <x/>
      <x/>
      <x/>
      <x/>
      <x/>
      <x/>
      <x/>
      <x/>
      <x/>
      <x/>
      <x/>
      <x/>
      <x/>
      <x/>
      <x/>
      <x/>
      <x/>
    </i>
    <i r="1">
      <x v="42"/>
      <x v="89"/>
      <x v="83"/>
      <x v="1"/>
      <x v="1"/>
      <x v="1"/>
      <x v="1"/>
      <x/>
      <x/>
      <x/>
      <x/>
      <x/>
      <x/>
      <x/>
      <x/>
      <x/>
      <x/>
      <x/>
      <x/>
      <x/>
      <x/>
      <x/>
      <x/>
      <x/>
    </i>
    <i r="1">
      <x v="43"/>
      <x v="35"/>
      <x v="106"/>
      <x v="1"/>
      <x v="1"/>
      <x v="1"/>
      <x v="1"/>
      <x/>
      <x/>
      <x/>
      <x/>
      <x/>
      <x/>
      <x/>
      <x/>
      <x/>
      <x/>
      <x/>
      <x/>
      <x/>
      <x/>
      <x/>
      <x/>
      <x/>
    </i>
    <i r="1">
      <x v="44"/>
      <x v="112"/>
      <x v="94"/>
      <x v="1"/>
      <x v="1"/>
      <x v="1"/>
      <x v="1"/>
      <x/>
      <x/>
      <x/>
      <x/>
      <x/>
      <x/>
      <x/>
      <x/>
      <x/>
      <x/>
      <x/>
      <x/>
      <x/>
      <x/>
      <x/>
      <x/>
      <x/>
    </i>
    <i r="1">
      <x v="45"/>
      <x v="4"/>
      <x v="29"/>
      <x v="1"/>
      <x v="1"/>
      <x v="1"/>
      <x v="1"/>
      <x/>
      <x/>
      <x/>
      <x/>
      <x/>
      <x/>
      <x/>
      <x/>
      <x/>
      <x/>
      <x/>
      <x/>
      <x/>
      <x/>
      <x/>
      <x/>
      <x/>
    </i>
    <i r="1">
      <x v="46"/>
      <x/>
      <x v="75"/>
      <x v="1"/>
      <x v="1"/>
      <x v="1"/>
      <x v="1"/>
      <x/>
      <x/>
      <x/>
      <x/>
      <x/>
      <x/>
      <x/>
      <x/>
      <x/>
      <x/>
      <x/>
      <x/>
      <x/>
      <x/>
      <x/>
      <x/>
      <x/>
    </i>
    <i r="1">
      <x v="47"/>
      <x v="5"/>
      <x v="17"/>
      <x v="1"/>
      <x v="1"/>
      <x v="1"/>
      <x v="1"/>
      <x/>
      <x/>
      <x/>
      <x/>
      <x/>
      <x/>
      <x/>
      <x/>
      <x/>
      <x/>
      <x/>
      <x/>
      <x/>
      <x/>
      <x/>
      <x/>
      <x/>
    </i>
    <i r="1">
      <x v="48"/>
      <x v="3"/>
      <x v="15"/>
      <x v="1"/>
      <x v="1"/>
      <x v="1"/>
      <x v="1"/>
      <x/>
      <x/>
      <x/>
      <x/>
      <x/>
      <x/>
      <x/>
      <x/>
      <x/>
      <x/>
      <x/>
      <x/>
      <x/>
      <x/>
      <x/>
      <x/>
      <x/>
    </i>
    <i r="1">
      <x v="49"/>
      <x v="1"/>
      <x v="13"/>
      <x v="1"/>
      <x v="1"/>
      <x v="1"/>
      <x v="1"/>
      <x/>
      <x/>
      <x/>
      <x/>
      <x/>
      <x/>
      <x/>
      <x/>
      <x/>
      <x/>
      <x/>
      <x/>
      <x/>
      <x/>
      <x/>
      <x/>
      <x/>
    </i>
    <i r="1">
      <x v="50"/>
      <x v="2"/>
      <x v="6"/>
      <x v="1"/>
      <x v="1"/>
      <x v="1"/>
      <x v="1"/>
      <x/>
      <x/>
      <x/>
      <x/>
      <x/>
      <x/>
      <x/>
      <x/>
      <x/>
      <x/>
      <x/>
      <x/>
      <x/>
      <x/>
      <x/>
      <x/>
      <x/>
    </i>
    <i r="1">
      <x v="52"/>
      <x v="90"/>
      <x v="88"/>
      <x v="1"/>
      <x v="1"/>
      <x v="1"/>
      <x v="1"/>
      <x/>
      <x/>
      <x/>
      <x/>
      <x/>
      <x/>
      <x/>
      <x/>
      <x/>
      <x/>
      <x/>
      <x/>
      <x/>
      <x/>
      <x/>
      <x/>
      <x/>
    </i>
    <i r="1">
      <x v="53"/>
      <x v="36"/>
      <x v="70"/>
      <x v="1"/>
      <x v="1"/>
      <x v="1"/>
      <x v="1"/>
      <x/>
      <x/>
      <x/>
      <x/>
      <x/>
      <x/>
      <x/>
      <x/>
      <x/>
      <x/>
      <x/>
      <x/>
      <x/>
      <x/>
      <x/>
      <x/>
      <x/>
    </i>
    <i r="1">
      <x v="54"/>
      <x v="84"/>
      <x v="44"/>
      <x v="1"/>
      <x v="1"/>
      <x v="1"/>
      <x v="1"/>
      <x/>
      <x/>
      <x/>
      <x/>
      <x/>
      <x/>
      <x/>
      <x/>
      <x/>
      <x/>
      <x/>
      <x/>
      <x/>
      <x/>
      <x/>
      <x/>
      <x/>
    </i>
    <i>
      <x v="1"/>
      <x v="55"/>
      <x v="54"/>
      <x v="50"/>
      <x v="1"/>
      <x v="1"/>
      <x v="1"/>
      <x v="1"/>
      <x/>
      <x/>
      <x/>
      <x/>
      <x/>
      <x/>
      <x/>
      <x/>
      <x/>
      <x/>
      <x/>
      <x/>
      <x/>
      <x/>
      <x/>
      <x/>
      <x/>
    </i>
    <i r="1">
      <x v="56"/>
      <x v="56"/>
      <x v="51"/>
      <x v="1"/>
      <x v="1"/>
      <x v="1"/>
      <x v="1"/>
      <x/>
      <x/>
      <x/>
      <x/>
      <x/>
      <x/>
      <x/>
      <x/>
      <x/>
      <x/>
      <x/>
      <x/>
      <x/>
      <x/>
      <x/>
      <x/>
      <x/>
    </i>
    <i r="1">
      <x v="57"/>
      <x v="55"/>
      <x v="52"/>
      <x v="1"/>
      <x v="1"/>
      <x v="1"/>
      <x v="1"/>
      <x/>
      <x/>
      <x/>
      <x/>
      <x/>
      <x/>
      <x/>
      <x/>
      <x/>
      <x/>
      <x/>
      <x/>
      <x/>
      <x/>
      <x/>
      <x/>
      <x/>
    </i>
    <i r="1">
      <x v="58"/>
      <x v="57"/>
      <x v="53"/>
      <x v="1"/>
      <x v="1"/>
      <x v="1"/>
      <x v="1"/>
      <x/>
      <x/>
      <x/>
      <x/>
      <x/>
      <x/>
      <x/>
      <x/>
      <x/>
      <x/>
      <x/>
      <x/>
      <x/>
      <x/>
      <x/>
      <x/>
      <x/>
    </i>
    <i r="1">
      <x v="59"/>
      <x v="62"/>
      <x v="107"/>
      <x v="1"/>
      <x v="1"/>
      <x v="1"/>
      <x v="1"/>
      <x/>
      <x/>
      <x/>
      <x/>
      <x/>
      <x/>
      <x/>
      <x/>
      <x/>
      <x/>
      <x/>
      <x/>
      <x/>
      <x/>
      <x/>
      <x/>
      <x/>
    </i>
    <i r="1">
      <x v="60"/>
      <x v="61"/>
      <x v="12"/>
      <x v="1"/>
      <x v="1"/>
      <x v="1"/>
      <x v="1"/>
      <x/>
      <x/>
      <x/>
      <x/>
      <x/>
      <x/>
      <x/>
      <x/>
      <x/>
      <x/>
      <x/>
      <x/>
      <x/>
      <x/>
      <x/>
      <x/>
      <x/>
    </i>
    <i r="1">
      <x v="61"/>
      <x v="14"/>
      <x v="61"/>
      <x v="1"/>
      <x v="1"/>
      <x v="1"/>
      <x v="1"/>
      <x/>
      <x/>
      <x/>
      <x/>
      <x/>
      <x/>
      <x/>
      <x/>
      <x/>
      <x/>
      <x/>
      <x/>
      <x/>
      <x/>
      <x/>
      <x/>
      <x/>
    </i>
    <i r="1">
      <x v="62"/>
      <x v="60"/>
      <x v="8"/>
      <x v="1"/>
      <x v="1"/>
      <x v="1"/>
      <x v="1"/>
      <x/>
      <x/>
      <x/>
      <x/>
      <x/>
      <x/>
      <x/>
      <x/>
      <x/>
      <x/>
      <x/>
      <x/>
      <x/>
      <x/>
      <x/>
      <x/>
      <x/>
    </i>
    <i r="1">
      <x v="63"/>
      <x v="43"/>
      <x v="64"/>
      <x v="1"/>
      <x v="1"/>
      <x v="1"/>
      <x v="1"/>
      <x/>
      <x/>
      <x/>
      <x/>
      <x/>
      <x/>
      <x/>
      <x/>
      <x/>
      <x/>
      <x/>
      <x/>
      <x/>
      <x/>
      <x/>
      <x/>
      <x/>
    </i>
    <i r="1">
      <x v="64"/>
      <x v="44"/>
      <x v="65"/>
      <x v="1"/>
      <x v="1"/>
      <x v="1"/>
      <x v="1"/>
      <x/>
      <x/>
      <x/>
      <x/>
      <x/>
      <x/>
      <x/>
      <x/>
      <x/>
      <x/>
      <x/>
      <x/>
      <x/>
      <x/>
      <x/>
      <x/>
      <x/>
    </i>
    <i r="1">
      <x v="65"/>
      <x v="45"/>
      <x v="66"/>
      <x v="1"/>
      <x v="1"/>
      <x v="1"/>
      <x v="1"/>
      <x/>
      <x/>
      <x/>
      <x/>
      <x/>
      <x/>
      <x/>
      <x/>
      <x/>
      <x/>
      <x/>
      <x/>
      <x/>
      <x/>
      <x/>
      <x/>
      <x/>
    </i>
    <i r="1">
      <x v="66"/>
      <x v="47"/>
      <x v="69"/>
      <x v="1"/>
      <x v="1"/>
      <x v="1"/>
      <x v="1"/>
      <x/>
      <x/>
      <x/>
      <x/>
      <x/>
      <x/>
      <x/>
      <x/>
      <x/>
      <x/>
      <x/>
      <x/>
      <x/>
      <x/>
      <x/>
      <x/>
      <x/>
    </i>
    <i r="1">
      <x v="67"/>
      <x v="28"/>
      <x v="67"/>
      <x v="1"/>
      <x v="1"/>
      <x v="1"/>
      <x v="1"/>
      <x/>
      <x/>
      <x/>
      <x/>
      <x/>
      <x/>
      <x/>
      <x/>
      <x/>
      <x/>
      <x/>
      <x/>
      <x/>
      <x/>
      <x/>
      <x/>
      <x/>
    </i>
    <i r="1">
      <x v="68"/>
      <x v="46"/>
      <x v="68"/>
      <x v="1"/>
      <x v="1"/>
      <x v="1"/>
      <x v="1"/>
      <x/>
      <x/>
      <x/>
      <x/>
      <x/>
      <x/>
      <x/>
      <x/>
      <x/>
      <x/>
      <x/>
      <x/>
      <x/>
      <x/>
      <x/>
      <x/>
      <x/>
    </i>
    <i r="1">
      <x v="69"/>
      <x v="29"/>
      <x v="71"/>
      <x v="1"/>
      <x v="1"/>
      <x v="1"/>
      <x v="1"/>
      <x/>
      <x/>
      <x/>
      <x/>
      <x/>
      <x/>
      <x/>
      <x/>
      <x/>
      <x/>
      <x/>
      <x/>
      <x/>
      <x/>
      <x/>
      <x/>
      <x/>
    </i>
    <i r="1">
      <x v="70"/>
      <x v="70"/>
      <x v="28"/>
      <x v="1"/>
      <x v="1"/>
      <x v="1"/>
      <x v="1"/>
      <x/>
      <x/>
      <x/>
      <x/>
      <x/>
      <x/>
      <x/>
      <x/>
      <x/>
      <x/>
      <x/>
      <x/>
      <x/>
      <x/>
      <x/>
      <x/>
      <x/>
    </i>
    <i r="1">
      <x v="71"/>
      <x v="58"/>
      <x v="78"/>
      <x v="1"/>
      <x v="1"/>
      <x v="1"/>
      <x v="1"/>
      <x/>
      <x/>
      <x/>
      <x/>
      <x/>
      <x/>
      <x/>
      <x/>
      <x/>
      <x/>
      <x/>
      <x/>
      <x/>
      <x/>
      <x/>
      <x/>
      <x/>
    </i>
    <i r="1">
      <x v="72"/>
      <x v="59"/>
      <x v="79"/>
      <x v="1"/>
      <x v="1"/>
      <x v="1"/>
      <x v="1"/>
      <x/>
      <x/>
      <x/>
      <x/>
      <x/>
      <x/>
      <x/>
      <x/>
      <x/>
      <x/>
      <x/>
      <x/>
      <x/>
      <x/>
      <x/>
      <x/>
      <x/>
    </i>
    <i r="1">
      <x v="73"/>
      <x v="102"/>
      <x v="26"/>
      <x v="1"/>
      <x v="1"/>
      <x v="1"/>
      <x v="1"/>
      <x/>
      <x/>
      <x/>
      <x/>
      <x/>
      <x/>
      <x/>
      <x/>
      <x/>
      <x/>
      <x/>
      <x/>
      <x/>
      <x/>
      <x/>
      <x/>
      <x/>
    </i>
    <i r="1">
      <x v="74"/>
      <x v="98"/>
      <x v="48"/>
      <x v="1"/>
      <x v="1"/>
      <x v="1"/>
      <x v="1"/>
      <x/>
      <x/>
      <x/>
      <x/>
      <x/>
      <x/>
      <x/>
      <x/>
      <x/>
      <x/>
      <x/>
      <x/>
      <x/>
      <x/>
      <x/>
      <x/>
      <x/>
    </i>
    <i r="1">
      <x v="75"/>
      <x v="103"/>
      <x v="27"/>
      <x v="1"/>
      <x v="1"/>
      <x v="1"/>
      <x v="1"/>
      <x/>
      <x/>
      <x/>
      <x/>
      <x/>
      <x/>
      <x/>
      <x/>
      <x/>
      <x/>
      <x/>
      <x/>
      <x/>
      <x/>
      <x/>
      <x/>
      <x/>
    </i>
    <i r="1">
      <x v="76"/>
      <x v="99"/>
      <x v="49"/>
      <x v="1"/>
      <x v="1"/>
      <x v="1"/>
      <x v="1"/>
      <x/>
      <x/>
      <x/>
      <x/>
      <x/>
      <x/>
      <x/>
      <x/>
      <x/>
      <x/>
      <x/>
      <x/>
      <x/>
      <x/>
      <x/>
      <x/>
      <x/>
    </i>
    <i r="1">
      <x v="77"/>
      <x v="69"/>
      <x v="97"/>
      <x v="1"/>
      <x v="1"/>
      <x v="1"/>
      <x v="1"/>
      <x/>
      <x/>
      <x/>
      <x/>
      <x/>
      <x/>
      <x/>
      <x/>
      <x/>
      <x/>
      <x/>
      <x/>
      <x/>
      <x/>
      <x/>
      <x/>
      <x/>
    </i>
    <i r="1">
      <x v="78"/>
      <x v="40"/>
      <x v="98"/>
      <x v="1"/>
      <x v="1"/>
      <x v="1"/>
      <x v="1"/>
      <x/>
      <x/>
      <x/>
      <x/>
      <x/>
      <x/>
      <x/>
      <x/>
      <x/>
      <x/>
      <x/>
      <x/>
      <x/>
      <x/>
      <x/>
      <x/>
      <x/>
    </i>
    <i r="1">
      <x v="79"/>
      <x v="65"/>
      <x v="95"/>
      <x v="1"/>
      <x v="1"/>
      <x v="1"/>
      <x v="1"/>
      <x/>
      <x/>
      <x/>
      <x/>
      <x/>
      <x/>
      <x/>
      <x/>
      <x/>
      <x/>
      <x/>
      <x/>
      <x/>
      <x/>
      <x/>
      <x/>
      <x/>
    </i>
    <i r="1">
      <x v="80"/>
      <x v="41"/>
      <x v="96"/>
      <x v="1"/>
      <x v="1"/>
      <x v="1"/>
      <x v="1"/>
      <x/>
      <x/>
      <x/>
      <x/>
      <x/>
      <x/>
      <x/>
      <x/>
      <x/>
      <x/>
      <x/>
      <x/>
      <x/>
      <x/>
      <x/>
      <x/>
      <x/>
    </i>
    <i>
      <x v="2"/>
      <x v="81"/>
      <x v="108"/>
      <x v="46"/>
      <x v="1"/>
      <x v="1"/>
      <x v="1"/>
      <x v="1"/>
      <x/>
      <x/>
      <x/>
      <x/>
      <x/>
      <x/>
      <x/>
      <x/>
      <x/>
      <x/>
      <x/>
      <x/>
      <x/>
      <x/>
      <x/>
      <x/>
      <x/>
    </i>
    <i r="1">
      <x v="82"/>
      <x v="54"/>
      <x v="50"/>
      <x v="1"/>
      <x v="1"/>
      <x v="1"/>
      <x v="1"/>
      <x/>
      <x/>
      <x/>
      <x/>
      <x/>
      <x/>
      <x/>
      <x/>
      <x/>
      <x/>
      <x/>
      <x/>
      <x/>
      <x/>
      <x/>
      <x/>
      <x/>
    </i>
    <i r="1">
      <x v="83"/>
      <x v="56"/>
      <x v="51"/>
      <x v="1"/>
      <x v="1"/>
      <x v="1"/>
      <x v="1"/>
      <x/>
      <x/>
      <x/>
      <x/>
      <x/>
      <x/>
      <x/>
      <x/>
      <x/>
      <x/>
      <x/>
      <x/>
      <x/>
      <x/>
      <x/>
      <x/>
      <x/>
    </i>
    <i r="1">
      <x v="84"/>
      <x v="55"/>
      <x v="52"/>
      <x v="1"/>
      <x v="1"/>
      <x v="1"/>
      <x v="1"/>
      <x/>
      <x/>
      <x/>
      <x/>
      <x/>
      <x/>
      <x/>
      <x/>
      <x/>
      <x/>
      <x/>
      <x/>
      <x/>
      <x/>
      <x/>
      <x/>
      <x/>
    </i>
    <i r="1">
      <x v="85"/>
      <x v="57"/>
      <x v="53"/>
      <x v="1"/>
      <x v="1"/>
      <x v="1"/>
      <x v="1"/>
      <x/>
      <x/>
      <x/>
      <x/>
      <x/>
      <x/>
      <x/>
      <x/>
      <x/>
      <x/>
      <x/>
      <x/>
      <x/>
      <x/>
      <x/>
      <x/>
      <x/>
    </i>
    <i r="1">
      <x v="86"/>
      <x v="9"/>
      <x v="2"/>
      <x v="1"/>
      <x v="1"/>
      <x v="1"/>
      <x v="1"/>
      <x/>
      <x/>
      <x/>
      <x/>
      <x/>
      <x/>
      <x/>
      <x/>
      <x/>
      <x/>
      <x/>
      <x/>
      <x/>
      <x/>
      <x/>
      <x/>
      <x/>
    </i>
    <i r="1">
      <x v="87"/>
      <x v="8"/>
      <x v="1"/>
      <x v="1"/>
      <x v="1"/>
      <x v="1"/>
      <x v="1"/>
      <x/>
      <x/>
      <x/>
      <x/>
      <x/>
      <x/>
      <x/>
      <x/>
      <x/>
      <x/>
      <x/>
      <x/>
      <x/>
      <x/>
      <x/>
      <x/>
      <x/>
    </i>
    <i r="1">
      <x v="88"/>
      <x v="97"/>
      <x v="103"/>
      <x v="1"/>
      <x v="1"/>
      <x v="1"/>
      <x v="1"/>
      <x/>
      <x/>
      <x/>
      <x/>
      <x/>
      <x/>
      <x/>
      <x/>
      <x/>
      <x/>
      <x/>
      <x/>
      <x/>
      <x/>
      <x/>
      <x/>
      <x/>
    </i>
    <i r="1">
      <x v="89"/>
      <x v="96"/>
      <x v="120"/>
      <x v="1"/>
      <x v="1"/>
      <x v="1"/>
      <x v="1"/>
      <x/>
      <x/>
      <x/>
      <x/>
      <x/>
      <x/>
      <x/>
      <x/>
      <x/>
      <x/>
      <x/>
      <x/>
      <x/>
      <x/>
      <x/>
      <x/>
      <x/>
    </i>
    <i r="1">
      <x v="90"/>
      <x v="111"/>
      <x v="18"/>
      <x v="1"/>
      <x v="1"/>
      <x v="1"/>
      <x v="1"/>
      <x/>
      <x/>
      <x/>
      <x/>
      <x/>
      <x/>
      <x/>
      <x/>
      <x/>
      <x/>
      <x/>
      <x/>
      <x/>
      <x/>
      <x/>
      <x/>
      <x/>
    </i>
    <i r="1">
      <x v="91"/>
      <x v="95"/>
      <x v="119"/>
      <x v="1"/>
      <x v="1"/>
      <x v="1"/>
      <x v="1"/>
      <x/>
      <x/>
      <x/>
      <x/>
      <x/>
      <x/>
      <x/>
      <x/>
      <x/>
      <x/>
      <x/>
      <x/>
      <x/>
      <x/>
      <x/>
      <x/>
      <x/>
    </i>
    <i r="1">
      <x v="92"/>
      <x v="95"/>
      <x v="36"/>
      <x v="1"/>
      <x v="1"/>
      <x v="1"/>
      <x v="1"/>
      <x/>
      <x/>
      <x/>
      <x/>
      <x/>
      <x/>
      <x/>
      <x/>
      <x/>
      <x/>
      <x/>
      <x/>
      <x/>
      <x/>
      <x/>
      <x/>
      <x/>
    </i>
    <i r="1">
      <x v="93"/>
      <x v="51"/>
      <x v="20"/>
      <x v="1"/>
      <x v="1"/>
      <x v="1"/>
      <x v="1"/>
      <x/>
      <x/>
      <x/>
      <x/>
      <x/>
      <x/>
      <x/>
      <x/>
      <x/>
      <x/>
      <x/>
      <x/>
      <x/>
      <x/>
      <x/>
      <x/>
      <x/>
    </i>
    <i r="1">
      <x v="94"/>
      <x v="63"/>
      <x v="34"/>
      <x v="1"/>
      <x v="1"/>
      <x v="1"/>
      <x v="1"/>
      <x/>
      <x/>
      <x/>
      <x/>
      <x/>
      <x/>
      <x/>
      <x/>
      <x/>
      <x/>
      <x/>
      <x/>
      <x/>
      <x/>
      <x/>
      <x/>
      <x/>
    </i>
    <i r="1">
      <x v="95"/>
      <x v="51"/>
      <x v="33"/>
      <x v="1"/>
      <x v="1"/>
      <x v="1"/>
      <x v="1"/>
      <x/>
      <x/>
      <x/>
      <x/>
      <x/>
      <x/>
      <x/>
      <x/>
      <x/>
      <x/>
      <x/>
      <x/>
      <x/>
      <x/>
      <x/>
      <x/>
      <x/>
    </i>
    <i r="1">
      <x v="96"/>
      <x v="62"/>
      <x v="107"/>
      <x v="1"/>
      <x v="1"/>
      <x v="1"/>
      <x v="1"/>
      <x/>
      <x/>
      <x/>
      <x/>
      <x/>
      <x/>
      <x/>
      <x/>
      <x/>
      <x/>
      <x/>
      <x/>
      <x/>
      <x/>
      <x/>
      <x/>
      <x/>
    </i>
    <i r="1">
      <x v="97"/>
      <x v="62"/>
      <x v="107"/>
      <x v="1"/>
      <x v="1"/>
      <x v="1"/>
      <x v="1"/>
      <x/>
      <x/>
      <x/>
      <x/>
      <x/>
      <x/>
      <x/>
      <x/>
      <x/>
      <x/>
      <x/>
      <x/>
      <x/>
      <x/>
      <x/>
      <x/>
      <x/>
    </i>
    <i r="1">
      <x v="98"/>
      <x v="22"/>
      <x v="37"/>
      <x v="1"/>
      <x v="1"/>
      <x v="1"/>
      <x v="1"/>
      <x/>
      <x/>
      <x/>
      <x/>
      <x/>
      <x/>
      <x/>
      <x/>
      <x/>
      <x/>
      <x/>
      <x/>
      <x/>
      <x/>
      <x/>
      <x/>
      <x/>
    </i>
    <i r="1">
      <x v="99"/>
      <x v="12"/>
      <x v="3"/>
      <x v="1"/>
      <x v="1"/>
      <x v="1"/>
      <x v="1"/>
      <x/>
      <x/>
      <x/>
      <x/>
      <x/>
      <x/>
      <x/>
      <x/>
      <x/>
      <x/>
      <x/>
      <x/>
      <x/>
      <x/>
      <x/>
      <x/>
      <x/>
    </i>
    <i r="1">
      <x v="100"/>
      <x v="13"/>
      <x v="5"/>
      <x v="1"/>
      <x v="1"/>
      <x v="1"/>
      <x v="1"/>
      <x/>
      <x/>
      <x/>
      <x/>
      <x/>
      <x/>
      <x/>
      <x/>
      <x/>
      <x/>
      <x/>
      <x/>
      <x/>
      <x/>
      <x/>
      <x/>
      <x/>
    </i>
    <i r="1">
      <x v="101"/>
      <x v="7"/>
      <x v="4"/>
      <x v="1"/>
      <x v="1"/>
      <x v="1"/>
      <x v="1"/>
      <x/>
      <x/>
      <x/>
      <x/>
      <x/>
      <x/>
      <x/>
      <x/>
      <x/>
      <x/>
      <x/>
      <x/>
      <x/>
      <x/>
      <x/>
      <x/>
      <x/>
    </i>
    <i r="1">
      <x v="102"/>
      <x v="6"/>
      <x v="16"/>
      <x v="1"/>
      <x v="1"/>
      <x v="1"/>
      <x v="1"/>
      <x/>
      <x/>
      <x/>
      <x/>
      <x/>
      <x/>
      <x/>
      <x/>
      <x/>
      <x/>
      <x/>
      <x/>
      <x/>
      <x/>
      <x/>
      <x/>
      <x/>
    </i>
    <i r="1">
      <x v="103"/>
      <x v="52"/>
      <x v="102"/>
      <x v="1"/>
      <x v="1"/>
      <x v="1"/>
      <x v="1"/>
      <x/>
      <x/>
      <x/>
      <x/>
      <x/>
      <x/>
      <x/>
      <x/>
      <x/>
      <x/>
      <x/>
      <x/>
      <x/>
      <x/>
      <x/>
      <x/>
      <x/>
    </i>
    <i r="1">
      <x v="104"/>
      <x v="25"/>
      <x v="55"/>
      <x v="1"/>
      <x v="1"/>
      <x v="1"/>
      <x v="1"/>
      <x/>
      <x/>
      <x/>
      <x/>
      <x/>
      <x/>
      <x/>
      <x/>
      <x/>
      <x/>
      <x/>
      <x/>
      <x/>
      <x/>
      <x/>
      <x/>
      <x/>
    </i>
    <i r="1">
      <x v="105"/>
      <x v="34"/>
      <x v="74"/>
      <x v="1"/>
      <x v="1"/>
      <x v="1"/>
      <x v="1"/>
      <x/>
      <x/>
      <x/>
      <x/>
      <x/>
      <x/>
      <x/>
      <x/>
      <x/>
      <x/>
      <x/>
      <x/>
      <x/>
      <x/>
      <x/>
      <x/>
      <x/>
    </i>
    <i r="1">
      <x v="106"/>
      <x v="105"/>
      <x v="87"/>
      <x v="1"/>
      <x v="1"/>
      <x v="1"/>
      <x v="1"/>
      <x/>
      <x/>
      <x/>
      <x/>
      <x/>
      <x/>
      <x/>
      <x/>
      <x/>
      <x/>
      <x/>
      <x/>
      <x/>
      <x/>
      <x/>
      <x/>
      <x/>
    </i>
    <i r="1">
      <x v="107"/>
      <x v="49"/>
      <x v="76"/>
      <x v="1"/>
      <x v="1"/>
      <x v="1"/>
      <x v="1"/>
      <x/>
      <x/>
      <x/>
      <x/>
      <x/>
      <x/>
      <x/>
      <x/>
      <x/>
      <x/>
      <x/>
      <x/>
      <x/>
      <x/>
      <x/>
      <x/>
      <x/>
    </i>
    <i r="1">
      <x v="108"/>
      <x v="11"/>
      <x/>
      <x v="1"/>
      <x v="1"/>
      <x v="1"/>
      <x v="1"/>
      <x/>
      <x/>
      <x/>
      <x/>
      <x/>
      <x/>
      <x/>
      <x/>
      <x/>
      <x/>
      <x/>
      <x/>
      <x/>
      <x/>
      <x/>
      <x/>
      <x/>
    </i>
    <i r="1">
      <x v="109"/>
      <x v="19"/>
      <x v="32"/>
      <x v="1"/>
      <x v="1"/>
      <x v="1"/>
      <x v="1"/>
      <x/>
      <x/>
      <x/>
      <x/>
      <x/>
      <x/>
      <x/>
      <x/>
      <x/>
      <x/>
      <x/>
      <x/>
      <x/>
      <x/>
      <x/>
      <x/>
      <x/>
    </i>
    <i r="1">
      <x v="110"/>
      <x v="19"/>
      <x v="32"/>
      <x v="1"/>
      <x v="1"/>
      <x v="1"/>
      <x v="1"/>
      <x/>
      <x/>
      <x/>
      <x/>
      <x/>
      <x/>
      <x/>
      <x/>
      <x/>
      <x/>
      <x/>
      <x/>
      <x/>
      <x/>
      <x/>
      <x/>
      <x/>
    </i>
    <i r="1">
      <x v="111"/>
      <x v="27"/>
      <x v="60"/>
      <x v="1"/>
      <x v="1"/>
      <x v="1"/>
      <x v="1"/>
      <x/>
      <x/>
      <x/>
      <x/>
      <x/>
      <x/>
      <x/>
      <x/>
      <x/>
      <x/>
      <x/>
      <x/>
      <x/>
      <x/>
      <x/>
      <x/>
      <x/>
    </i>
    <i r="1">
      <x v="112"/>
      <x v="17"/>
      <x v="10"/>
      <x v="1"/>
      <x v="1"/>
      <x v="1"/>
      <x v="1"/>
      <x/>
      <x/>
      <x/>
      <x/>
      <x/>
      <x/>
      <x/>
      <x/>
      <x/>
      <x/>
      <x/>
      <x/>
      <x/>
      <x/>
      <x/>
      <x/>
      <x/>
    </i>
    <i r="1">
      <x v="113"/>
      <x v="15"/>
      <x v="42"/>
      <x v="1"/>
      <x v="1"/>
      <x v="1"/>
      <x v="1"/>
      <x/>
      <x/>
      <x/>
      <x/>
      <x/>
      <x/>
      <x/>
      <x/>
      <x/>
      <x/>
      <x/>
      <x/>
      <x/>
      <x/>
      <x/>
      <x/>
      <x/>
    </i>
    <i r="1">
      <x v="114"/>
      <x v="101"/>
      <x v="45"/>
      <x v="1"/>
      <x v="1"/>
      <x v="1"/>
      <x v="1"/>
      <x/>
      <x/>
      <x/>
      <x/>
      <x/>
      <x/>
      <x/>
      <x/>
      <x/>
      <x/>
      <x/>
      <x/>
      <x/>
      <x/>
      <x/>
      <x/>
      <x/>
    </i>
    <i r="1">
      <x v="115"/>
      <x v="42"/>
      <x v="104"/>
      <x v="1"/>
      <x v="1"/>
      <x v="1"/>
      <x v="1"/>
      <x/>
      <x/>
      <x/>
      <x/>
      <x/>
      <x/>
      <x/>
      <x/>
      <x/>
      <x/>
      <x/>
      <x/>
      <x/>
      <x/>
      <x/>
      <x/>
      <x/>
    </i>
    <i r="1">
      <x v="116"/>
      <x v="22"/>
      <x v="35"/>
      <x v="1"/>
      <x v="1"/>
      <x v="1"/>
      <x v="1"/>
      <x/>
      <x/>
      <x/>
      <x/>
      <x/>
      <x/>
      <x/>
      <x/>
      <x/>
      <x/>
      <x/>
      <x/>
      <x/>
      <x/>
      <x/>
      <x/>
      <x/>
    </i>
    <i r="1">
      <x v="117"/>
      <x v="20"/>
      <x v="14"/>
      <x v="1"/>
      <x v="1"/>
      <x v="1"/>
      <x v="1"/>
      <x/>
      <x/>
      <x/>
      <x/>
      <x/>
      <x/>
      <x/>
      <x/>
      <x/>
      <x/>
      <x/>
      <x/>
      <x/>
      <x/>
      <x/>
      <x/>
      <x/>
    </i>
    <i r="1">
      <x v="118"/>
      <x v="24"/>
      <x v="72"/>
      <x v="1"/>
      <x v="1"/>
      <x v="1"/>
      <x v="1"/>
      <x/>
      <x/>
      <x/>
      <x/>
      <x/>
      <x/>
      <x/>
      <x/>
      <x/>
      <x/>
      <x/>
      <x/>
      <x/>
      <x/>
      <x/>
      <x/>
      <x/>
    </i>
    <i r="1">
      <x v="119"/>
      <x v="24"/>
      <x v="72"/>
      <x v="1"/>
      <x v="1"/>
      <x v="1"/>
      <x v="1"/>
      <x/>
      <x/>
      <x/>
      <x/>
      <x/>
      <x/>
      <x/>
      <x/>
      <x/>
      <x/>
      <x/>
      <x/>
      <x/>
      <x/>
      <x/>
      <x/>
      <x/>
    </i>
    <i r="1">
      <x v="120"/>
      <x v="66"/>
      <x v="82"/>
      <x v="1"/>
      <x v="1"/>
      <x v="1"/>
      <x v="1"/>
      <x/>
      <x/>
      <x/>
      <x/>
      <x/>
      <x/>
      <x/>
      <x/>
      <x/>
      <x/>
      <x/>
      <x/>
      <x/>
      <x/>
      <x/>
      <x/>
      <x/>
    </i>
    <i r="1">
      <x v="121"/>
      <x v="67"/>
      <x v="39"/>
      <x v="1"/>
      <x v="1"/>
      <x v="1"/>
      <x v="1"/>
      <x/>
      <x/>
      <x/>
      <x/>
      <x/>
      <x/>
      <x/>
      <x/>
      <x/>
      <x/>
      <x/>
      <x/>
      <x/>
      <x/>
      <x/>
      <x/>
      <x/>
    </i>
    <i r="1">
      <x v="122"/>
      <x v="21"/>
      <x v="38"/>
      <x v="1"/>
      <x v="1"/>
      <x v="1"/>
      <x v="1"/>
      <x/>
      <x/>
      <x/>
      <x/>
      <x/>
      <x/>
      <x/>
      <x/>
      <x/>
      <x/>
      <x/>
      <x/>
      <x/>
      <x/>
      <x/>
      <x/>
      <x/>
    </i>
    <i r="1">
      <x v="123"/>
      <x v="93"/>
      <x v="81"/>
      <x v="1"/>
      <x v="1"/>
      <x v="1"/>
      <x v="1"/>
      <x/>
      <x/>
      <x/>
      <x/>
      <x/>
      <x/>
      <x/>
      <x/>
      <x/>
      <x/>
      <x/>
      <x/>
      <x/>
      <x/>
      <x/>
      <x/>
      <x/>
    </i>
    <i r="1">
      <x v="124"/>
      <x v="91"/>
      <x v="30"/>
      <x v="1"/>
      <x v="1"/>
      <x v="1"/>
      <x v="1"/>
      <x/>
      <x/>
      <x/>
      <x/>
      <x/>
      <x/>
      <x/>
      <x/>
      <x/>
      <x/>
      <x/>
      <x/>
      <x/>
      <x/>
      <x/>
      <x/>
      <x/>
    </i>
    <i r="1">
      <x v="125"/>
      <x v="18"/>
      <x v="31"/>
      <x v="1"/>
      <x v="1"/>
      <x v="1"/>
      <x v="1"/>
      <x/>
      <x/>
      <x/>
      <x/>
      <x/>
      <x/>
      <x/>
      <x/>
      <x/>
      <x/>
      <x/>
      <x/>
      <x/>
      <x/>
      <x/>
      <x/>
      <x/>
    </i>
    <i r="1">
      <x v="126"/>
      <x v="68"/>
      <x v="40"/>
      <x v="1"/>
      <x v="1"/>
      <x v="1"/>
      <x v="1"/>
      <x/>
      <x/>
      <x/>
      <x/>
      <x/>
      <x/>
      <x/>
      <x/>
      <x/>
      <x/>
      <x/>
      <x/>
      <x/>
      <x/>
      <x/>
      <x/>
      <x/>
    </i>
    <i r="1">
      <x v="127"/>
      <x v="64"/>
      <x v="84"/>
      <x v="1"/>
      <x v="1"/>
      <x v="1"/>
      <x v="1"/>
      <x/>
      <x/>
      <x/>
      <x/>
      <x/>
      <x/>
      <x/>
      <x/>
      <x/>
      <x/>
      <x/>
      <x/>
      <x/>
      <x/>
      <x/>
      <x/>
      <x/>
    </i>
    <i r="1">
      <x v="128"/>
      <x v="37"/>
      <x v="90"/>
      <x v="1"/>
      <x v="1"/>
      <x v="1"/>
      <x v="1"/>
      <x/>
      <x/>
      <x/>
      <x/>
      <x/>
      <x/>
      <x/>
      <x/>
      <x/>
      <x/>
      <x/>
      <x/>
      <x/>
      <x/>
      <x/>
      <x/>
      <x/>
    </i>
    <i>
      <x v="3"/>
      <x v="129"/>
      <x v="85"/>
      <x v="100"/>
      <x v="1"/>
      <x v="1"/>
      <x v="1"/>
      <x v="1"/>
      <x/>
      <x/>
      <x/>
      <x/>
      <x/>
      <x/>
      <x/>
      <x/>
      <x/>
      <x/>
      <x/>
      <x/>
      <x/>
      <x/>
      <x/>
      <x/>
      <x/>
    </i>
    <i r="1">
      <x v="130"/>
      <x v="30"/>
      <x v="101"/>
      <x v="1"/>
      <x v="1"/>
      <x v="1"/>
      <x v="1"/>
      <x/>
      <x/>
      <x/>
      <x/>
      <x/>
      <x/>
      <x/>
      <x/>
      <x/>
      <x/>
      <x/>
      <x/>
      <x/>
      <x/>
      <x/>
      <x/>
      <x/>
    </i>
    <i r="1">
      <x v="131"/>
      <x v="92"/>
      <x v="86"/>
      <x v="1"/>
      <x v="1"/>
      <x v="1"/>
      <x v="1"/>
      <x/>
      <x/>
      <x/>
      <x/>
      <x/>
      <x/>
      <x/>
      <x/>
      <x/>
      <x/>
      <x/>
      <x/>
      <x/>
      <x/>
      <x/>
      <x/>
      <x/>
    </i>
    <i r="1">
      <x v="132"/>
      <x v="64"/>
      <x v="85"/>
      <x v="1"/>
      <x v="1"/>
      <x v="1"/>
      <x v="1"/>
      <x/>
      <x/>
      <x/>
      <x/>
      <x/>
      <x/>
      <x/>
      <x/>
      <x/>
      <x/>
      <x/>
      <x/>
      <x/>
      <x/>
      <x/>
      <x/>
      <x/>
    </i>
    <i>
      <x v="4"/>
      <x v="7"/>
      <x v="112"/>
      <x v="23"/>
      <x v="1"/>
      <x v="1"/>
      <x v="1"/>
      <x v="1"/>
      <x/>
      <x/>
      <x/>
      <x/>
      <x/>
      <x/>
      <x/>
      <x/>
      <x/>
      <x/>
      <x/>
      <x/>
      <x/>
      <x/>
      <x/>
      <x/>
      <x/>
    </i>
    <i r="1">
      <x v="29"/>
      <x v="107"/>
      <x v="41"/>
      <x v="1"/>
      <x v="1"/>
      <x v="1"/>
      <x v="1"/>
      <x/>
      <x/>
      <x/>
      <x/>
      <x/>
      <x/>
      <x/>
      <x/>
      <x/>
      <x/>
      <x/>
      <x/>
      <x/>
      <x/>
      <x/>
      <x/>
      <x/>
    </i>
    <i r="1">
      <x v="30"/>
      <x v="23"/>
      <x v="43"/>
      <x v="1"/>
      <x v="1"/>
      <x v="1"/>
      <x v="1"/>
      <x/>
      <x/>
      <x/>
      <x/>
      <x/>
      <x/>
      <x/>
      <x/>
      <x/>
      <x/>
      <x/>
      <x/>
      <x/>
      <x/>
      <x/>
      <x/>
      <x/>
    </i>
    <i r="1">
      <x v="31"/>
      <x v="58"/>
      <x v="78"/>
      <x v="1"/>
      <x v="1"/>
      <x v="1"/>
      <x v="1"/>
      <x/>
      <x/>
      <x/>
      <x/>
      <x/>
      <x/>
      <x/>
      <x/>
      <x/>
      <x/>
      <x/>
      <x/>
      <x/>
      <x/>
      <x/>
      <x/>
      <x/>
    </i>
    <i r="1">
      <x v="51"/>
      <x v="112"/>
      <x v="99"/>
      <x v="1"/>
      <x v="1"/>
      <x v="1"/>
      <x v="1"/>
      <x/>
      <x/>
      <x/>
      <x/>
      <x/>
      <x/>
      <x/>
      <x/>
      <x/>
      <x/>
      <x/>
      <x/>
      <x/>
      <x/>
      <x/>
      <x/>
      <x/>
    </i>
  </rowItems>
  <colItems count="1">
    <i/>
  </colItems>
  <formats count="942">
    <format dxfId="1139">
      <pivotArea type="all" dataOnly="0" outline="0" fieldPosition="0"/>
    </format>
    <format dxfId="1138">
      <pivotArea field="1" type="button" dataOnly="0" labelOnly="1" outline="0" axis="axisRow" fieldPosition="0"/>
    </format>
    <format dxfId="1137">
      <pivotArea field="2" type="button" dataOnly="0" labelOnly="1" outline="0" axis="axisRow" fieldPosition="1"/>
    </format>
    <format dxfId="1136">
      <pivotArea field="13" type="button" dataOnly="0" labelOnly="1" outline="0" axis="axisRow" fieldPosition="2"/>
    </format>
    <format dxfId="1135">
      <pivotArea field="6" type="button" dataOnly="0" labelOnly="1" outline="0" axis="axisRow" fieldPosition="3"/>
    </format>
    <format dxfId="1134">
      <pivotArea field="23" type="button" dataOnly="0" labelOnly="1" outline="0" axis="axisRow" fieldPosition="4"/>
    </format>
    <format dxfId="1133">
      <pivotArea field="24" type="button" dataOnly="0" labelOnly="1" outline="0" axis="axisRow" fieldPosition="5"/>
    </format>
    <format dxfId="1132">
      <pivotArea field="25" type="button" dataOnly="0" labelOnly="1" outline="0" axis="axisRow" fieldPosition="6"/>
    </format>
    <format dxfId="1131">
      <pivotArea field="26" type="button" dataOnly="0" labelOnly="1" outline="0" axis="axisRow" fieldPosition="7"/>
    </format>
    <format dxfId="1130">
      <pivotArea field="27" type="button" dataOnly="0" labelOnly="1" outline="0" axis="axisRow" fieldPosition="8"/>
    </format>
    <format dxfId="1129">
      <pivotArea field="28" type="button" dataOnly="0" labelOnly="1" outline="0" axis="axisRow" fieldPosition="9"/>
    </format>
    <format dxfId="1128">
      <pivotArea field="29" type="button" dataOnly="0" labelOnly="1" outline="0" axis="axisRow" fieldPosition="10"/>
    </format>
    <format dxfId="1127">
      <pivotArea field="30" type="button" dataOnly="0" labelOnly="1" outline="0" axis="axisRow" fieldPosition="11"/>
    </format>
    <format dxfId="1126">
      <pivotArea field="31" type="button" dataOnly="0" labelOnly="1" outline="0" axis="axisRow" fieldPosition="12"/>
    </format>
    <format dxfId="1125">
      <pivotArea field="32" type="button" dataOnly="0" labelOnly="1" outline="0" axis="axisRow" fieldPosition="13"/>
    </format>
    <format dxfId="1124">
      <pivotArea field="33" type="button" dataOnly="0" labelOnly="1" outline="0" axis="axisRow" fieldPosition="14"/>
    </format>
    <format dxfId="1123">
      <pivotArea field="34" type="button" dataOnly="0" labelOnly="1" outline="0" axis="axisRow" fieldPosition="15"/>
    </format>
    <format dxfId="1122">
      <pivotArea field="35" type="button" dataOnly="0" labelOnly="1" outline="0" axis="axisRow" fieldPosition="16"/>
    </format>
    <format dxfId="1121">
      <pivotArea field="36" type="button" dataOnly="0" labelOnly="1" outline="0" axis="axisRow" fieldPosition="17"/>
    </format>
    <format dxfId="1120">
      <pivotArea field="37" type="button" dataOnly="0" labelOnly="1" outline="0" axis="axisRow" fieldPosition="18"/>
    </format>
    <format dxfId="1119">
      <pivotArea field="38" type="button" dataOnly="0" labelOnly="1" outline="0" axis="axisRow" fieldPosition="19"/>
    </format>
    <format dxfId="1118">
      <pivotArea field="39" type="button" dataOnly="0" labelOnly="1" outline="0" axis="axisRow" fieldPosition="20"/>
    </format>
    <format dxfId="1117">
      <pivotArea field="40" type="button" dataOnly="0" labelOnly="1" outline="0" axis="axisRow" fieldPosition="21"/>
    </format>
    <format dxfId="1116">
      <pivotArea field="41" type="button" dataOnly="0" labelOnly="1" outline="0" axis="axisRow" fieldPosition="22"/>
    </format>
    <format dxfId="1115">
      <pivotArea field="42" type="button" dataOnly="0" labelOnly="1" outline="0" axis="axisRow" fieldPosition="23"/>
    </format>
    <format dxfId="1114">
      <pivotArea field="43" type="button" dataOnly="0" labelOnly="1" outline="0" axis="axisRow" fieldPosition="24"/>
    </format>
    <format dxfId="1113">
      <pivotArea dataOnly="0" labelOnly="1" outline="0" fieldPosition="0">
        <references count="1">
          <reference field="1" count="0"/>
        </references>
      </pivotArea>
    </format>
    <format dxfId="1112">
      <pivotArea dataOnly="0" labelOnly="1" outline="0" fieldPosition="0">
        <references count="2">
          <reference field="1" count="1" selected="0">
            <x v="0"/>
          </reference>
          <reference field="2" count="50">
            <x v="0"/>
            <x v="1"/>
            <x v="2"/>
            <x v="3"/>
            <x v="4"/>
            <x v="5"/>
            <x v="6"/>
            <x v="8"/>
            <x v="9"/>
            <x v="10"/>
            <x v="11"/>
            <x v="12"/>
            <x v="13"/>
            <x v="14"/>
            <x v="15"/>
            <x v="16"/>
            <x v="17"/>
            <x v="18"/>
            <x v="19"/>
            <x v="20"/>
            <x v="21"/>
            <x v="22"/>
            <x v="23"/>
            <x v="24"/>
            <x v="25"/>
            <x v="26"/>
            <x v="27"/>
            <x v="28"/>
            <x v="32"/>
            <x v="33"/>
            <x v="34"/>
            <x v="35"/>
            <x v="36"/>
            <x v="37"/>
            <x v="38"/>
            <x v="39"/>
            <x v="40"/>
            <x v="41"/>
            <x v="42"/>
            <x v="43"/>
            <x v="44"/>
            <x v="45"/>
            <x v="46"/>
            <x v="47"/>
            <x v="48"/>
            <x v="49"/>
            <x v="50"/>
            <x v="52"/>
            <x v="53"/>
            <x v="54"/>
          </reference>
        </references>
      </pivotArea>
    </format>
    <format dxfId="1111">
      <pivotArea dataOnly="0" labelOnly="1" outline="0" fieldPosition="0">
        <references count="2">
          <reference field="1" count="1" selected="0">
            <x v="1"/>
          </reference>
          <reference field="2" count="26">
            <x v="55"/>
            <x v="56"/>
            <x v="57"/>
            <x v="58"/>
            <x v="59"/>
            <x v="60"/>
            <x v="61"/>
            <x v="62"/>
            <x v="63"/>
            <x v="64"/>
            <x v="65"/>
            <x v="66"/>
            <x v="67"/>
            <x v="68"/>
            <x v="69"/>
            <x v="70"/>
            <x v="71"/>
            <x v="72"/>
            <x v="73"/>
            <x v="74"/>
            <x v="75"/>
            <x v="76"/>
            <x v="77"/>
            <x v="78"/>
            <x v="79"/>
            <x v="80"/>
          </reference>
        </references>
      </pivotArea>
    </format>
    <format dxfId="1110">
      <pivotArea dataOnly="0" labelOnly="1" outline="0" fieldPosition="0">
        <references count="2">
          <reference field="1" count="1" selected="0">
            <x v="2"/>
          </reference>
          <reference field="2" count="48">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reference>
        </references>
      </pivotArea>
    </format>
    <format dxfId="1109">
      <pivotArea dataOnly="0" labelOnly="1" outline="0" fieldPosition="0">
        <references count="2">
          <reference field="1" count="1" selected="0">
            <x v="3"/>
          </reference>
          <reference field="2" count="4">
            <x v="129"/>
            <x v="130"/>
            <x v="131"/>
            <x v="132"/>
          </reference>
        </references>
      </pivotArea>
    </format>
    <format dxfId="1108">
      <pivotArea dataOnly="0" labelOnly="1" outline="0" fieldPosition="0">
        <references count="2">
          <reference field="1" count="1" selected="0">
            <x v="4"/>
          </reference>
          <reference field="2" count="5">
            <x v="7"/>
            <x v="29"/>
            <x v="30"/>
            <x v="31"/>
            <x v="51"/>
          </reference>
        </references>
      </pivotArea>
    </format>
    <format dxfId="1107">
      <pivotArea dataOnly="0" labelOnly="1" outline="0" fieldPosition="0">
        <references count="3">
          <reference field="1" count="1" selected="0">
            <x v="0"/>
          </reference>
          <reference field="2" count="1" selected="0">
            <x v="0"/>
          </reference>
          <reference field="13" count="1">
            <x v="53"/>
          </reference>
        </references>
      </pivotArea>
    </format>
    <format dxfId="1106">
      <pivotArea dataOnly="0" labelOnly="1" outline="0" fieldPosition="0">
        <references count="3">
          <reference field="1" count="1" selected="0">
            <x v="0"/>
          </reference>
          <reference field="2" count="1" selected="0">
            <x v="1"/>
          </reference>
          <reference field="13" count="1">
            <x v="10"/>
          </reference>
        </references>
      </pivotArea>
    </format>
    <format dxfId="1105">
      <pivotArea dataOnly="0" labelOnly="1" outline="0" fieldPosition="0">
        <references count="3">
          <reference field="1" count="1" selected="0">
            <x v="0"/>
          </reference>
          <reference field="2" count="1" selected="0">
            <x v="2"/>
          </reference>
          <reference field="13" count="1">
            <x v="50"/>
          </reference>
        </references>
      </pivotArea>
    </format>
    <format dxfId="1104">
      <pivotArea dataOnly="0" labelOnly="1" outline="0" fieldPosition="0">
        <references count="3">
          <reference field="1" count="1" selected="0">
            <x v="0"/>
          </reference>
          <reference field="2" count="1" selected="0">
            <x v="3"/>
          </reference>
          <reference field="13" count="1">
            <x v="96"/>
          </reference>
        </references>
      </pivotArea>
    </format>
    <format dxfId="1103">
      <pivotArea dataOnly="0" labelOnly="1" outline="0" fieldPosition="0">
        <references count="3">
          <reference field="1" count="1" selected="0">
            <x v="0"/>
          </reference>
          <reference field="2" count="1" selected="0">
            <x v="4"/>
          </reference>
          <reference field="13" count="1">
            <x v="73"/>
          </reference>
        </references>
      </pivotArea>
    </format>
    <format dxfId="1102">
      <pivotArea dataOnly="0" labelOnly="1" outline="0" fieldPosition="0">
        <references count="3">
          <reference field="1" count="1" selected="0">
            <x v="0"/>
          </reference>
          <reference field="2" count="1" selected="0">
            <x v="5"/>
          </reference>
          <reference field="13" count="1">
            <x v="81"/>
          </reference>
        </references>
      </pivotArea>
    </format>
    <format dxfId="1101">
      <pivotArea dataOnly="0" labelOnly="1" outline="0" fieldPosition="0">
        <references count="3">
          <reference field="1" count="1" selected="0">
            <x v="0"/>
          </reference>
          <reference field="2" count="1" selected="0">
            <x v="6"/>
          </reference>
          <reference field="13" count="1">
            <x v="100"/>
          </reference>
        </references>
      </pivotArea>
    </format>
    <format dxfId="1100">
      <pivotArea dataOnly="0" labelOnly="1" outline="0" fieldPosition="0">
        <references count="3">
          <reference field="1" count="1" selected="0">
            <x v="0"/>
          </reference>
          <reference field="2" count="1" selected="0">
            <x v="8"/>
          </reference>
          <reference field="13" count="1">
            <x v="74"/>
          </reference>
        </references>
      </pivotArea>
    </format>
    <format dxfId="1099">
      <pivotArea dataOnly="0" labelOnly="1" outline="0" fieldPosition="0">
        <references count="3">
          <reference field="1" count="1" selected="0">
            <x v="0"/>
          </reference>
          <reference field="2" count="1" selected="0">
            <x v="9"/>
          </reference>
          <reference field="13" count="1">
            <x v="75"/>
          </reference>
        </references>
      </pivotArea>
    </format>
    <format dxfId="1098">
      <pivotArea dataOnly="0" labelOnly="1" outline="0" fieldPosition="0">
        <references count="3">
          <reference field="1" count="1" selected="0">
            <x v="0"/>
          </reference>
          <reference field="2" count="1" selected="0">
            <x v="10"/>
          </reference>
          <reference field="13" count="1">
            <x v="76"/>
          </reference>
        </references>
      </pivotArea>
    </format>
    <format dxfId="1097">
      <pivotArea dataOnly="0" labelOnly="1" outline="0" fieldPosition="0">
        <references count="3">
          <reference field="1" count="1" selected="0">
            <x v="0"/>
          </reference>
          <reference field="2" count="1" selected="0">
            <x v="11"/>
          </reference>
          <reference field="13" count="1">
            <x v="71"/>
          </reference>
        </references>
      </pivotArea>
    </format>
    <format dxfId="1096">
      <pivotArea dataOnly="0" labelOnly="1" outline="0" fieldPosition="0">
        <references count="3">
          <reference field="1" count="1" selected="0">
            <x v="0"/>
          </reference>
          <reference field="2" count="1" selected="0">
            <x v="12"/>
          </reference>
          <reference field="13" count="1">
            <x v="72"/>
          </reference>
        </references>
      </pivotArea>
    </format>
    <format dxfId="1095">
      <pivotArea dataOnly="0" labelOnly="1" outline="0" fieldPosition="0">
        <references count="3">
          <reference field="1" count="1" selected="0">
            <x v="0"/>
          </reference>
          <reference field="2" count="1" selected="0">
            <x v="13"/>
          </reference>
          <reference field="13" count="1">
            <x v="77"/>
          </reference>
        </references>
      </pivotArea>
    </format>
    <format dxfId="1094">
      <pivotArea dataOnly="0" labelOnly="1" outline="0" fieldPosition="0">
        <references count="3">
          <reference field="1" count="1" selected="0">
            <x v="0"/>
          </reference>
          <reference field="2" count="1" selected="0">
            <x v="14"/>
          </reference>
          <reference field="13" count="1">
            <x v="78"/>
          </reference>
        </references>
      </pivotArea>
    </format>
    <format dxfId="1093">
      <pivotArea dataOnly="0" labelOnly="1" outline="0" fieldPosition="0">
        <references count="3">
          <reference field="1" count="1" selected="0">
            <x v="0"/>
          </reference>
          <reference field="2" count="1" selected="0">
            <x v="15"/>
          </reference>
          <reference field="13" count="1">
            <x v="38"/>
          </reference>
        </references>
      </pivotArea>
    </format>
    <format dxfId="1092">
      <pivotArea dataOnly="0" labelOnly="1" outline="0" fieldPosition="0">
        <references count="3">
          <reference field="1" count="1" selected="0">
            <x v="0"/>
          </reference>
          <reference field="2" count="1" selected="0">
            <x v="16"/>
          </reference>
          <reference field="13" count="1">
            <x v="32"/>
          </reference>
        </references>
      </pivotArea>
    </format>
    <format dxfId="1091">
      <pivotArea dataOnly="0" labelOnly="1" outline="0" fieldPosition="0">
        <references count="3">
          <reference field="1" count="1" selected="0">
            <x v="0"/>
          </reference>
          <reference field="2" count="1" selected="0">
            <x v="17"/>
          </reference>
          <reference field="13" count="1">
            <x v="31"/>
          </reference>
        </references>
      </pivotArea>
    </format>
    <format dxfId="1090">
      <pivotArea dataOnly="0" labelOnly="1" outline="0" fieldPosition="0">
        <references count="3">
          <reference field="1" count="1" selected="0">
            <x v="0"/>
          </reference>
          <reference field="2" count="1" selected="0">
            <x v="18"/>
          </reference>
          <reference field="13" count="1">
            <x v="79"/>
          </reference>
        </references>
      </pivotArea>
    </format>
    <format dxfId="1089">
      <pivotArea dataOnly="0" labelOnly="1" outline="0" fieldPosition="0">
        <references count="3">
          <reference field="1" count="1" selected="0">
            <x v="0"/>
          </reference>
          <reference field="2" count="1" selected="0">
            <x v="19"/>
          </reference>
          <reference field="13" count="1">
            <x v="33"/>
          </reference>
        </references>
      </pivotArea>
    </format>
    <format dxfId="1088">
      <pivotArea dataOnly="0" labelOnly="1" outline="0" fieldPosition="0">
        <references count="3">
          <reference field="1" count="1" selected="0">
            <x v="0"/>
          </reference>
          <reference field="2" count="1" selected="0">
            <x v="20"/>
          </reference>
          <reference field="13" count="1">
            <x v="80"/>
          </reference>
        </references>
      </pivotArea>
    </format>
    <format dxfId="1087">
      <pivotArea dataOnly="0" labelOnly="1" outline="0" fieldPosition="0">
        <references count="3">
          <reference field="1" count="1" selected="0">
            <x v="0"/>
          </reference>
          <reference field="2" count="1" selected="0">
            <x v="21"/>
          </reference>
          <reference field="13" count="1">
            <x v="26"/>
          </reference>
        </references>
      </pivotArea>
    </format>
    <format dxfId="1086">
      <pivotArea dataOnly="0" labelOnly="1" outline="0" fieldPosition="0">
        <references count="3">
          <reference field="1" count="1" selected="0">
            <x v="0"/>
          </reference>
          <reference field="2" count="1" selected="0">
            <x v="22"/>
          </reference>
          <reference field="13" count="1">
            <x v="106"/>
          </reference>
        </references>
      </pivotArea>
    </format>
    <format dxfId="1085">
      <pivotArea dataOnly="0" labelOnly="1" outline="0" fieldPosition="0">
        <references count="3">
          <reference field="1" count="1" selected="0">
            <x v="0"/>
          </reference>
          <reference field="2" count="1" selected="0">
            <x v="23"/>
          </reference>
          <reference field="13" count="1">
            <x v="16"/>
          </reference>
        </references>
      </pivotArea>
    </format>
    <format dxfId="1084">
      <pivotArea dataOnly="0" labelOnly="1" outline="0" fieldPosition="0">
        <references count="3">
          <reference field="1" count="1" selected="0">
            <x v="0"/>
          </reference>
          <reference field="2" count="1" selected="0">
            <x v="24"/>
          </reference>
          <reference field="13" count="1">
            <x v="48"/>
          </reference>
        </references>
      </pivotArea>
    </format>
    <format dxfId="1083">
      <pivotArea dataOnly="0" labelOnly="1" outline="0" fieldPosition="0">
        <references count="3">
          <reference field="1" count="1" selected="0">
            <x v="0"/>
          </reference>
          <reference field="2" count="1" selected="0">
            <x v="25"/>
          </reference>
          <reference field="13" count="1">
            <x v="39"/>
          </reference>
        </references>
      </pivotArea>
    </format>
    <format dxfId="1082">
      <pivotArea dataOnly="0" labelOnly="1" outline="0" fieldPosition="0">
        <references count="3">
          <reference field="1" count="1" selected="0">
            <x v="0"/>
          </reference>
          <reference field="2" count="1" selected="0">
            <x v="26"/>
          </reference>
          <reference field="13" count="1">
            <x v="11"/>
          </reference>
        </references>
      </pivotArea>
    </format>
    <format dxfId="1081">
      <pivotArea dataOnly="0" labelOnly="1" outline="0" fieldPosition="0">
        <references count="3">
          <reference field="1" count="1" selected="0">
            <x v="0"/>
          </reference>
          <reference field="2" count="1" selected="0">
            <x v="27"/>
          </reference>
          <reference field="13" count="1">
            <x v="15"/>
          </reference>
        </references>
      </pivotArea>
    </format>
    <format dxfId="1080">
      <pivotArea dataOnly="0" labelOnly="1" outline="0" fieldPosition="0">
        <references count="3">
          <reference field="1" count="1" selected="0">
            <x v="0"/>
          </reference>
          <reference field="2" count="1" selected="0">
            <x v="28"/>
          </reference>
          <reference field="13" count="1">
            <x v="62"/>
          </reference>
        </references>
      </pivotArea>
    </format>
    <format dxfId="1079">
      <pivotArea dataOnly="0" labelOnly="1" outline="0" fieldPosition="0">
        <references count="3">
          <reference field="1" count="1" selected="0">
            <x v="0"/>
          </reference>
          <reference field="2" count="1" selected="0">
            <x v="32"/>
          </reference>
          <reference field="13" count="1">
            <x v="59"/>
          </reference>
        </references>
      </pivotArea>
    </format>
    <format dxfId="1078">
      <pivotArea dataOnly="0" labelOnly="1" outline="0" fieldPosition="0">
        <references count="3">
          <reference field="1" count="1" selected="0">
            <x v="0"/>
          </reference>
          <reference field="2" count="1" selected="0">
            <x v="33"/>
          </reference>
          <reference field="13" count="1">
            <x v="82"/>
          </reference>
        </references>
      </pivotArea>
    </format>
    <format dxfId="1077">
      <pivotArea dataOnly="0" labelOnly="1" outline="0" fieldPosition="0">
        <references count="3">
          <reference field="1" count="1" selected="0">
            <x v="0"/>
          </reference>
          <reference field="2" count="1" selected="0">
            <x v="34"/>
          </reference>
          <reference field="13" count="1">
            <x v="83"/>
          </reference>
        </references>
      </pivotArea>
    </format>
    <format dxfId="1076">
      <pivotArea dataOnly="0" labelOnly="1" outline="0" fieldPosition="0">
        <references count="3">
          <reference field="1" count="1" selected="0">
            <x v="0"/>
          </reference>
          <reference field="2" count="1" selected="0">
            <x v="35"/>
          </reference>
          <reference field="13" count="1">
            <x v="94"/>
          </reference>
        </references>
      </pivotArea>
    </format>
    <format dxfId="1075">
      <pivotArea dataOnly="0" labelOnly="1" outline="0" fieldPosition="0">
        <references count="3">
          <reference field="1" count="1" selected="0">
            <x v="0"/>
          </reference>
          <reference field="2" count="1" selected="0">
            <x v="36"/>
          </reference>
          <reference field="13" count="1">
            <x v="109"/>
          </reference>
        </references>
      </pivotArea>
    </format>
    <format dxfId="1074">
      <pivotArea dataOnly="0" labelOnly="1" outline="0" fieldPosition="0">
        <references count="3">
          <reference field="1" count="1" selected="0">
            <x v="0"/>
          </reference>
          <reference field="2" count="1" selected="0">
            <x v="37"/>
          </reference>
          <reference field="13" count="1">
            <x v="86"/>
          </reference>
        </references>
      </pivotArea>
    </format>
    <format dxfId="1073">
      <pivotArea dataOnly="0" labelOnly="1" outline="0" fieldPosition="0">
        <references count="3">
          <reference field="1" count="1" selected="0">
            <x v="0"/>
          </reference>
          <reference field="2" count="1" selected="0">
            <x v="38"/>
          </reference>
          <reference field="13" count="1">
            <x v="87"/>
          </reference>
        </references>
      </pivotArea>
    </format>
    <format dxfId="1072">
      <pivotArea dataOnly="0" labelOnly="1" outline="0" fieldPosition="0">
        <references count="3">
          <reference field="1" count="1" selected="0">
            <x v="0"/>
          </reference>
          <reference field="2" count="1" selected="0">
            <x v="39"/>
          </reference>
          <reference field="13" count="1">
            <x v="88"/>
          </reference>
        </references>
      </pivotArea>
    </format>
    <format dxfId="1071">
      <pivotArea dataOnly="0" labelOnly="1" outline="0" fieldPosition="0">
        <references count="3">
          <reference field="1" count="1" selected="0">
            <x v="0"/>
          </reference>
          <reference field="2" count="1" selected="0">
            <x v="40"/>
          </reference>
          <reference field="13" count="1">
            <x v="110"/>
          </reference>
        </references>
      </pivotArea>
    </format>
    <format dxfId="1070">
      <pivotArea dataOnly="0" labelOnly="1" outline="0" fieldPosition="0">
        <references count="3">
          <reference field="1" count="1" selected="0">
            <x v="0"/>
          </reference>
          <reference field="2" count="1" selected="0">
            <x v="41"/>
          </reference>
          <reference field="13" count="1">
            <x v="104"/>
          </reference>
        </references>
      </pivotArea>
    </format>
    <format dxfId="1069">
      <pivotArea dataOnly="0" labelOnly="1" outline="0" fieldPosition="0">
        <references count="3">
          <reference field="1" count="1" selected="0">
            <x v="0"/>
          </reference>
          <reference field="2" count="1" selected="0">
            <x v="42"/>
          </reference>
          <reference field="13" count="1">
            <x v="89"/>
          </reference>
        </references>
      </pivotArea>
    </format>
    <format dxfId="1068">
      <pivotArea dataOnly="0" labelOnly="1" outline="0" fieldPosition="0">
        <references count="3">
          <reference field="1" count="1" selected="0">
            <x v="0"/>
          </reference>
          <reference field="2" count="1" selected="0">
            <x v="43"/>
          </reference>
          <reference field="13" count="1">
            <x v="35"/>
          </reference>
        </references>
      </pivotArea>
    </format>
    <format dxfId="1067">
      <pivotArea dataOnly="0" labelOnly="1" outline="0" fieldPosition="0">
        <references count="3">
          <reference field="1" count="1" selected="0">
            <x v="0"/>
          </reference>
          <reference field="2" count="1" selected="0">
            <x v="44"/>
          </reference>
          <reference field="13" count="1">
            <x v="112"/>
          </reference>
        </references>
      </pivotArea>
    </format>
    <format dxfId="1066">
      <pivotArea dataOnly="0" labelOnly="1" outline="0" fieldPosition="0">
        <references count="3">
          <reference field="1" count="1" selected="0">
            <x v="0"/>
          </reference>
          <reference field="2" count="1" selected="0">
            <x v="45"/>
          </reference>
          <reference field="13" count="1">
            <x v="4"/>
          </reference>
        </references>
      </pivotArea>
    </format>
    <format dxfId="1065">
      <pivotArea dataOnly="0" labelOnly="1" outline="0" fieldPosition="0">
        <references count="3">
          <reference field="1" count="1" selected="0">
            <x v="0"/>
          </reference>
          <reference field="2" count="1" selected="0">
            <x v="46"/>
          </reference>
          <reference field="13" count="1">
            <x v="0"/>
          </reference>
        </references>
      </pivotArea>
    </format>
    <format dxfId="1064">
      <pivotArea dataOnly="0" labelOnly="1" outline="0" fieldPosition="0">
        <references count="3">
          <reference field="1" count="1" selected="0">
            <x v="0"/>
          </reference>
          <reference field="2" count="1" selected="0">
            <x v="47"/>
          </reference>
          <reference field="13" count="1">
            <x v="5"/>
          </reference>
        </references>
      </pivotArea>
    </format>
    <format dxfId="1063">
      <pivotArea dataOnly="0" labelOnly="1" outline="0" fieldPosition="0">
        <references count="3">
          <reference field="1" count="1" selected="0">
            <x v="0"/>
          </reference>
          <reference field="2" count="1" selected="0">
            <x v="48"/>
          </reference>
          <reference field="13" count="1">
            <x v="3"/>
          </reference>
        </references>
      </pivotArea>
    </format>
    <format dxfId="1062">
      <pivotArea dataOnly="0" labelOnly="1" outline="0" fieldPosition="0">
        <references count="3">
          <reference field="1" count="1" selected="0">
            <x v="0"/>
          </reference>
          <reference field="2" count="1" selected="0">
            <x v="49"/>
          </reference>
          <reference field="13" count="1">
            <x v="1"/>
          </reference>
        </references>
      </pivotArea>
    </format>
    <format dxfId="1061">
      <pivotArea dataOnly="0" labelOnly="1" outline="0" fieldPosition="0">
        <references count="3">
          <reference field="1" count="1" selected="0">
            <x v="0"/>
          </reference>
          <reference field="2" count="1" selected="0">
            <x v="50"/>
          </reference>
          <reference field="13" count="1">
            <x v="2"/>
          </reference>
        </references>
      </pivotArea>
    </format>
    <format dxfId="1060">
      <pivotArea dataOnly="0" labelOnly="1" outline="0" fieldPosition="0">
        <references count="3">
          <reference field="1" count="1" selected="0">
            <x v="0"/>
          </reference>
          <reference field="2" count="1" selected="0">
            <x v="52"/>
          </reference>
          <reference field="13" count="1">
            <x v="90"/>
          </reference>
        </references>
      </pivotArea>
    </format>
    <format dxfId="1059">
      <pivotArea dataOnly="0" labelOnly="1" outline="0" fieldPosition="0">
        <references count="3">
          <reference field="1" count="1" selected="0">
            <x v="0"/>
          </reference>
          <reference field="2" count="1" selected="0">
            <x v="53"/>
          </reference>
          <reference field="13" count="1">
            <x v="36"/>
          </reference>
        </references>
      </pivotArea>
    </format>
    <format dxfId="1058">
      <pivotArea dataOnly="0" labelOnly="1" outline="0" fieldPosition="0">
        <references count="3">
          <reference field="1" count="1" selected="0">
            <x v="0"/>
          </reference>
          <reference field="2" count="1" selected="0">
            <x v="54"/>
          </reference>
          <reference field="13" count="1">
            <x v="84"/>
          </reference>
        </references>
      </pivotArea>
    </format>
    <format dxfId="1057">
      <pivotArea dataOnly="0" labelOnly="1" outline="0" fieldPosition="0">
        <references count="3">
          <reference field="1" count="1" selected="0">
            <x v="1"/>
          </reference>
          <reference field="2" count="1" selected="0">
            <x v="55"/>
          </reference>
          <reference field="13" count="1">
            <x v="54"/>
          </reference>
        </references>
      </pivotArea>
    </format>
    <format dxfId="1056">
      <pivotArea dataOnly="0" labelOnly="1" outline="0" fieldPosition="0">
        <references count="3">
          <reference field="1" count="1" selected="0">
            <x v="1"/>
          </reference>
          <reference field="2" count="1" selected="0">
            <x v="56"/>
          </reference>
          <reference field="13" count="1">
            <x v="56"/>
          </reference>
        </references>
      </pivotArea>
    </format>
    <format dxfId="1055">
      <pivotArea dataOnly="0" labelOnly="1" outline="0" fieldPosition="0">
        <references count="3">
          <reference field="1" count="1" selected="0">
            <x v="1"/>
          </reference>
          <reference field="2" count="1" selected="0">
            <x v="57"/>
          </reference>
          <reference field="13" count="1">
            <x v="55"/>
          </reference>
        </references>
      </pivotArea>
    </format>
    <format dxfId="1054">
      <pivotArea dataOnly="0" labelOnly="1" outline="0" fieldPosition="0">
        <references count="3">
          <reference field="1" count="1" selected="0">
            <x v="1"/>
          </reference>
          <reference field="2" count="1" selected="0">
            <x v="58"/>
          </reference>
          <reference field="13" count="1">
            <x v="57"/>
          </reference>
        </references>
      </pivotArea>
    </format>
    <format dxfId="1053">
      <pivotArea dataOnly="0" labelOnly="1" outline="0" fieldPosition="0">
        <references count="3">
          <reference field="1" count="1" selected="0">
            <x v="1"/>
          </reference>
          <reference field="2" count="1" selected="0">
            <x v="59"/>
          </reference>
          <reference field="13" count="1">
            <x v="62"/>
          </reference>
        </references>
      </pivotArea>
    </format>
    <format dxfId="1052">
      <pivotArea dataOnly="0" labelOnly="1" outline="0" fieldPosition="0">
        <references count="3">
          <reference field="1" count="1" selected="0">
            <x v="1"/>
          </reference>
          <reference field="2" count="1" selected="0">
            <x v="60"/>
          </reference>
          <reference field="13" count="1">
            <x v="61"/>
          </reference>
        </references>
      </pivotArea>
    </format>
    <format dxfId="1051">
      <pivotArea dataOnly="0" labelOnly="1" outline="0" fieldPosition="0">
        <references count="3">
          <reference field="1" count="1" selected="0">
            <x v="1"/>
          </reference>
          <reference field="2" count="1" selected="0">
            <x v="61"/>
          </reference>
          <reference field="13" count="1">
            <x v="14"/>
          </reference>
        </references>
      </pivotArea>
    </format>
    <format dxfId="1050">
      <pivotArea dataOnly="0" labelOnly="1" outline="0" fieldPosition="0">
        <references count="3">
          <reference field="1" count="1" selected="0">
            <x v="1"/>
          </reference>
          <reference field="2" count="1" selected="0">
            <x v="62"/>
          </reference>
          <reference field="13" count="1">
            <x v="60"/>
          </reference>
        </references>
      </pivotArea>
    </format>
    <format dxfId="1049">
      <pivotArea dataOnly="0" labelOnly="1" outline="0" fieldPosition="0">
        <references count="3">
          <reference field="1" count="1" selected="0">
            <x v="1"/>
          </reference>
          <reference field="2" count="1" selected="0">
            <x v="63"/>
          </reference>
          <reference field="13" count="1">
            <x v="43"/>
          </reference>
        </references>
      </pivotArea>
    </format>
    <format dxfId="1048">
      <pivotArea dataOnly="0" labelOnly="1" outline="0" fieldPosition="0">
        <references count="3">
          <reference field="1" count="1" selected="0">
            <x v="1"/>
          </reference>
          <reference field="2" count="1" selected="0">
            <x v="64"/>
          </reference>
          <reference field="13" count="1">
            <x v="44"/>
          </reference>
        </references>
      </pivotArea>
    </format>
    <format dxfId="1047">
      <pivotArea dataOnly="0" labelOnly="1" outline="0" fieldPosition="0">
        <references count="3">
          <reference field="1" count="1" selected="0">
            <x v="1"/>
          </reference>
          <reference field="2" count="1" selected="0">
            <x v="65"/>
          </reference>
          <reference field="13" count="1">
            <x v="45"/>
          </reference>
        </references>
      </pivotArea>
    </format>
    <format dxfId="1046">
      <pivotArea dataOnly="0" labelOnly="1" outline="0" fieldPosition="0">
        <references count="3">
          <reference field="1" count="1" selected="0">
            <x v="1"/>
          </reference>
          <reference field="2" count="1" selected="0">
            <x v="66"/>
          </reference>
          <reference field="13" count="1">
            <x v="47"/>
          </reference>
        </references>
      </pivotArea>
    </format>
    <format dxfId="1045">
      <pivotArea dataOnly="0" labelOnly="1" outline="0" fieldPosition="0">
        <references count="3">
          <reference field="1" count="1" selected="0">
            <x v="1"/>
          </reference>
          <reference field="2" count="1" selected="0">
            <x v="67"/>
          </reference>
          <reference field="13" count="1">
            <x v="28"/>
          </reference>
        </references>
      </pivotArea>
    </format>
    <format dxfId="1044">
      <pivotArea dataOnly="0" labelOnly="1" outline="0" fieldPosition="0">
        <references count="3">
          <reference field="1" count="1" selected="0">
            <x v="1"/>
          </reference>
          <reference field="2" count="1" selected="0">
            <x v="68"/>
          </reference>
          <reference field="13" count="1">
            <x v="46"/>
          </reference>
        </references>
      </pivotArea>
    </format>
    <format dxfId="1043">
      <pivotArea dataOnly="0" labelOnly="1" outline="0" fieldPosition="0">
        <references count="3">
          <reference field="1" count="1" selected="0">
            <x v="1"/>
          </reference>
          <reference field="2" count="1" selected="0">
            <x v="69"/>
          </reference>
          <reference field="13" count="1">
            <x v="29"/>
          </reference>
        </references>
      </pivotArea>
    </format>
    <format dxfId="1042">
      <pivotArea dataOnly="0" labelOnly="1" outline="0" fieldPosition="0">
        <references count="3">
          <reference field="1" count="1" selected="0">
            <x v="1"/>
          </reference>
          <reference field="2" count="1" selected="0">
            <x v="70"/>
          </reference>
          <reference field="13" count="1">
            <x v="70"/>
          </reference>
        </references>
      </pivotArea>
    </format>
    <format dxfId="1041">
      <pivotArea dataOnly="0" labelOnly="1" outline="0" fieldPosition="0">
        <references count="3">
          <reference field="1" count="1" selected="0">
            <x v="1"/>
          </reference>
          <reference field="2" count="1" selected="0">
            <x v="71"/>
          </reference>
          <reference field="13" count="1">
            <x v="58"/>
          </reference>
        </references>
      </pivotArea>
    </format>
    <format dxfId="1040">
      <pivotArea dataOnly="0" labelOnly="1" outline="0" fieldPosition="0">
        <references count="3">
          <reference field="1" count="1" selected="0">
            <x v="1"/>
          </reference>
          <reference field="2" count="1" selected="0">
            <x v="72"/>
          </reference>
          <reference field="13" count="1">
            <x v="59"/>
          </reference>
        </references>
      </pivotArea>
    </format>
    <format dxfId="1039">
      <pivotArea dataOnly="0" labelOnly="1" outline="0" fieldPosition="0">
        <references count="3">
          <reference field="1" count="1" selected="0">
            <x v="1"/>
          </reference>
          <reference field="2" count="1" selected="0">
            <x v="73"/>
          </reference>
          <reference field="13" count="1">
            <x v="102"/>
          </reference>
        </references>
      </pivotArea>
    </format>
    <format dxfId="1038">
      <pivotArea dataOnly="0" labelOnly="1" outline="0" fieldPosition="0">
        <references count="3">
          <reference field="1" count="1" selected="0">
            <x v="1"/>
          </reference>
          <reference field="2" count="1" selected="0">
            <x v="74"/>
          </reference>
          <reference field="13" count="1">
            <x v="98"/>
          </reference>
        </references>
      </pivotArea>
    </format>
    <format dxfId="1037">
      <pivotArea dataOnly="0" labelOnly="1" outline="0" fieldPosition="0">
        <references count="3">
          <reference field="1" count="1" selected="0">
            <x v="1"/>
          </reference>
          <reference field="2" count="1" selected="0">
            <x v="75"/>
          </reference>
          <reference field="13" count="1">
            <x v="103"/>
          </reference>
        </references>
      </pivotArea>
    </format>
    <format dxfId="1036">
      <pivotArea dataOnly="0" labelOnly="1" outline="0" fieldPosition="0">
        <references count="3">
          <reference field="1" count="1" selected="0">
            <x v="1"/>
          </reference>
          <reference field="2" count="1" selected="0">
            <x v="76"/>
          </reference>
          <reference field="13" count="1">
            <x v="99"/>
          </reference>
        </references>
      </pivotArea>
    </format>
    <format dxfId="1035">
      <pivotArea dataOnly="0" labelOnly="1" outline="0" fieldPosition="0">
        <references count="3">
          <reference field="1" count="1" selected="0">
            <x v="1"/>
          </reference>
          <reference field="2" count="1" selected="0">
            <x v="77"/>
          </reference>
          <reference field="13" count="1">
            <x v="69"/>
          </reference>
        </references>
      </pivotArea>
    </format>
    <format dxfId="1034">
      <pivotArea dataOnly="0" labelOnly="1" outline="0" fieldPosition="0">
        <references count="3">
          <reference field="1" count="1" selected="0">
            <x v="1"/>
          </reference>
          <reference field="2" count="1" selected="0">
            <x v="78"/>
          </reference>
          <reference field="13" count="1">
            <x v="40"/>
          </reference>
        </references>
      </pivotArea>
    </format>
    <format dxfId="1033">
      <pivotArea dataOnly="0" labelOnly="1" outline="0" fieldPosition="0">
        <references count="3">
          <reference field="1" count="1" selected="0">
            <x v="1"/>
          </reference>
          <reference field="2" count="1" selected="0">
            <x v="79"/>
          </reference>
          <reference field="13" count="1">
            <x v="65"/>
          </reference>
        </references>
      </pivotArea>
    </format>
    <format dxfId="1032">
      <pivotArea dataOnly="0" labelOnly="1" outline="0" fieldPosition="0">
        <references count="3">
          <reference field="1" count="1" selected="0">
            <x v="1"/>
          </reference>
          <reference field="2" count="1" selected="0">
            <x v="80"/>
          </reference>
          <reference field="13" count="1">
            <x v="41"/>
          </reference>
        </references>
      </pivotArea>
    </format>
    <format dxfId="1031">
      <pivotArea dataOnly="0" labelOnly="1" outline="0" fieldPosition="0">
        <references count="3">
          <reference field="1" count="1" selected="0">
            <x v="2"/>
          </reference>
          <reference field="2" count="1" selected="0">
            <x v="81"/>
          </reference>
          <reference field="13" count="1">
            <x v="108"/>
          </reference>
        </references>
      </pivotArea>
    </format>
    <format dxfId="1030">
      <pivotArea dataOnly="0" labelOnly="1" outline="0" fieldPosition="0">
        <references count="3">
          <reference field="1" count="1" selected="0">
            <x v="2"/>
          </reference>
          <reference field="2" count="1" selected="0">
            <x v="82"/>
          </reference>
          <reference field="13" count="1">
            <x v="54"/>
          </reference>
        </references>
      </pivotArea>
    </format>
    <format dxfId="1029">
      <pivotArea dataOnly="0" labelOnly="1" outline="0" fieldPosition="0">
        <references count="3">
          <reference field="1" count="1" selected="0">
            <x v="2"/>
          </reference>
          <reference field="2" count="1" selected="0">
            <x v="83"/>
          </reference>
          <reference field="13" count="1">
            <x v="56"/>
          </reference>
        </references>
      </pivotArea>
    </format>
    <format dxfId="1028">
      <pivotArea dataOnly="0" labelOnly="1" outline="0" fieldPosition="0">
        <references count="3">
          <reference field="1" count="1" selected="0">
            <x v="2"/>
          </reference>
          <reference field="2" count="1" selected="0">
            <x v="84"/>
          </reference>
          <reference field="13" count="1">
            <x v="55"/>
          </reference>
        </references>
      </pivotArea>
    </format>
    <format dxfId="1027">
      <pivotArea dataOnly="0" labelOnly="1" outline="0" fieldPosition="0">
        <references count="3">
          <reference field="1" count="1" selected="0">
            <x v="2"/>
          </reference>
          <reference field="2" count="1" selected="0">
            <x v="85"/>
          </reference>
          <reference field="13" count="1">
            <x v="57"/>
          </reference>
        </references>
      </pivotArea>
    </format>
    <format dxfId="1026">
      <pivotArea dataOnly="0" labelOnly="1" outline="0" fieldPosition="0">
        <references count="3">
          <reference field="1" count="1" selected="0">
            <x v="2"/>
          </reference>
          <reference field="2" count="1" selected="0">
            <x v="86"/>
          </reference>
          <reference field="13" count="1">
            <x v="9"/>
          </reference>
        </references>
      </pivotArea>
    </format>
    <format dxfId="1025">
      <pivotArea dataOnly="0" labelOnly="1" outline="0" fieldPosition="0">
        <references count="3">
          <reference field="1" count="1" selected="0">
            <x v="2"/>
          </reference>
          <reference field="2" count="1" selected="0">
            <x v="87"/>
          </reference>
          <reference field="13" count="1">
            <x v="8"/>
          </reference>
        </references>
      </pivotArea>
    </format>
    <format dxfId="1024">
      <pivotArea dataOnly="0" labelOnly="1" outline="0" fieldPosition="0">
        <references count="3">
          <reference field="1" count="1" selected="0">
            <x v="2"/>
          </reference>
          <reference field="2" count="1" selected="0">
            <x v="88"/>
          </reference>
          <reference field="13" count="1">
            <x v="97"/>
          </reference>
        </references>
      </pivotArea>
    </format>
    <format dxfId="1023">
      <pivotArea dataOnly="0" labelOnly="1" outline="0" fieldPosition="0">
        <references count="3">
          <reference field="1" count="1" selected="0">
            <x v="2"/>
          </reference>
          <reference field="2" count="1" selected="0">
            <x v="89"/>
          </reference>
          <reference field="13" count="1">
            <x v="96"/>
          </reference>
        </references>
      </pivotArea>
    </format>
    <format dxfId="1022">
      <pivotArea dataOnly="0" labelOnly="1" outline="0" fieldPosition="0">
        <references count="3">
          <reference field="1" count="1" selected="0">
            <x v="2"/>
          </reference>
          <reference field="2" count="1" selected="0">
            <x v="90"/>
          </reference>
          <reference field="13" count="1">
            <x v="111"/>
          </reference>
        </references>
      </pivotArea>
    </format>
    <format dxfId="1021">
      <pivotArea dataOnly="0" labelOnly="1" outline="0" fieldPosition="0">
        <references count="3">
          <reference field="1" count="1" selected="0">
            <x v="2"/>
          </reference>
          <reference field="2" count="1" selected="0">
            <x v="91"/>
          </reference>
          <reference field="13" count="1">
            <x v="95"/>
          </reference>
        </references>
      </pivotArea>
    </format>
    <format dxfId="1020">
      <pivotArea dataOnly="0" labelOnly="1" outline="0" fieldPosition="0">
        <references count="3">
          <reference field="1" count="1" selected="0">
            <x v="2"/>
          </reference>
          <reference field="2" count="1" selected="0">
            <x v="93"/>
          </reference>
          <reference field="13" count="1">
            <x v="51"/>
          </reference>
        </references>
      </pivotArea>
    </format>
    <format dxfId="1019">
      <pivotArea dataOnly="0" labelOnly="1" outline="0" fieldPosition="0">
        <references count="3">
          <reference field="1" count="1" selected="0">
            <x v="2"/>
          </reference>
          <reference field="2" count="1" selected="0">
            <x v="94"/>
          </reference>
          <reference field="13" count="1">
            <x v="63"/>
          </reference>
        </references>
      </pivotArea>
    </format>
    <format dxfId="1018">
      <pivotArea dataOnly="0" labelOnly="1" outline="0" fieldPosition="0">
        <references count="3">
          <reference field="1" count="1" selected="0">
            <x v="2"/>
          </reference>
          <reference field="2" count="1" selected="0">
            <x v="95"/>
          </reference>
          <reference field="13" count="1">
            <x v="51"/>
          </reference>
        </references>
      </pivotArea>
    </format>
    <format dxfId="1017">
      <pivotArea dataOnly="0" labelOnly="1" outline="0" fieldPosition="0">
        <references count="3">
          <reference field="1" count="1" selected="0">
            <x v="2"/>
          </reference>
          <reference field="2" count="1" selected="0">
            <x v="96"/>
          </reference>
          <reference field="13" count="1">
            <x v="62"/>
          </reference>
        </references>
      </pivotArea>
    </format>
    <format dxfId="1016">
      <pivotArea dataOnly="0" labelOnly="1" outline="0" fieldPosition="0">
        <references count="3">
          <reference field="1" count="1" selected="0">
            <x v="2"/>
          </reference>
          <reference field="2" count="1" selected="0">
            <x v="98"/>
          </reference>
          <reference field="13" count="1">
            <x v="22"/>
          </reference>
        </references>
      </pivotArea>
    </format>
    <format dxfId="1015">
      <pivotArea dataOnly="0" labelOnly="1" outline="0" fieldPosition="0">
        <references count="3">
          <reference field="1" count="1" selected="0">
            <x v="2"/>
          </reference>
          <reference field="2" count="1" selected="0">
            <x v="99"/>
          </reference>
          <reference field="13" count="1">
            <x v="12"/>
          </reference>
        </references>
      </pivotArea>
    </format>
    <format dxfId="1014">
      <pivotArea dataOnly="0" labelOnly="1" outline="0" fieldPosition="0">
        <references count="3">
          <reference field="1" count="1" selected="0">
            <x v="2"/>
          </reference>
          <reference field="2" count="1" selected="0">
            <x v="100"/>
          </reference>
          <reference field="13" count="1">
            <x v="13"/>
          </reference>
        </references>
      </pivotArea>
    </format>
    <format dxfId="1013">
      <pivotArea dataOnly="0" labelOnly="1" outline="0" fieldPosition="0">
        <references count="3">
          <reference field="1" count="1" selected="0">
            <x v="2"/>
          </reference>
          <reference field="2" count="1" selected="0">
            <x v="101"/>
          </reference>
          <reference field="13" count="1">
            <x v="7"/>
          </reference>
        </references>
      </pivotArea>
    </format>
    <format dxfId="1012">
      <pivotArea dataOnly="0" labelOnly="1" outline="0" fieldPosition="0">
        <references count="3">
          <reference field="1" count="1" selected="0">
            <x v="2"/>
          </reference>
          <reference field="2" count="1" selected="0">
            <x v="102"/>
          </reference>
          <reference field="13" count="1">
            <x v="6"/>
          </reference>
        </references>
      </pivotArea>
    </format>
    <format dxfId="1011">
      <pivotArea dataOnly="0" labelOnly="1" outline="0" fieldPosition="0">
        <references count="3">
          <reference field="1" count="1" selected="0">
            <x v="2"/>
          </reference>
          <reference field="2" count="1" selected="0">
            <x v="103"/>
          </reference>
          <reference field="13" count="1">
            <x v="52"/>
          </reference>
        </references>
      </pivotArea>
    </format>
    <format dxfId="1010">
      <pivotArea dataOnly="0" labelOnly="1" outline="0" fieldPosition="0">
        <references count="3">
          <reference field="1" count="1" selected="0">
            <x v="2"/>
          </reference>
          <reference field="2" count="1" selected="0">
            <x v="104"/>
          </reference>
          <reference field="13" count="1">
            <x v="25"/>
          </reference>
        </references>
      </pivotArea>
    </format>
    <format dxfId="1009">
      <pivotArea dataOnly="0" labelOnly="1" outline="0" fieldPosition="0">
        <references count="3">
          <reference field="1" count="1" selected="0">
            <x v="2"/>
          </reference>
          <reference field="2" count="1" selected="0">
            <x v="105"/>
          </reference>
          <reference field="13" count="1">
            <x v="34"/>
          </reference>
        </references>
      </pivotArea>
    </format>
    <format dxfId="1008">
      <pivotArea dataOnly="0" labelOnly="1" outline="0" fieldPosition="0">
        <references count="3">
          <reference field="1" count="1" selected="0">
            <x v="2"/>
          </reference>
          <reference field="2" count="1" selected="0">
            <x v="106"/>
          </reference>
          <reference field="13" count="1">
            <x v="105"/>
          </reference>
        </references>
      </pivotArea>
    </format>
    <format dxfId="1007">
      <pivotArea dataOnly="0" labelOnly="1" outline="0" fieldPosition="0">
        <references count="3">
          <reference field="1" count="1" selected="0">
            <x v="2"/>
          </reference>
          <reference field="2" count="1" selected="0">
            <x v="107"/>
          </reference>
          <reference field="13" count="1">
            <x v="49"/>
          </reference>
        </references>
      </pivotArea>
    </format>
    <format dxfId="1006">
      <pivotArea dataOnly="0" labelOnly="1" outline="0" fieldPosition="0">
        <references count="3">
          <reference field="1" count="1" selected="0">
            <x v="2"/>
          </reference>
          <reference field="2" count="1" selected="0">
            <x v="108"/>
          </reference>
          <reference field="13" count="1">
            <x v="11"/>
          </reference>
        </references>
      </pivotArea>
    </format>
    <format dxfId="1005">
      <pivotArea dataOnly="0" labelOnly="1" outline="0" fieldPosition="0">
        <references count="3">
          <reference field="1" count="1" selected="0">
            <x v="2"/>
          </reference>
          <reference field="2" count="1" selected="0">
            <x v="109"/>
          </reference>
          <reference field="13" count="1">
            <x v="19"/>
          </reference>
        </references>
      </pivotArea>
    </format>
    <format dxfId="1004">
      <pivotArea dataOnly="0" labelOnly="1" outline="0" fieldPosition="0">
        <references count="3">
          <reference field="1" count="1" selected="0">
            <x v="2"/>
          </reference>
          <reference field="2" count="1" selected="0">
            <x v="111"/>
          </reference>
          <reference field="13" count="1">
            <x v="27"/>
          </reference>
        </references>
      </pivotArea>
    </format>
    <format dxfId="1003">
      <pivotArea dataOnly="0" labelOnly="1" outline="0" fieldPosition="0">
        <references count="3">
          <reference field="1" count="1" selected="0">
            <x v="2"/>
          </reference>
          <reference field="2" count="1" selected="0">
            <x v="112"/>
          </reference>
          <reference field="13" count="1">
            <x v="17"/>
          </reference>
        </references>
      </pivotArea>
    </format>
    <format dxfId="1002">
      <pivotArea dataOnly="0" labelOnly="1" outline="0" fieldPosition="0">
        <references count="3">
          <reference field="1" count="1" selected="0">
            <x v="2"/>
          </reference>
          <reference field="2" count="1" selected="0">
            <x v="113"/>
          </reference>
          <reference field="13" count="1">
            <x v="15"/>
          </reference>
        </references>
      </pivotArea>
    </format>
    <format dxfId="1001">
      <pivotArea dataOnly="0" labelOnly="1" outline="0" fieldPosition="0">
        <references count="3">
          <reference field="1" count="1" selected="0">
            <x v="2"/>
          </reference>
          <reference field="2" count="1" selected="0">
            <x v="114"/>
          </reference>
          <reference field="13" count="1">
            <x v="101"/>
          </reference>
        </references>
      </pivotArea>
    </format>
    <format dxfId="1000">
      <pivotArea dataOnly="0" labelOnly="1" outline="0" fieldPosition="0">
        <references count="3">
          <reference field="1" count="1" selected="0">
            <x v="2"/>
          </reference>
          <reference field="2" count="1" selected="0">
            <x v="115"/>
          </reference>
          <reference field="13" count="1">
            <x v="42"/>
          </reference>
        </references>
      </pivotArea>
    </format>
    <format dxfId="999">
      <pivotArea dataOnly="0" labelOnly="1" outline="0" fieldPosition="0">
        <references count="3">
          <reference field="1" count="1" selected="0">
            <x v="2"/>
          </reference>
          <reference field="2" count="1" selected="0">
            <x v="116"/>
          </reference>
          <reference field="13" count="1">
            <x v="22"/>
          </reference>
        </references>
      </pivotArea>
    </format>
    <format dxfId="998">
      <pivotArea dataOnly="0" labelOnly="1" outline="0" fieldPosition="0">
        <references count="3">
          <reference field="1" count="1" selected="0">
            <x v="2"/>
          </reference>
          <reference field="2" count="1" selected="0">
            <x v="117"/>
          </reference>
          <reference field="13" count="1">
            <x v="20"/>
          </reference>
        </references>
      </pivotArea>
    </format>
    <format dxfId="997">
      <pivotArea dataOnly="0" labelOnly="1" outline="0" fieldPosition="0">
        <references count="3">
          <reference field="1" count="1" selected="0">
            <x v="2"/>
          </reference>
          <reference field="2" count="1" selected="0">
            <x v="118"/>
          </reference>
          <reference field="13" count="1">
            <x v="24"/>
          </reference>
        </references>
      </pivotArea>
    </format>
    <format dxfId="996">
      <pivotArea dataOnly="0" labelOnly="1" outline="0" fieldPosition="0">
        <references count="3">
          <reference field="1" count="1" selected="0">
            <x v="2"/>
          </reference>
          <reference field="2" count="1" selected="0">
            <x v="120"/>
          </reference>
          <reference field="13" count="1">
            <x v="66"/>
          </reference>
        </references>
      </pivotArea>
    </format>
    <format dxfId="995">
      <pivotArea dataOnly="0" labelOnly="1" outline="0" fieldPosition="0">
        <references count="3">
          <reference field="1" count="1" selected="0">
            <x v="2"/>
          </reference>
          <reference field="2" count="1" selected="0">
            <x v="121"/>
          </reference>
          <reference field="13" count="1">
            <x v="67"/>
          </reference>
        </references>
      </pivotArea>
    </format>
    <format dxfId="994">
      <pivotArea dataOnly="0" labelOnly="1" outline="0" fieldPosition="0">
        <references count="3">
          <reference field="1" count="1" selected="0">
            <x v="2"/>
          </reference>
          <reference field="2" count="1" selected="0">
            <x v="122"/>
          </reference>
          <reference field="13" count="1">
            <x v="21"/>
          </reference>
        </references>
      </pivotArea>
    </format>
    <format dxfId="993">
      <pivotArea dataOnly="0" labelOnly="1" outline="0" fieldPosition="0">
        <references count="3">
          <reference field="1" count="1" selected="0">
            <x v="2"/>
          </reference>
          <reference field="2" count="1" selected="0">
            <x v="123"/>
          </reference>
          <reference field="13" count="1">
            <x v="93"/>
          </reference>
        </references>
      </pivotArea>
    </format>
    <format dxfId="992">
      <pivotArea dataOnly="0" labelOnly="1" outline="0" fieldPosition="0">
        <references count="3">
          <reference field="1" count="1" selected="0">
            <x v="2"/>
          </reference>
          <reference field="2" count="1" selected="0">
            <x v="124"/>
          </reference>
          <reference field="13" count="1">
            <x v="91"/>
          </reference>
        </references>
      </pivotArea>
    </format>
    <format dxfId="991">
      <pivotArea dataOnly="0" labelOnly="1" outline="0" fieldPosition="0">
        <references count="3">
          <reference field="1" count="1" selected="0">
            <x v="2"/>
          </reference>
          <reference field="2" count="1" selected="0">
            <x v="125"/>
          </reference>
          <reference field="13" count="1">
            <x v="18"/>
          </reference>
        </references>
      </pivotArea>
    </format>
    <format dxfId="990">
      <pivotArea dataOnly="0" labelOnly="1" outline="0" fieldPosition="0">
        <references count="3">
          <reference field="1" count="1" selected="0">
            <x v="2"/>
          </reference>
          <reference field="2" count="1" selected="0">
            <x v="126"/>
          </reference>
          <reference field="13" count="1">
            <x v="68"/>
          </reference>
        </references>
      </pivotArea>
    </format>
    <format dxfId="989">
      <pivotArea dataOnly="0" labelOnly="1" outline="0" fieldPosition="0">
        <references count="3">
          <reference field="1" count="1" selected="0">
            <x v="2"/>
          </reference>
          <reference field="2" count="1" selected="0">
            <x v="127"/>
          </reference>
          <reference field="13" count="1">
            <x v="64"/>
          </reference>
        </references>
      </pivotArea>
    </format>
    <format dxfId="988">
      <pivotArea dataOnly="0" labelOnly="1" outline="0" fieldPosition="0">
        <references count="3">
          <reference field="1" count="1" selected="0">
            <x v="2"/>
          </reference>
          <reference field="2" count="1" selected="0">
            <x v="128"/>
          </reference>
          <reference field="13" count="1">
            <x v="37"/>
          </reference>
        </references>
      </pivotArea>
    </format>
    <format dxfId="987">
      <pivotArea dataOnly="0" labelOnly="1" outline="0" fieldPosition="0">
        <references count="3">
          <reference field="1" count="1" selected="0">
            <x v="3"/>
          </reference>
          <reference field="2" count="1" selected="0">
            <x v="129"/>
          </reference>
          <reference field="13" count="1">
            <x v="85"/>
          </reference>
        </references>
      </pivotArea>
    </format>
    <format dxfId="986">
      <pivotArea dataOnly="0" labelOnly="1" outline="0" fieldPosition="0">
        <references count="3">
          <reference field="1" count="1" selected="0">
            <x v="3"/>
          </reference>
          <reference field="2" count="1" selected="0">
            <x v="130"/>
          </reference>
          <reference field="13" count="1">
            <x v="30"/>
          </reference>
        </references>
      </pivotArea>
    </format>
    <format dxfId="985">
      <pivotArea dataOnly="0" labelOnly="1" outline="0" fieldPosition="0">
        <references count="3">
          <reference field="1" count="1" selected="0">
            <x v="3"/>
          </reference>
          <reference field="2" count="1" selected="0">
            <x v="131"/>
          </reference>
          <reference field="13" count="1">
            <x v="92"/>
          </reference>
        </references>
      </pivotArea>
    </format>
    <format dxfId="984">
      <pivotArea dataOnly="0" labelOnly="1" outline="0" fieldPosition="0">
        <references count="3">
          <reference field="1" count="1" selected="0">
            <x v="3"/>
          </reference>
          <reference field="2" count="1" selected="0">
            <x v="132"/>
          </reference>
          <reference field="13" count="1">
            <x v="64"/>
          </reference>
        </references>
      </pivotArea>
    </format>
    <format dxfId="983">
      <pivotArea dataOnly="0" labelOnly="1" outline="0" fieldPosition="0">
        <references count="3">
          <reference field="1" count="1" selected="0">
            <x v="4"/>
          </reference>
          <reference field="2" count="1" selected="0">
            <x v="7"/>
          </reference>
          <reference field="13" count="1">
            <x v="112"/>
          </reference>
        </references>
      </pivotArea>
    </format>
    <format dxfId="982">
      <pivotArea dataOnly="0" labelOnly="1" outline="0" fieldPosition="0">
        <references count="3">
          <reference field="1" count="1" selected="0">
            <x v="4"/>
          </reference>
          <reference field="2" count="1" selected="0">
            <x v="29"/>
          </reference>
          <reference field="13" count="1">
            <x v="107"/>
          </reference>
        </references>
      </pivotArea>
    </format>
    <format dxfId="981">
      <pivotArea dataOnly="0" labelOnly="1" outline="0" fieldPosition="0">
        <references count="3">
          <reference field="1" count="1" selected="0">
            <x v="4"/>
          </reference>
          <reference field="2" count="1" selected="0">
            <x v="30"/>
          </reference>
          <reference field="13" count="1">
            <x v="23"/>
          </reference>
        </references>
      </pivotArea>
    </format>
    <format dxfId="980">
      <pivotArea dataOnly="0" labelOnly="1" outline="0" fieldPosition="0">
        <references count="3">
          <reference field="1" count="1" selected="0">
            <x v="4"/>
          </reference>
          <reference field="2" count="1" selected="0">
            <x v="31"/>
          </reference>
          <reference field="13" count="1">
            <x v="58"/>
          </reference>
        </references>
      </pivotArea>
    </format>
    <format dxfId="979">
      <pivotArea dataOnly="0" labelOnly="1" outline="0" fieldPosition="0">
        <references count="3">
          <reference field="1" count="1" selected="0">
            <x v="4"/>
          </reference>
          <reference field="2" count="1" selected="0">
            <x v="51"/>
          </reference>
          <reference field="13" count="1">
            <x v="112"/>
          </reference>
        </references>
      </pivotArea>
    </format>
    <format dxfId="978">
      <pivotArea dataOnly="0" labelOnly="1" outline="0" fieldPosition="0">
        <references count="4">
          <reference field="1" count="1" selected="0">
            <x v="0"/>
          </reference>
          <reference field="2" count="1" selected="0">
            <x v="0"/>
          </reference>
          <reference field="6" count="1">
            <x v="116"/>
          </reference>
          <reference field="13" count="1" selected="0">
            <x v="53"/>
          </reference>
        </references>
      </pivotArea>
    </format>
    <format dxfId="977">
      <pivotArea dataOnly="0" labelOnly="1" outline="0" fieldPosition="0">
        <references count="4">
          <reference field="1" count="1" selected="0">
            <x v="0"/>
          </reference>
          <reference field="2" count="1" selected="0">
            <x v="1"/>
          </reference>
          <reference field="6" count="1">
            <x v="117"/>
          </reference>
          <reference field="13" count="1" selected="0">
            <x v="10"/>
          </reference>
        </references>
      </pivotArea>
    </format>
    <format dxfId="976">
      <pivotArea dataOnly="0" labelOnly="1" outline="0" fieldPosition="0">
        <references count="4">
          <reference field="1" count="1" selected="0">
            <x v="0"/>
          </reference>
          <reference field="2" count="1" selected="0">
            <x v="2"/>
          </reference>
          <reference field="6" count="1">
            <x v="118"/>
          </reference>
          <reference field="13" count="1" selected="0">
            <x v="50"/>
          </reference>
        </references>
      </pivotArea>
    </format>
    <format dxfId="975">
      <pivotArea dataOnly="0" labelOnly="1" outline="0" fieldPosition="0">
        <references count="4">
          <reference field="1" count="1" selected="0">
            <x v="0"/>
          </reference>
          <reference field="2" count="1" selected="0">
            <x v="3"/>
          </reference>
          <reference field="6" count="1">
            <x v="120"/>
          </reference>
          <reference field="13" count="1" selected="0">
            <x v="96"/>
          </reference>
        </references>
      </pivotArea>
    </format>
    <format dxfId="974">
      <pivotArea dataOnly="0" labelOnly="1" outline="0" fieldPosition="0">
        <references count="4">
          <reference field="1" count="1" selected="0">
            <x v="0"/>
          </reference>
          <reference field="2" count="1" selected="0">
            <x v="4"/>
          </reference>
          <reference field="6" count="1">
            <x v="22"/>
          </reference>
          <reference field="13" count="1" selected="0">
            <x v="73"/>
          </reference>
        </references>
      </pivotArea>
    </format>
    <format dxfId="973">
      <pivotArea dataOnly="0" labelOnly="1" outline="0" fieldPosition="0">
        <references count="4">
          <reference field="1" count="1" selected="0">
            <x v="0"/>
          </reference>
          <reference field="2" count="1" selected="0">
            <x v="5"/>
          </reference>
          <reference field="6" count="1">
            <x v="25"/>
          </reference>
          <reference field="13" count="1" selected="0">
            <x v="81"/>
          </reference>
        </references>
      </pivotArea>
    </format>
    <format dxfId="972">
      <pivotArea dataOnly="0" labelOnly="1" outline="0" fieldPosition="0">
        <references count="4">
          <reference field="1" count="1" selected="0">
            <x v="0"/>
          </reference>
          <reference field="2" count="1" selected="0">
            <x v="6"/>
          </reference>
          <reference field="6" count="1">
            <x v="58"/>
          </reference>
          <reference field="13" count="1" selected="0">
            <x v="100"/>
          </reference>
        </references>
      </pivotArea>
    </format>
    <format dxfId="971">
      <pivotArea dataOnly="0" labelOnly="1" outline="0" fieldPosition="0">
        <references count="4">
          <reference field="1" count="1" selected="0">
            <x v="0"/>
          </reference>
          <reference field="2" count="1" selected="0">
            <x v="8"/>
          </reference>
          <reference field="6" count="1">
            <x v="21"/>
          </reference>
          <reference field="13" count="1" selected="0">
            <x v="74"/>
          </reference>
        </references>
      </pivotArea>
    </format>
    <format dxfId="970">
      <pivotArea dataOnly="0" labelOnly="1" outline="0" fieldPosition="0">
        <references count="4">
          <reference field="1" count="1" selected="0">
            <x v="0"/>
          </reference>
          <reference field="2" count="1" selected="0">
            <x v="9"/>
          </reference>
          <reference field="6" count="1">
            <x v="56"/>
          </reference>
          <reference field="13" count="1" selected="0">
            <x v="75"/>
          </reference>
        </references>
      </pivotArea>
    </format>
    <format dxfId="969">
      <pivotArea dataOnly="0" labelOnly="1" outline="0" fieldPosition="0">
        <references count="4">
          <reference field="1" count="1" selected="0">
            <x v="0"/>
          </reference>
          <reference field="2" count="1" selected="0">
            <x v="10"/>
          </reference>
          <reference field="6" count="1">
            <x v="108"/>
          </reference>
          <reference field="13" count="1" selected="0">
            <x v="76"/>
          </reference>
        </references>
      </pivotArea>
    </format>
    <format dxfId="968">
      <pivotArea dataOnly="0" labelOnly="1" outline="0" fieldPosition="0">
        <references count="4">
          <reference field="1" count="1" selected="0">
            <x v="0"/>
          </reference>
          <reference field="2" count="1" selected="0">
            <x v="11"/>
          </reference>
          <reference field="6" count="1">
            <x v="24"/>
          </reference>
          <reference field="13" count="1" selected="0">
            <x v="71"/>
          </reference>
        </references>
      </pivotArea>
    </format>
    <format dxfId="967">
      <pivotArea dataOnly="0" labelOnly="1" outline="0" fieldPosition="0">
        <references count="4">
          <reference field="1" count="1" selected="0">
            <x v="0"/>
          </reference>
          <reference field="2" count="1" selected="0">
            <x v="12"/>
          </reference>
          <reference field="6" count="1">
            <x v="92"/>
          </reference>
          <reference field="13" count="1" selected="0">
            <x v="72"/>
          </reference>
        </references>
      </pivotArea>
    </format>
    <format dxfId="966">
      <pivotArea dataOnly="0" labelOnly="1" outline="0" fieldPosition="0">
        <references count="4">
          <reference field="1" count="1" selected="0">
            <x v="0"/>
          </reference>
          <reference field="2" count="1" selected="0">
            <x v="13"/>
          </reference>
          <reference field="6" count="1">
            <x v="93"/>
          </reference>
          <reference field="13" count="1" selected="0">
            <x v="77"/>
          </reference>
        </references>
      </pivotArea>
    </format>
    <format dxfId="965">
      <pivotArea dataOnly="0" labelOnly="1" outline="0" fieldPosition="0">
        <references count="4">
          <reference field="1" count="1" selected="0">
            <x v="0"/>
          </reference>
          <reference field="2" count="1" selected="0">
            <x v="14"/>
          </reference>
          <reference field="6" count="1">
            <x v="91"/>
          </reference>
          <reference field="13" count="1" selected="0">
            <x v="78"/>
          </reference>
        </references>
      </pivotArea>
    </format>
    <format dxfId="964">
      <pivotArea dataOnly="0" labelOnly="1" outline="0" fieldPosition="0">
        <references count="4">
          <reference field="1" count="1" selected="0">
            <x v="0"/>
          </reference>
          <reference field="2" count="1" selected="0">
            <x v="15"/>
          </reference>
          <reference field="6" count="1">
            <x v="112"/>
          </reference>
          <reference field="13" count="1" selected="0">
            <x v="38"/>
          </reference>
        </references>
      </pivotArea>
    </format>
    <format dxfId="963">
      <pivotArea dataOnly="0" labelOnly="1" outline="0" fieldPosition="0">
        <references count="4">
          <reference field="1" count="1" selected="0">
            <x v="0"/>
          </reference>
          <reference field="2" count="1" selected="0">
            <x v="16"/>
          </reference>
          <reference field="6" count="1">
            <x v="114"/>
          </reference>
          <reference field="13" count="1" selected="0">
            <x v="32"/>
          </reference>
        </references>
      </pivotArea>
    </format>
    <format dxfId="962">
      <pivotArea dataOnly="0" labelOnly="1" outline="0" fieldPosition="0">
        <references count="4">
          <reference field="1" count="1" selected="0">
            <x v="0"/>
          </reference>
          <reference field="2" count="1" selected="0">
            <x v="17"/>
          </reference>
          <reference field="6" count="1">
            <x v="7"/>
          </reference>
          <reference field="13" count="1" selected="0">
            <x v="31"/>
          </reference>
        </references>
      </pivotArea>
    </format>
    <format dxfId="961">
      <pivotArea dataOnly="0" labelOnly="1" outline="0" fieldPosition="0">
        <references count="4">
          <reference field="1" count="1" selected="0">
            <x v="0"/>
          </reference>
          <reference field="2" count="1" selected="0">
            <x v="18"/>
          </reference>
          <reference field="6" count="1">
            <x v="57"/>
          </reference>
          <reference field="13" count="1" selected="0">
            <x v="79"/>
          </reference>
        </references>
      </pivotArea>
    </format>
    <format dxfId="960">
      <pivotArea dataOnly="0" labelOnly="1" outline="0" fieldPosition="0">
        <references count="4">
          <reference field="1" count="1" selected="0">
            <x v="0"/>
          </reference>
          <reference field="2" count="1" selected="0">
            <x v="19"/>
          </reference>
          <reference field="6" count="1">
            <x v="47"/>
          </reference>
          <reference field="13" count="1" selected="0">
            <x v="33"/>
          </reference>
        </references>
      </pivotArea>
    </format>
    <format dxfId="959">
      <pivotArea dataOnly="0" labelOnly="1" outline="0" fieldPosition="0">
        <references count="4">
          <reference field="1" count="1" selected="0">
            <x v="0"/>
          </reference>
          <reference field="2" count="1" selected="0">
            <x v="20"/>
          </reference>
          <reference field="6" count="1">
            <x v="113"/>
          </reference>
          <reference field="13" count="1" selected="0">
            <x v="80"/>
          </reference>
        </references>
      </pivotArea>
    </format>
    <format dxfId="958">
      <pivotArea dataOnly="0" labelOnly="1" outline="0" fieldPosition="0">
        <references count="4">
          <reference field="1" count="1" selected="0">
            <x v="0"/>
          </reference>
          <reference field="2" count="1" selected="0">
            <x v="21"/>
          </reference>
          <reference field="6" count="1">
            <x v="89"/>
          </reference>
          <reference field="13" count="1" selected="0">
            <x v="26"/>
          </reference>
        </references>
      </pivotArea>
    </format>
    <format dxfId="957">
      <pivotArea dataOnly="0" labelOnly="1" outline="0" fieldPosition="0">
        <references count="4">
          <reference field="1" count="1" selected="0">
            <x v="0"/>
          </reference>
          <reference field="2" count="1" selected="0">
            <x v="22"/>
          </reference>
          <reference field="6" count="1">
            <x v="19"/>
          </reference>
          <reference field="13" count="1" selected="0">
            <x v="106"/>
          </reference>
        </references>
      </pivotArea>
    </format>
    <format dxfId="956">
      <pivotArea dataOnly="0" labelOnly="1" outline="0" fieldPosition="0">
        <references count="4">
          <reference field="1" count="1" selected="0">
            <x v="0"/>
          </reference>
          <reference field="2" count="1" selected="0">
            <x v="23"/>
          </reference>
          <reference field="6" count="1">
            <x v="109"/>
          </reference>
          <reference field="13" count="1" selected="0">
            <x v="16"/>
          </reference>
        </references>
      </pivotArea>
    </format>
    <format dxfId="955">
      <pivotArea dataOnly="0" labelOnly="1" outline="0" fieldPosition="0">
        <references count="4">
          <reference field="1" count="1" selected="0">
            <x v="0"/>
          </reference>
          <reference field="2" count="1" selected="0">
            <x v="24"/>
          </reference>
          <reference field="6" count="1">
            <x v="115"/>
          </reference>
          <reference field="13" count="1" selected="0">
            <x v="48"/>
          </reference>
        </references>
      </pivotArea>
    </format>
    <format dxfId="954">
      <pivotArea dataOnly="0" labelOnly="1" outline="0" fieldPosition="0">
        <references count="4">
          <reference field="1" count="1" selected="0">
            <x v="0"/>
          </reference>
          <reference field="2" count="1" selected="0">
            <x v="25"/>
          </reference>
          <reference field="6" count="1">
            <x v="111"/>
          </reference>
          <reference field="13" count="1" selected="0">
            <x v="39"/>
          </reference>
        </references>
      </pivotArea>
    </format>
    <format dxfId="953">
      <pivotArea dataOnly="0" labelOnly="1" outline="0" fieldPosition="0">
        <references count="4">
          <reference field="1" count="1" selected="0">
            <x v="0"/>
          </reference>
          <reference field="2" count="1" selected="0">
            <x v="26"/>
          </reference>
          <reference field="6" count="1">
            <x v="9"/>
          </reference>
          <reference field="13" count="1" selected="0">
            <x v="11"/>
          </reference>
        </references>
      </pivotArea>
    </format>
    <format dxfId="952">
      <pivotArea dataOnly="0" labelOnly="1" outline="0" fieldPosition="0">
        <references count="4">
          <reference field="1" count="1" selected="0">
            <x v="0"/>
          </reference>
          <reference field="2" count="1" selected="0">
            <x v="27"/>
          </reference>
          <reference field="6" count="1">
            <x v="42"/>
          </reference>
          <reference field="13" count="1" selected="0">
            <x v="15"/>
          </reference>
        </references>
      </pivotArea>
    </format>
    <format dxfId="951">
      <pivotArea dataOnly="0" labelOnly="1" outline="0" fieldPosition="0">
        <references count="4">
          <reference field="1" count="1" selected="0">
            <x v="0"/>
          </reference>
          <reference field="2" count="1" selected="0">
            <x v="28"/>
          </reference>
          <reference field="6" count="1">
            <x v="107"/>
          </reference>
          <reference field="13" count="1" selected="0">
            <x v="62"/>
          </reference>
        </references>
      </pivotArea>
    </format>
    <format dxfId="950">
      <pivotArea dataOnly="0" labelOnly="1" outline="0" fieldPosition="0">
        <references count="4">
          <reference field="1" count="1" selected="0">
            <x v="0"/>
          </reference>
          <reference field="2" count="1" selected="0">
            <x v="32"/>
          </reference>
          <reference field="6" count="1">
            <x v="80"/>
          </reference>
          <reference field="13" count="1" selected="0">
            <x v="59"/>
          </reference>
        </references>
      </pivotArea>
    </format>
    <format dxfId="949">
      <pivotArea dataOnly="0" labelOnly="1" outline="0" fieldPosition="0">
        <references count="4">
          <reference field="1" count="1" selected="0">
            <x v="0"/>
          </reference>
          <reference field="2" count="1" selected="0">
            <x v="33"/>
          </reference>
          <reference field="6" count="1">
            <x v="77"/>
          </reference>
          <reference field="13" count="1" selected="0">
            <x v="82"/>
          </reference>
        </references>
      </pivotArea>
    </format>
    <format dxfId="948">
      <pivotArea dataOnly="0" labelOnly="1" outline="0" fieldPosition="0">
        <references count="4">
          <reference field="1" count="1" selected="0">
            <x v="0"/>
          </reference>
          <reference field="2" count="1" selected="0">
            <x v="34"/>
          </reference>
          <reference field="6" count="1">
            <x v="73"/>
          </reference>
          <reference field="13" count="1" selected="0">
            <x v="83"/>
          </reference>
        </references>
      </pivotArea>
    </format>
    <format dxfId="947">
      <pivotArea dataOnly="0" labelOnly="1" outline="0" fieldPosition="0">
        <references count="4">
          <reference field="1" count="1" selected="0">
            <x v="0"/>
          </reference>
          <reference field="2" count="1" selected="0">
            <x v="35"/>
          </reference>
          <reference field="6" count="1">
            <x v="110"/>
          </reference>
          <reference field="13" count="1" selected="0">
            <x v="94"/>
          </reference>
        </references>
      </pivotArea>
    </format>
    <format dxfId="946">
      <pivotArea dataOnly="0" labelOnly="1" outline="0" fieldPosition="0">
        <references count="4">
          <reference field="1" count="1" selected="0">
            <x v="0"/>
          </reference>
          <reference field="2" count="1" selected="0">
            <x v="36"/>
          </reference>
          <reference field="6" count="1">
            <x v="105"/>
          </reference>
          <reference field="13" count="1" selected="0">
            <x v="109"/>
          </reference>
        </references>
      </pivotArea>
    </format>
    <format dxfId="945">
      <pivotArea dataOnly="0" labelOnly="1" outline="0" fieldPosition="0">
        <references count="4">
          <reference field="1" count="1" selected="0">
            <x v="0"/>
          </reference>
          <reference field="2" count="1" selected="0">
            <x v="37"/>
          </reference>
          <reference field="6" count="1">
            <x v="59"/>
          </reference>
          <reference field="13" count="1" selected="0">
            <x v="86"/>
          </reference>
        </references>
      </pivotArea>
    </format>
    <format dxfId="944">
      <pivotArea dataOnly="0" labelOnly="1" outline="0" fieldPosition="0">
        <references count="4">
          <reference field="1" count="1" selected="0">
            <x v="0"/>
          </reference>
          <reference field="2" count="1" selected="0">
            <x v="38"/>
          </reference>
          <reference field="6" count="1">
            <x v="11"/>
          </reference>
          <reference field="13" count="1" selected="0">
            <x v="87"/>
          </reference>
        </references>
      </pivotArea>
    </format>
    <format dxfId="943">
      <pivotArea dataOnly="0" labelOnly="1" outline="0" fieldPosition="0">
        <references count="4">
          <reference field="1" count="1" selected="0">
            <x v="0"/>
          </reference>
          <reference field="2" count="1" selected="0">
            <x v="39"/>
          </reference>
          <reference field="6" count="1">
            <x v="62"/>
          </reference>
          <reference field="13" count="1" selected="0">
            <x v="88"/>
          </reference>
        </references>
      </pivotArea>
    </format>
    <format dxfId="942">
      <pivotArea dataOnly="0" labelOnly="1" outline="0" fieldPosition="0">
        <references count="4">
          <reference field="1" count="1" selected="0">
            <x v="0"/>
          </reference>
          <reference field="2" count="1" selected="0">
            <x v="40"/>
          </reference>
          <reference field="6" count="1">
            <x v="54"/>
          </reference>
          <reference field="13" count="1" selected="0">
            <x v="110"/>
          </reference>
        </references>
      </pivotArea>
    </format>
    <format dxfId="941">
      <pivotArea dataOnly="0" labelOnly="1" outline="0" fieldPosition="0">
        <references count="4">
          <reference field="1" count="1" selected="0">
            <x v="0"/>
          </reference>
          <reference field="2" count="1" selected="0">
            <x v="41"/>
          </reference>
          <reference field="6" count="1">
            <x v="63"/>
          </reference>
          <reference field="13" count="1" selected="0">
            <x v="104"/>
          </reference>
        </references>
      </pivotArea>
    </format>
    <format dxfId="940">
      <pivotArea dataOnly="0" labelOnly="1" outline="0" fieldPosition="0">
        <references count="4">
          <reference field="1" count="1" selected="0">
            <x v="0"/>
          </reference>
          <reference field="2" count="1" selected="0">
            <x v="42"/>
          </reference>
          <reference field="6" count="1">
            <x v="83"/>
          </reference>
          <reference field="13" count="1" selected="0">
            <x v="89"/>
          </reference>
        </references>
      </pivotArea>
    </format>
    <format dxfId="939">
      <pivotArea dataOnly="0" labelOnly="1" outline="0" fieldPosition="0">
        <references count="4">
          <reference field="1" count="1" selected="0">
            <x v="0"/>
          </reference>
          <reference field="2" count="1" selected="0">
            <x v="43"/>
          </reference>
          <reference field="6" count="1">
            <x v="106"/>
          </reference>
          <reference field="13" count="1" selected="0">
            <x v="35"/>
          </reference>
        </references>
      </pivotArea>
    </format>
    <format dxfId="938">
      <pivotArea dataOnly="0" labelOnly="1" outline="0" fieldPosition="0">
        <references count="4">
          <reference field="1" count="1" selected="0">
            <x v="0"/>
          </reference>
          <reference field="2" count="1" selected="0">
            <x v="44"/>
          </reference>
          <reference field="6" count="1">
            <x v="94"/>
          </reference>
          <reference field="13" count="1" selected="0">
            <x v="112"/>
          </reference>
        </references>
      </pivotArea>
    </format>
    <format dxfId="937">
      <pivotArea dataOnly="0" labelOnly="1" outline="0" fieldPosition="0">
        <references count="4">
          <reference field="1" count="1" selected="0">
            <x v="0"/>
          </reference>
          <reference field="2" count="1" selected="0">
            <x v="45"/>
          </reference>
          <reference field="6" count="1">
            <x v="29"/>
          </reference>
          <reference field="13" count="1" selected="0">
            <x v="4"/>
          </reference>
        </references>
      </pivotArea>
    </format>
    <format dxfId="936">
      <pivotArea dataOnly="0" labelOnly="1" outline="0" fieldPosition="0">
        <references count="4">
          <reference field="1" count="1" selected="0">
            <x v="0"/>
          </reference>
          <reference field="2" count="1" selected="0">
            <x v="46"/>
          </reference>
          <reference field="6" count="1">
            <x v="75"/>
          </reference>
          <reference field="13" count="1" selected="0">
            <x v="0"/>
          </reference>
        </references>
      </pivotArea>
    </format>
    <format dxfId="935">
      <pivotArea dataOnly="0" labelOnly="1" outline="0" fieldPosition="0">
        <references count="4">
          <reference field="1" count="1" selected="0">
            <x v="0"/>
          </reference>
          <reference field="2" count="1" selected="0">
            <x v="47"/>
          </reference>
          <reference field="6" count="1">
            <x v="17"/>
          </reference>
          <reference field="13" count="1" selected="0">
            <x v="5"/>
          </reference>
        </references>
      </pivotArea>
    </format>
    <format dxfId="934">
      <pivotArea dataOnly="0" labelOnly="1" outline="0" fieldPosition="0">
        <references count="4">
          <reference field="1" count="1" selected="0">
            <x v="0"/>
          </reference>
          <reference field="2" count="1" selected="0">
            <x v="48"/>
          </reference>
          <reference field="6" count="1">
            <x v="15"/>
          </reference>
          <reference field="13" count="1" selected="0">
            <x v="3"/>
          </reference>
        </references>
      </pivotArea>
    </format>
    <format dxfId="933">
      <pivotArea dataOnly="0" labelOnly="1" outline="0" fieldPosition="0">
        <references count="4">
          <reference field="1" count="1" selected="0">
            <x v="0"/>
          </reference>
          <reference field="2" count="1" selected="0">
            <x v="49"/>
          </reference>
          <reference field="6" count="1">
            <x v="13"/>
          </reference>
          <reference field="13" count="1" selected="0">
            <x v="1"/>
          </reference>
        </references>
      </pivotArea>
    </format>
    <format dxfId="932">
      <pivotArea dataOnly="0" labelOnly="1" outline="0" fieldPosition="0">
        <references count="4">
          <reference field="1" count="1" selected="0">
            <x v="0"/>
          </reference>
          <reference field="2" count="1" selected="0">
            <x v="50"/>
          </reference>
          <reference field="6" count="1">
            <x v="6"/>
          </reference>
          <reference field="13" count="1" selected="0">
            <x v="2"/>
          </reference>
        </references>
      </pivotArea>
    </format>
    <format dxfId="931">
      <pivotArea dataOnly="0" labelOnly="1" outline="0" fieldPosition="0">
        <references count="4">
          <reference field="1" count="1" selected="0">
            <x v="0"/>
          </reference>
          <reference field="2" count="1" selected="0">
            <x v="52"/>
          </reference>
          <reference field="6" count="1">
            <x v="88"/>
          </reference>
          <reference field="13" count="1" selected="0">
            <x v="90"/>
          </reference>
        </references>
      </pivotArea>
    </format>
    <format dxfId="930">
      <pivotArea dataOnly="0" labelOnly="1" outline="0" fieldPosition="0">
        <references count="4">
          <reference field="1" count="1" selected="0">
            <x v="0"/>
          </reference>
          <reference field="2" count="1" selected="0">
            <x v="53"/>
          </reference>
          <reference field="6" count="1">
            <x v="70"/>
          </reference>
          <reference field="13" count="1" selected="0">
            <x v="36"/>
          </reference>
        </references>
      </pivotArea>
    </format>
    <format dxfId="929">
      <pivotArea dataOnly="0" labelOnly="1" outline="0" fieldPosition="0">
        <references count="4">
          <reference field="1" count="1" selected="0">
            <x v="0"/>
          </reference>
          <reference field="2" count="1" selected="0">
            <x v="54"/>
          </reference>
          <reference field="6" count="1">
            <x v="44"/>
          </reference>
          <reference field="13" count="1" selected="0">
            <x v="84"/>
          </reference>
        </references>
      </pivotArea>
    </format>
    <format dxfId="928">
      <pivotArea dataOnly="0" labelOnly="1" outline="0" fieldPosition="0">
        <references count="4">
          <reference field="1" count="1" selected="0">
            <x v="1"/>
          </reference>
          <reference field="2" count="1" selected="0">
            <x v="55"/>
          </reference>
          <reference field="6" count="1">
            <x v="50"/>
          </reference>
          <reference field="13" count="1" selected="0">
            <x v="54"/>
          </reference>
        </references>
      </pivotArea>
    </format>
    <format dxfId="927">
      <pivotArea dataOnly="0" labelOnly="1" outline="0" fieldPosition="0">
        <references count="4">
          <reference field="1" count="1" selected="0">
            <x v="1"/>
          </reference>
          <reference field="2" count="1" selected="0">
            <x v="56"/>
          </reference>
          <reference field="6" count="1">
            <x v="51"/>
          </reference>
          <reference field="13" count="1" selected="0">
            <x v="56"/>
          </reference>
        </references>
      </pivotArea>
    </format>
    <format dxfId="926">
      <pivotArea dataOnly="0" labelOnly="1" outline="0" fieldPosition="0">
        <references count="4">
          <reference field="1" count="1" selected="0">
            <x v="1"/>
          </reference>
          <reference field="2" count="1" selected="0">
            <x v="57"/>
          </reference>
          <reference field="6" count="1">
            <x v="52"/>
          </reference>
          <reference field="13" count="1" selected="0">
            <x v="55"/>
          </reference>
        </references>
      </pivotArea>
    </format>
    <format dxfId="925">
      <pivotArea dataOnly="0" labelOnly="1" outline="0" fieldPosition="0">
        <references count="4">
          <reference field="1" count="1" selected="0">
            <x v="1"/>
          </reference>
          <reference field="2" count="1" selected="0">
            <x v="58"/>
          </reference>
          <reference field="6" count="1">
            <x v="53"/>
          </reference>
          <reference field="13" count="1" selected="0">
            <x v="57"/>
          </reference>
        </references>
      </pivotArea>
    </format>
    <format dxfId="924">
      <pivotArea dataOnly="0" labelOnly="1" outline="0" fieldPosition="0">
        <references count="4">
          <reference field="1" count="1" selected="0">
            <x v="1"/>
          </reference>
          <reference field="2" count="1" selected="0">
            <x v="59"/>
          </reference>
          <reference field="6" count="1">
            <x v="107"/>
          </reference>
          <reference field="13" count="1" selected="0">
            <x v="62"/>
          </reference>
        </references>
      </pivotArea>
    </format>
    <format dxfId="923">
      <pivotArea dataOnly="0" labelOnly="1" outline="0" fieldPosition="0">
        <references count="4">
          <reference field="1" count="1" selected="0">
            <x v="1"/>
          </reference>
          <reference field="2" count="1" selected="0">
            <x v="60"/>
          </reference>
          <reference field="6" count="1">
            <x v="12"/>
          </reference>
          <reference field="13" count="1" selected="0">
            <x v="61"/>
          </reference>
        </references>
      </pivotArea>
    </format>
    <format dxfId="922">
      <pivotArea dataOnly="0" labelOnly="1" outline="0" fieldPosition="0">
        <references count="4">
          <reference field="1" count="1" selected="0">
            <x v="1"/>
          </reference>
          <reference field="2" count="1" selected="0">
            <x v="61"/>
          </reference>
          <reference field="6" count="1">
            <x v="61"/>
          </reference>
          <reference field="13" count="1" selected="0">
            <x v="14"/>
          </reference>
        </references>
      </pivotArea>
    </format>
    <format dxfId="921">
      <pivotArea dataOnly="0" labelOnly="1" outline="0" fieldPosition="0">
        <references count="4">
          <reference field="1" count="1" selected="0">
            <x v="1"/>
          </reference>
          <reference field="2" count="1" selected="0">
            <x v="62"/>
          </reference>
          <reference field="6" count="1">
            <x v="8"/>
          </reference>
          <reference field="13" count="1" selected="0">
            <x v="60"/>
          </reference>
        </references>
      </pivotArea>
    </format>
    <format dxfId="920">
      <pivotArea dataOnly="0" labelOnly="1" outline="0" fieldPosition="0">
        <references count="4">
          <reference field="1" count="1" selected="0">
            <x v="1"/>
          </reference>
          <reference field="2" count="1" selected="0">
            <x v="63"/>
          </reference>
          <reference field="6" count="1">
            <x v="64"/>
          </reference>
          <reference field="13" count="1" selected="0">
            <x v="43"/>
          </reference>
        </references>
      </pivotArea>
    </format>
    <format dxfId="919">
      <pivotArea dataOnly="0" labelOnly="1" outline="0" fieldPosition="0">
        <references count="4">
          <reference field="1" count="1" selected="0">
            <x v="1"/>
          </reference>
          <reference field="2" count="1" selected="0">
            <x v="64"/>
          </reference>
          <reference field="6" count="1">
            <x v="65"/>
          </reference>
          <reference field="13" count="1" selected="0">
            <x v="44"/>
          </reference>
        </references>
      </pivotArea>
    </format>
    <format dxfId="918">
      <pivotArea dataOnly="0" labelOnly="1" outline="0" fieldPosition="0">
        <references count="4">
          <reference field="1" count="1" selected="0">
            <x v="1"/>
          </reference>
          <reference field="2" count="1" selected="0">
            <x v="65"/>
          </reference>
          <reference field="6" count="1">
            <x v="66"/>
          </reference>
          <reference field="13" count="1" selected="0">
            <x v="45"/>
          </reference>
        </references>
      </pivotArea>
    </format>
    <format dxfId="917">
      <pivotArea dataOnly="0" labelOnly="1" outline="0" fieldPosition="0">
        <references count="4">
          <reference field="1" count="1" selected="0">
            <x v="1"/>
          </reference>
          <reference field="2" count="1" selected="0">
            <x v="66"/>
          </reference>
          <reference field="6" count="1">
            <x v="69"/>
          </reference>
          <reference field="13" count="1" selected="0">
            <x v="47"/>
          </reference>
        </references>
      </pivotArea>
    </format>
    <format dxfId="916">
      <pivotArea dataOnly="0" labelOnly="1" outline="0" fieldPosition="0">
        <references count="4">
          <reference field="1" count="1" selected="0">
            <x v="1"/>
          </reference>
          <reference field="2" count="1" selected="0">
            <x v="67"/>
          </reference>
          <reference field="6" count="1">
            <x v="67"/>
          </reference>
          <reference field="13" count="1" selected="0">
            <x v="28"/>
          </reference>
        </references>
      </pivotArea>
    </format>
    <format dxfId="915">
      <pivotArea dataOnly="0" labelOnly="1" outline="0" fieldPosition="0">
        <references count="4">
          <reference field="1" count="1" selected="0">
            <x v="1"/>
          </reference>
          <reference field="2" count="1" selected="0">
            <x v="68"/>
          </reference>
          <reference field="6" count="1">
            <x v="68"/>
          </reference>
          <reference field="13" count="1" selected="0">
            <x v="46"/>
          </reference>
        </references>
      </pivotArea>
    </format>
    <format dxfId="914">
      <pivotArea dataOnly="0" labelOnly="1" outline="0" fieldPosition="0">
        <references count="4">
          <reference field="1" count="1" selected="0">
            <x v="1"/>
          </reference>
          <reference field="2" count="1" selected="0">
            <x v="69"/>
          </reference>
          <reference field="6" count="1">
            <x v="71"/>
          </reference>
          <reference field="13" count="1" selected="0">
            <x v="29"/>
          </reference>
        </references>
      </pivotArea>
    </format>
    <format dxfId="913">
      <pivotArea dataOnly="0" labelOnly="1" outline="0" fieldPosition="0">
        <references count="4">
          <reference field="1" count="1" selected="0">
            <x v="1"/>
          </reference>
          <reference field="2" count="1" selected="0">
            <x v="70"/>
          </reference>
          <reference field="6" count="1">
            <x v="28"/>
          </reference>
          <reference field="13" count="1" selected="0">
            <x v="70"/>
          </reference>
        </references>
      </pivotArea>
    </format>
    <format dxfId="912">
      <pivotArea dataOnly="0" labelOnly="1" outline="0" fieldPosition="0">
        <references count="4">
          <reference field="1" count="1" selected="0">
            <x v="1"/>
          </reference>
          <reference field="2" count="1" selected="0">
            <x v="71"/>
          </reference>
          <reference field="6" count="1">
            <x v="78"/>
          </reference>
          <reference field="13" count="1" selected="0">
            <x v="58"/>
          </reference>
        </references>
      </pivotArea>
    </format>
    <format dxfId="911">
      <pivotArea dataOnly="0" labelOnly="1" outline="0" fieldPosition="0">
        <references count="4">
          <reference field="1" count="1" selected="0">
            <x v="1"/>
          </reference>
          <reference field="2" count="1" selected="0">
            <x v="72"/>
          </reference>
          <reference field="6" count="1">
            <x v="79"/>
          </reference>
          <reference field="13" count="1" selected="0">
            <x v="59"/>
          </reference>
        </references>
      </pivotArea>
    </format>
    <format dxfId="910">
      <pivotArea dataOnly="0" labelOnly="1" outline="0" fieldPosition="0">
        <references count="4">
          <reference field="1" count="1" selected="0">
            <x v="1"/>
          </reference>
          <reference field="2" count="1" selected="0">
            <x v="73"/>
          </reference>
          <reference field="6" count="1">
            <x v="26"/>
          </reference>
          <reference field="13" count="1" selected="0">
            <x v="102"/>
          </reference>
        </references>
      </pivotArea>
    </format>
    <format dxfId="909">
      <pivotArea dataOnly="0" labelOnly="1" outline="0" fieldPosition="0">
        <references count="4">
          <reference field="1" count="1" selected="0">
            <x v="1"/>
          </reference>
          <reference field="2" count="1" selected="0">
            <x v="74"/>
          </reference>
          <reference field="6" count="1">
            <x v="48"/>
          </reference>
          <reference field="13" count="1" selected="0">
            <x v="98"/>
          </reference>
        </references>
      </pivotArea>
    </format>
    <format dxfId="908">
      <pivotArea dataOnly="0" labelOnly="1" outline="0" fieldPosition="0">
        <references count="4">
          <reference field="1" count="1" selected="0">
            <x v="1"/>
          </reference>
          <reference field="2" count="1" selected="0">
            <x v="75"/>
          </reference>
          <reference field="6" count="1">
            <x v="27"/>
          </reference>
          <reference field="13" count="1" selected="0">
            <x v="103"/>
          </reference>
        </references>
      </pivotArea>
    </format>
    <format dxfId="907">
      <pivotArea dataOnly="0" labelOnly="1" outline="0" fieldPosition="0">
        <references count="4">
          <reference field="1" count="1" selected="0">
            <x v="1"/>
          </reference>
          <reference field="2" count="1" selected="0">
            <x v="76"/>
          </reference>
          <reference field="6" count="1">
            <x v="49"/>
          </reference>
          <reference field="13" count="1" selected="0">
            <x v="99"/>
          </reference>
        </references>
      </pivotArea>
    </format>
    <format dxfId="906">
      <pivotArea dataOnly="0" labelOnly="1" outline="0" fieldPosition="0">
        <references count="4">
          <reference field="1" count="1" selected="0">
            <x v="1"/>
          </reference>
          <reference field="2" count="1" selected="0">
            <x v="77"/>
          </reference>
          <reference field="6" count="1">
            <x v="97"/>
          </reference>
          <reference field="13" count="1" selected="0">
            <x v="69"/>
          </reference>
        </references>
      </pivotArea>
    </format>
    <format dxfId="905">
      <pivotArea dataOnly="0" labelOnly="1" outline="0" fieldPosition="0">
        <references count="4">
          <reference field="1" count="1" selected="0">
            <x v="1"/>
          </reference>
          <reference field="2" count="1" selected="0">
            <x v="78"/>
          </reference>
          <reference field="6" count="1">
            <x v="98"/>
          </reference>
          <reference field="13" count="1" selected="0">
            <x v="40"/>
          </reference>
        </references>
      </pivotArea>
    </format>
    <format dxfId="904">
      <pivotArea dataOnly="0" labelOnly="1" outline="0" fieldPosition="0">
        <references count="4">
          <reference field="1" count="1" selected="0">
            <x v="1"/>
          </reference>
          <reference field="2" count="1" selected="0">
            <x v="79"/>
          </reference>
          <reference field="6" count="1">
            <x v="95"/>
          </reference>
          <reference field="13" count="1" selected="0">
            <x v="65"/>
          </reference>
        </references>
      </pivotArea>
    </format>
    <format dxfId="903">
      <pivotArea dataOnly="0" labelOnly="1" outline="0" fieldPosition="0">
        <references count="4">
          <reference field="1" count="1" selected="0">
            <x v="1"/>
          </reference>
          <reference field="2" count="1" selected="0">
            <x v="80"/>
          </reference>
          <reference field="6" count="1">
            <x v="96"/>
          </reference>
          <reference field="13" count="1" selected="0">
            <x v="41"/>
          </reference>
        </references>
      </pivotArea>
    </format>
    <format dxfId="902">
      <pivotArea dataOnly="0" labelOnly="1" outline="0" fieldPosition="0">
        <references count="4">
          <reference field="1" count="1" selected="0">
            <x v="2"/>
          </reference>
          <reference field="2" count="1" selected="0">
            <x v="81"/>
          </reference>
          <reference field="6" count="1">
            <x v="46"/>
          </reference>
          <reference field="13" count="1" selected="0">
            <x v="108"/>
          </reference>
        </references>
      </pivotArea>
    </format>
    <format dxfId="901">
      <pivotArea dataOnly="0" labelOnly="1" outline="0" fieldPosition="0">
        <references count="4">
          <reference field="1" count="1" selected="0">
            <x v="2"/>
          </reference>
          <reference field="2" count="1" selected="0">
            <x v="82"/>
          </reference>
          <reference field="6" count="1">
            <x v="50"/>
          </reference>
          <reference field="13" count="1" selected="0">
            <x v="54"/>
          </reference>
        </references>
      </pivotArea>
    </format>
    <format dxfId="900">
      <pivotArea dataOnly="0" labelOnly="1" outline="0" fieldPosition="0">
        <references count="4">
          <reference field="1" count="1" selected="0">
            <x v="2"/>
          </reference>
          <reference field="2" count="1" selected="0">
            <x v="83"/>
          </reference>
          <reference field="6" count="1">
            <x v="51"/>
          </reference>
          <reference field="13" count="1" selected="0">
            <x v="56"/>
          </reference>
        </references>
      </pivotArea>
    </format>
    <format dxfId="899">
      <pivotArea dataOnly="0" labelOnly="1" outline="0" fieldPosition="0">
        <references count="4">
          <reference field="1" count="1" selected="0">
            <x v="2"/>
          </reference>
          <reference field="2" count="1" selected="0">
            <x v="84"/>
          </reference>
          <reference field="6" count="1">
            <x v="52"/>
          </reference>
          <reference field="13" count="1" selected="0">
            <x v="55"/>
          </reference>
        </references>
      </pivotArea>
    </format>
    <format dxfId="898">
      <pivotArea dataOnly="0" labelOnly="1" outline="0" fieldPosition="0">
        <references count="4">
          <reference field="1" count="1" selected="0">
            <x v="2"/>
          </reference>
          <reference field="2" count="1" selected="0">
            <x v="85"/>
          </reference>
          <reference field="6" count="1">
            <x v="53"/>
          </reference>
          <reference field="13" count="1" selected="0">
            <x v="57"/>
          </reference>
        </references>
      </pivotArea>
    </format>
    <format dxfId="897">
      <pivotArea dataOnly="0" labelOnly="1" outline="0" fieldPosition="0">
        <references count="4">
          <reference field="1" count="1" selected="0">
            <x v="2"/>
          </reference>
          <reference field="2" count="1" selected="0">
            <x v="86"/>
          </reference>
          <reference field="6" count="1">
            <x v="2"/>
          </reference>
          <reference field="13" count="1" selected="0">
            <x v="9"/>
          </reference>
        </references>
      </pivotArea>
    </format>
    <format dxfId="896">
      <pivotArea dataOnly="0" labelOnly="1" outline="0" fieldPosition="0">
        <references count="4">
          <reference field="1" count="1" selected="0">
            <x v="2"/>
          </reference>
          <reference field="2" count="1" selected="0">
            <x v="87"/>
          </reference>
          <reference field="6" count="1">
            <x v="1"/>
          </reference>
          <reference field="13" count="1" selected="0">
            <x v="8"/>
          </reference>
        </references>
      </pivotArea>
    </format>
    <format dxfId="895">
      <pivotArea dataOnly="0" labelOnly="1" outline="0" fieldPosition="0">
        <references count="4">
          <reference field="1" count="1" selected="0">
            <x v="2"/>
          </reference>
          <reference field="2" count="1" selected="0">
            <x v="88"/>
          </reference>
          <reference field="6" count="1">
            <x v="103"/>
          </reference>
          <reference field="13" count="1" selected="0">
            <x v="97"/>
          </reference>
        </references>
      </pivotArea>
    </format>
    <format dxfId="894">
      <pivotArea dataOnly="0" labelOnly="1" outline="0" fieldPosition="0">
        <references count="4">
          <reference field="1" count="1" selected="0">
            <x v="2"/>
          </reference>
          <reference field="2" count="1" selected="0">
            <x v="89"/>
          </reference>
          <reference field="6" count="1">
            <x v="120"/>
          </reference>
          <reference field="13" count="1" selected="0">
            <x v="96"/>
          </reference>
        </references>
      </pivotArea>
    </format>
    <format dxfId="893">
      <pivotArea dataOnly="0" labelOnly="1" outline="0" fieldPosition="0">
        <references count="4">
          <reference field="1" count="1" selected="0">
            <x v="2"/>
          </reference>
          <reference field="2" count="1" selected="0">
            <x v="90"/>
          </reference>
          <reference field="6" count="1">
            <x v="18"/>
          </reference>
          <reference field="13" count="1" selected="0">
            <x v="111"/>
          </reference>
        </references>
      </pivotArea>
    </format>
    <format dxfId="892">
      <pivotArea dataOnly="0" labelOnly="1" outline="0" fieldPosition="0">
        <references count="4">
          <reference field="1" count="1" selected="0">
            <x v="2"/>
          </reference>
          <reference field="2" count="1" selected="0">
            <x v="91"/>
          </reference>
          <reference field="6" count="1">
            <x v="119"/>
          </reference>
          <reference field="13" count="1" selected="0">
            <x v="95"/>
          </reference>
        </references>
      </pivotArea>
    </format>
    <format dxfId="891">
      <pivotArea dataOnly="0" labelOnly="1" outline="0" fieldPosition="0">
        <references count="4">
          <reference field="1" count="1" selected="0">
            <x v="2"/>
          </reference>
          <reference field="2" count="1" selected="0">
            <x v="92"/>
          </reference>
          <reference field="6" count="1">
            <x v="36"/>
          </reference>
          <reference field="13" count="1" selected="0">
            <x v="95"/>
          </reference>
        </references>
      </pivotArea>
    </format>
    <format dxfId="890">
      <pivotArea dataOnly="0" labelOnly="1" outline="0" fieldPosition="0">
        <references count="4">
          <reference field="1" count="1" selected="0">
            <x v="2"/>
          </reference>
          <reference field="2" count="1" selected="0">
            <x v="93"/>
          </reference>
          <reference field="6" count="1">
            <x v="20"/>
          </reference>
          <reference field="13" count="1" selected="0">
            <x v="51"/>
          </reference>
        </references>
      </pivotArea>
    </format>
    <format dxfId="889">
      <pivotArea dataOnly="0" labelOnly="1" outline="0" fieldPosition="0">
        <references count="4">
          <reference field="1" count="1" selected="0">
            <x v="2"/>
          </reference>
          <reference field="2" count="1" selected="0">
            <x v="94"/>
          </reference>
          <reference field="6" count="1">
            <x v="34"/>
          </reference>
          <reference field="13" count="1" selected="0">
            <x v="63"/>
          </reference>
        </references>
      </pivotArea>
    </format>
    <format dxfId="888">
      <pivotArea dataOnly="0" labelOnly="1" outline="0" fieldPosition="0">
        <references count="4">
          <reference field="1" count="1" selected="0">
            <x v="2"/>
          </reference>
          <reference field="2" count="1" selected="0">
            <x v="95"/>
          </reference>
          <reference field="6" count="1">
            <x v="33"/>
          </reference>
          <reference field="13" count="1" selected="0">
            <x v="51"/>
          </reference>
        </references>
      </pivotArea>
    </format>
    <format dxfId="887">
      <pivotArea dataOnly="0" labelOnly="1" outline="0" fieldPosition="0">
        <references count="4">
          <reference field="1" count="1" selected="0">
            <x v="2"/>
          </reference>
          <reference field="2" count="1" selected="0">
            <x v="96"/>
          </reference>
          <reference field="6" count="1">
            <x v="107"/>
          </reference>
          <reference field="13" count="1" selected="0">
            <x v="62"/>
          </reference>
        </references>
      </pivotArea>
    </format>
    <format dxfId="886">
      <pivotArea dataOnly="0" labelOnly="1" outline="0" fieldPosition="0">
        <references count="4">
          <reference field="1" count="1" selected="0">
            <x v="2"/>
          </reference>
          <reference field="2" count="1" selected="0">
            <x v="98"/>
          </reference>
          <reference field="6" count="1">
            <x v="37"/>
          </reference>
          <reference field="13" count="1" selected="0">
            <x v="22"/>
          </reference>
        </references>
      </pivotArea>
    </format>
    <format dxfId="885">
      <pivotArea dataOnly="0" labelOnly="1" outline="0" fieldPosition="0">
        <references count="4">
          <reference field="1" count="1" selected="0">
            <x v="2"/>
          </reference>
          <reference field="2" count="1" selected="0">
            <x v="99"/>
          </reference>
          <reference field="6" count="1">
            <x v="3"/>
          </reference>
          <reference field="13" count="1" selected="0">
            <x v="12"/>
          </reference>
        </references>
      </pivotArea>
    </format>
    <format dxfId="884">
      <pivotArea dataOnly="0" labelOnly="1" outline="0" fieldPosition="0">
        <references count="4">
          <reference field="1" count="1" selected="0">
            <x v="2"/>
          </reference>
          <reference field="2" count="1" selected="0">
            <x v="100"/>
          </reference>
          <reference field="6" count="1">
            <x v="5"/>
          </reference>
          <reference field="13" count="1" selected="0">
            <x v="13"/>
          </reference>
        </references>
      </pivotArea>
    </format>
    <format dxfId="883">
      <pivotArea dataOnly="0" labelOnly="1" outline="0" fieldPosition="0">
        <references count="4">
          <reference field="1" count="1" selected="0">
            <x v="2"/>
          </reference>
          <reference field="2" count="1" selected="0">
            <x v="101"/>
          </reference>
          <reference field="6" count="1">
            <x v="4"/>
          </reference>
          <reference field="13" count="1" selected="0">
            <x v="7"/>
          </reference>
        </references>
      </pivotArea>
    </format>
    <format dxfId="882">
      <pivotArea dataOnly="0" labelOnly="1" outline="0" fieldPosition="0">
        <references count="4">
          <reference field="1" count="1" selected="0">
            <x v="2"/>
          </reference>
          <reference field="2" count="1" selected="0">
            <x v="102"/>
          </reference>
          <reference field="6" count="1">
            <x v="16"/>
          </reference>
          <reference field="13" count="1" selected="0">
            <x v="6"/>
          </reference>
        </references>
      </pivotArea>
    </format>
    <format dxfId="881">
      <pivotArea dataOnly="0" labelOnly="1" outline="0" fieldPosition="0">
        <references count="4">
          <reference field="1" count="1" selected="0">
            <x v="2"/>
          </reference>
          <reference field="2" count="1" selected="0">
            <x v="103"/>
          </reference>
          <reference field="6" count="1">
            <x v="102"/>
          </reference>
          <reference field="13" count="1" selected="0">
            <x v="52"/>
          </reference>
        </references>
      </pivotArea>
    </format>
    <format dxfId="880">
      <pivotArea dataOnly="0" labelOnly="1" outline="0" fieldPosition="0">
        <references count="4">
          <reference field="1" count="1" selected="0">
            <x v="2"/>
          </reference>
          <reference field="2" count="1" selected="0">
            <x v="104"/>
          </reference>
          <reference field="6" count="1">
            <x v="55"/>
          </reference>
          <reference field="13" count="1" selected="0">
            <x v="25"/>
          </reference>
        </references>
      </pivotArea>
    </format>
    <format dxfId="879">
      <pivotArea dataOnly="0" labelOnly="1" outline="0" fieldPosition="0">
        <references count="4">
          <reference field="1" count="1" selected="0">
            <x v="2"/>
          </reference>
          <reference field="2" count="1" selected="0">
            <x v="105"/>
          </reference>
          <reference field="6" count="1">
            <x v="74"/>
          </reference>
          <reference field="13" count="1" selected="0">
            <x v="34"/>
          </reference>
        </references>
      </pivotArea>
    </format>
    <format dxfId="878">
      <pivotArea dataOnly="0" labelOnly="1" outline="0" fieldPosition="0">
        <references count="4">
          <reference field="1" count="1" selected="0">
            <x v="2"/>
          </reference>
          <reference field="2" count="1" selected="0">
            <x v="106"/>
          </reference>
          <reference field="6" count="1">
            <x v="87"/>
          </reference>
          <reference field="13" count="1" selected="0">
            <x v="105"/>
          </reference>
        </references>
      </pivotArea>
    </format>
    <format dxfId="877">
      <pivotArea dataOnly="0" labelOnly="1" outline="0" fieldPosition="0">
        <references count="4">
          <reference field="1" count="1" selected="0">
            <x v="2"/>
          </reference>
          <reference field="2" count="1" selected="0">
            <x v="107"/>
          </reference>
          <reference field="6" count="1">
            <x v="76"/>
          </reference>
          <reference field="13" count="1" selected="0">
            <x v="49"/>
          </reference>
        </references>
      </pivotArea>
    </format>
    <format dxfId="876">
      <pivotArea dataOnly="0" labelOnly="1" outline="0" fieldPosition="0">
        <references count="4">
          <reference field="1" count="1" selected="0">
            <x v="2"/>
          </reference>
          <reference field="2" count="1" selected="0">
            <x v="108"/>
          </reference>
          <reference field="6" count="1">
            <x v="0"/>
          </reference>
          <reference field="13" count="1" selected="0">
            <x v="11"/>
          </reference>
        </references>
      </pivotArea>
    </format>
    <format dxfId="875">
      <pivotArea dataOnly="0" labelOnly="1" outline="0" fieldPosition="0">
        <references count="4">
          <reference field="1" count="1" selected="0">
            <x v="2"/>
          </reference>
          <reference field="2" count="1" selected="0">
            <x v="109"/>
          </reference>
          <reference field="6" count="1">
            <x v="32"/>
          </reference>
          <reference field="13" count="1" selected="0">
            <x v="19"/>
          </reference>
        </references>
      </pivotArea>
    </format>
    <format dxfId="874">
      <pivotArea dataOnly="0" labelOnly="1" outline="0" fieldPosition="0">
        <references count="4">
          <reference field="1" count="1" selected="0">
            <x v="2"/>
          </reference>
          <reference field="2" count="1" selected="0">
            <x v="111"/>
          </reference>
          <reference field="6" count="1">
            <x v="60"/>
          </reference>
          <reference field="13" count="1" selected="0">
            <x v="27"/>
          </reference>
        </references>
      </pivotArea>
    </format>
    <format dxfId="873">
      <pivotArea dataOnly="0" labelOnly="1" outline="0" fieldPosition="0">
        <references count="4">
          <reference field="1" count="1" selected="0">
            <x v="2"/>
          </reference>
          <reference field="2" count="1" selected="0">
            <x v="112"/>
          </reference>
          <reference field="6" count="1">
            <x v="10"/>
          </reference>
          <reference field="13" count="1" selected="0">
            <x v="17"/>
          </reference>
        </references>
      </pivotArea>
    </format>
    <format dxfId="872">
      <pivotArea dataOnly="0" labelOnly="1" outline="0" fieldPosition="0">
        <references count="4">
          <reference field="1" count="1" selected="0">
            <x v="2"/>
          </reference>
          <reference field="2" count="1" selected="0">
            <x v="113"/>
          </reference>
          <reference field="6" count="1">
            <x v="42"/>
          </reference>
          <reference field="13" count="1" selected="0">
            <x v="15"/>
          </reference>
        </references>
      </pivotArea>
    </format>
    <format dxfId="871">
      <pivotArea dataOnly="0" labelOnly="1" outline="0" fieldPosition="0">
        <references count="4">
          <reference field="1" count="1" selected="0">
            <x v="2"/>
          </reference>
          <reference field="2" count="1" selected="0">
            <x v="114"/>
          </reference>
          <reference field="6" count="1">
            <x v="45"/>
          </reference>
          <reference field="13" count="1" selected="0">
            <x v="101"/>
          </reference>
        </references>
      </pivotArea>
    </format>
    <format dxfId="870">
      <pivotArea dataOnly="0" labelOnly="1" outline="0" fieldPosition="0">
        <references count="4">
          <reference field="1" count="1" selected="0">
            <x v="2"/>
          </reference>
          <reference field="2" count="1" selected="0">
            <x v="115"/>
          </reference>
          <reference field="6" count="1">
            <x v="104"/>
          </reference>
          <reference field="13" count="1" selected="0">
            <x v="42"/>
          </reference>
        </references>
      </pivotArea>
    </format>
    <format dxfId="869">
      <pivotArea dataOnly="0" labelOnly="1" outline="0" fieldPosition="0">
        <references count="4">
          <reference field="1" count="1" selected="0">
            <x v="2"/>
          </reference>
          <reference field="2" count="1" selected="0">
            <x v="116"/>
          </reference>
          <reference field="6" count="1">
            <x v="35"/>
          </reference>
          <reference field="13" count="1" selected="0">
            <x v="22"/>
          </reference>
        </references>
      </pivotArea>
    </format>
    <format dxfId="868">
      <pivotArea dataOnly="0" labelOnly="1" outline="0" fieldPosition="0">
        <references count="4">
          <reference field="1" count="1" selected="0">
            <x v="2"/>
          </reference>
          <reference field="2" count="1" selected="0">
            <x v="117"/>
          </reference>
          <reference field="6" count="1">
            <x v="14"/>
          </reference>
          <reference field="13" count="1" selected="0">
            <x v="20"/>
          </reference>
        </references>
      </pivotArea>
    </format>
    <format dxfId="867">
      <pivotArea dataOnly="0" labelOnly="1" outline="0" fieldPosition="0">
        <references count="4">
          <reference field="1" count="1" selected="0">
            <x v="2"/>
          </reference>
          <reference field="2" count="1" selected="0">
            <x v="118"/>
          </reference>
          <reference field="6" count="1">
            <x v="72"/>
          </reference>
          <reference field="13" count="1" selected="0">
            <x v="24"/>
          </reference>
        </references>
      </pivotArea>
    </format>
    <format dxfId="866">
      <pivotArea dataOnly="0" labelOnly="1" outline="0" fieldPosition="0">
        <references count="4">
          <reference field="1" count="1" selected="0">
            <x v="2"/>
          </reference>
          <reference field="2" count="1" selected="0">
            <x v="120"/>
          </reference>
          <reference field="6" count="1">
            <x v="82"/>
          </reference>
          <reference field="13" count="1" selected="0">
            <x v="66"/>
          </reference>
        </references>
      </pivotArea>
    </format>
    <format dxfId="865">
      <pivotArea dataOnly="0" labelOnly="1" outline="0" fieldPosition="0">
        <references count="4">
          <reference field="1" count="1" selected="0">
            <x v="2"/>
          </reference>
          <reference field="2" count="1" selected="0">
            <x v="121"/>
          </reference>
          <reference field="6" count="1">
            <x v="39"/>
          </reference>
          <reference field="13" count="1" selected="0">
            <x v="67"/>
          </reference>
        </references>
      </pivotArea>
    </format>
    <format dxfId="864">
      <pivotArea dataOnly="0" labelOnly="1" outline="0" fieldPosition="0">
        <references count="4">
          <reference field="1" count="1" selected="0">
            <x v="2"/>
          </reference>
          <reference field="2" count="1" selected="0">
            <x v="122"/>
          </reference>
          <reference field="6" count="1">
            <x v="38"/>
          </reference>
          <reference field="13" count="1" selected="0">
            <x v="21"/>
          </reference>
        </references>
      </pivotArea>
    </format>
    <format dxfId="863">
      <pivotArea dataOnly="0" labelOnly="1" outline="0" fieldPosition="0">
        <references count="4">
          <reference field="1" count="1" selected="0">
            <x v="2"/>
          </reference>
          <reference field="2" count="1" selected="0">
            <x v="123"/>
          </reference>
          <reference field="6" count="1">
            <x v="81"/>
          </reference>
          <reference field="13" count="1" selected="0">
            <x v="93"/>
          </reference>
        </references>
      </pivotArea>
    </format>
    <format dxfId="862">
      <pivotArea dataOnly="0" labelOnly="1" outline="0" fieldPosition="0">
        <references count="4">
          <reference field="1" count="1" selected="0">
            <x v="2"/>
          </reference>
          <reference field="2" count="1" selected="0">
            <x v="124"/>
          </reference>
          <reference field="6" count="1">
            <x v="30"/>
          </reference>
          <reference field="13" count="1" selected="0">
            <x v="91"/>
          </reference>
        </references>
      </pivotArea>
    </format>
    <format dxfId="861">
      <pivotArea dataOnly="0" labelOnly="1" outline="0" fieldPosition="0">
        <references count="4">
          <reference field="1" count="1" selected="0">
            <x v="2"/>
          </reference>
          <reference field="2" count="1" selected="0">
            <x v="125"/>
          </reference>
          <reference field="6" count="1">
            <x v="31"/>
          </reference>
          <reference field="13" count="1" selected="0">
            <x v="18"/>
          </reference>
        </references>
      </pivotArea>
    </format>
    <format dxfId="860">
      <pivotArea dataOnly="0" labelOnly="1" outline="0" fieldPosition="0">
        <references count="4">
          <reference field="1" count="1" selected="0">
            <x v="2"/>
          </reference>
          <reference field="2" count="1" selected="0">
            <x v="126"/>
          </reference>
          <reference field="6" count="1">
            <x v="40"/>
          </reference>
          <reference field="13" count="1" selected="0">
            <x v="68"/>
          </reference>
        </references>
      </pivotArea>
    </format>
    <format dxfId="859">
      <pivotArea dataOnly="0" labelOnly="1" outline="0" fieldPosition="0">
        <references count="4">
          <reference field="1" count="1" selected="0">
            <x v="2"/>
          </reference>
          <reference field="2" count="1" selected="0">
            <x v="127"/>
          </reference>
          <reference field="6" count="1">
            <x v="84"/>
          </reference>
          <reference field="13" count="1" selected="0">
            <x v="64"/>
          </reference>
        </references>
      </pivotArea>
    </format>
    <format dxfId="858">
      <pivotArea dataOnly="0" labelOnly="1" outline="0" fieldPosition="0">
        <references count="4">
          <reference field="1" count="1" selected="0">
            <x v="2"/>
          </reference>
          <reference field="2" count="1" selected="0">
            <x v="128"/>
          </reference>
          <reference field="6" count="1">
            <x v="90"/>
          </reference>
          <reference field="13" count="1" selected="0">
            <x v="37"/>
          </reference>
        </references>
      </pivotArea>
    </format>
    <format dxfId="857">
      <pivotArea dataOnly="0" labelOnly="1" outline="0" fieldPosition="0">
        <references count="4">
          <reference field="1" count="1" selected="0">
            <x v="3"/>
          </reference>
          <reference field="2" count="1" selected="0">
            <x v="129"/>
          </reference>
          <reference field="6" count="1">
            <x v="100"/>
          </reference>
          <reference field="13" count="1" selected="0">
            <x v="85"/>
          </reference>
        </references>
      </pivotArea>
    </format>
    <format dxfId="856">
      <pivotArea dataOnly="0" labelOnly="1" outline="0" fieldPosition="0">
        <references count="4">
          <reference field="1" count="1" selected="0">
            <x v="3"/>
          </reference>
          <reference field="2" count="1" selected="0">
            <x v="130"/>
          </reference>
          <reference field="6" count="1">
            <x v="101"/>
          </reference>
          <reference field="13" count="1" selected="0">
            <x v="30"/>
          </reference>
        </references>
      </pivotArea>
    </format>
    <format dxfId="855">
      <pivotArea dataOnly="0" labelOnly="1" outline="0" fieldPosition="0">
        <references count="4">
          <reference field="1" count="1" selected="0">
            <x v="3"/>
          </reference>
          <reference field="2" count="1" selected="0">
            <x v="131"/>
          </reference>
          <reference field="6" count="1">
            <x v="86"/>
          </reference>
          <reference field="13" count="1" selected="0">
            <x v="92"/>
          </reference>
        </references>
      </pivotArea>
    </format>
    <format dxfId="854">
      <pivotArea dataOnly="0" labelOnly="1" outline="0" fieldPosition="0">
        <references count="4">
          <reference field="1" count="1" selected="0">
            <x v="3"/>
          </reference>
          <reference field="2" count="1" selected="0">
            <x v="132"/>
          </reference>
          <reference field="6" count="1">
            <x v="85"/>
          </reference>
          <reference field="13" count="1" selected="0">
            <x v="64"/>
          </reference>
        </references>
      </pivotArea>
    </format>
    <format dxfId="853">
      <pivotArea dataOnly="0" labelOnly="1" outline="0" fieldPosition="0">
        <references count="4">
          <reference field="1" count="1" selected="0">
            <x v="4"/>
          </reference>
          <reference field="2" count="1" selected="0">
            <x v="7"/>
          </reference>
          <reference field="6" count="1">
            <x v="23"/>
          </reference>
          <reference field="13" count="1" selected="0">
            <x v="112"/>
          </reference>
        </references>
      </pivotArea>
    </format>
    <format dxfId="852">
      <pivotArea dataOnly="0" labelOnly="1" outline="0" fieldPosition="0">
        <references count="4">
          <reference field="1" count="1" selected="0">
            <x v="4"/>
          </reference>
          <reference field="2" count="1" selected="0">
            <x v="29"/>
          </reference>
          <reference field="6" count="1">
            <x v="41"/>
          </reference>
          <reference field="13" count="1" selected="0">
            <x v="107"/>
          </reference>
        </references>
      </pivotArea>
    </format>
    <format dxfId="851">
      <pivotArea dataOnly="0" labelOnly="1" outline="0" fieldPosition="0">
        <references count="4">
          <reference field="1" count="1" selected="0">
            <x v="4"/>
          </reference>
          <reference field="2" count="1" selected="0">
            <x v="30"/>
          </reference>
          <reference field="6" count="1">
            <x v="43"/>
          </reference>
          <reference field="13" count="1" selected="0">
            <x v="23"/>
          </reference>
        </references>
      </pivotArea>
    </format>
    <format dxfId="850">
      <pivotArea dataOnly="0" labelOnly="1" outline="0" fieldPosition="0">
        <references count="4">
          <reference field="1" count="1" selected="0">
            <x v="4"/>
          </reference>
          <reference field="2" count="1" selected="0">
            <x v="31"/>
          </reference>
          <reference field="6" count="1">
            <x v="78"/>
          </reference>
          <reference field="13" count="1" selected="0">
            <x v="58"/>
          </reference>
        </references>
      </pivotArea>
    </format>
    <format dxfId="849">
      <pivotArea dataOnly="0" labelOnly="1" outline="0" fieldPosition="0">
        <references count="4">
          <reference field="1" count="1" selected="0">
            <x v="4"/>
          </reference>
          <reference field="2" count="1" selected="0">
            <x v="51"/>
          </reference>
          <reference field="6" count="1">
            <x v="99"/>
          </reference>
          <reference field="13" count="1" selected="0">
            <x v="112"/>
          </reference>
        </references>
      </pivotArea>
    </format>
    <format dxfId="848">
      <pivotArea dataOnly="0" labelOnly="1" outline="0" fieldPosition="0">
        <references count="5">
          <reference field="1" count="1" selected="0">
            <x v="0"/>
          </reference>
          <reference field="2" count="1" selected="0">
            <x v="0"/>
          </reference>
          <reference field="6" count="1" selected="0">
            <x v="116"/>
          </reference>
          <reference field="13" count="1" selected="0">
            <x v="53"/>
          </reference>
          <reference field="23" count="1">
            <x v="1"/>
          </reference>
        </references>
      </pivotArea>
    </format>
    <format dxfId="847">
      <pivotArea dataOnly="0" labelOnly="1" outline="0" fieldPosition="0">
        <references count="5">
          <reference field="1" count="1" selected="0">
            <x v="0"/>
          </reference>
          <reference field="2" count="1" selected="0">
            <x v="22"/>
          </reference>
          <reference field="6" count="1" selected="0">
            <x v="19"/>
          </reference>
          <reference field="13" count="1" selected="0">
            <x v="106"/>
          </reference>
          <reference field="23" count="1">
            <x v="0"/>
          </reference>
        </references>
      </pivotArea>
    </format>
    <format dxfId="846">
      <pivotArea dataOnly="0" labelOnly="1" outline="0" fieldPosition="0">
        <references count="5">
          <reference field="1" count="1" selected="0">
            <x v="0"/>
          </reference>
          <reference field="2" count="1" selected="0">
            <x v="23"/>
          </reference>
          <reference field="6" count="1" selected="0">
            <x v="109"/>
          </reference>
          <reference field="13" count="1" selected="0">
            <x v="16"/>
          </reference>
          <reference field="23" count="1">
            <x v="1"/>
          </reference>
        </references>
      </pivotArea>
    </format>
    <format dxfId="845">
      <pivotArea dataOnly="0" labelOnly="1" outline="0" fieldPosition="0">
        <references count="6">
          <reference field="1" count="1" selected="0">
            <x v="0"/>
          </reference>
          <reference field="2" count="1" selected="0">
            <x v="0"/>
          </reference>
          <reference field="6" count="1" selected="0">
            <x v="116"/>
          </reference>
          <reference field="13" count="1" selected="0">
            <x v="53"/>
          </reference>
          <reference field="23" count="1" selected="0">
            <x v="1"/>
          </reference>
          <reference field="24" count="1">
            <x v="1"/>
          </reference>
        </references>
      </pivotArea>
    </format>
    <format dxfId="844">
      <pivotArea dataOnly="0" labelOnly="1" outline="0" fieldPosition="0">
        <references count="6">
          <reference field="1" count="1" selected="0">
            <x v="0"/>
          </reference>
          <reference field="2" count="1" selected="0">
            <x v="22"/>
          </reference>
          <reference field="6" count="1" selected="0">
            <x v="19"/>
          </reference>
          <reference field="13" count="1" selected="0">
            <x v="106"/>
          </reference>
          <reference field="23" count="1" selected="0">
            <x v="0"/>
          </reference>
          <reference field="24" count="1">
            <x v="0"/>
          </reference>
        </references>
      </pivotArea>
    </format>
    <format dxfId="843">
      <pivotArea dataOnly="0" labelOnly="1" outline="0" fieldPosition="0">
        <references count="6">
          <reference field="1" count="1" selected="0">
            <x v="0"/>
          </reference>
          <reference field="2" count="1" selected="0">
            <x v="23"/>
          </reference>
          <reference field="6" count="1" selected="0">
            <x v="109"/>
          </reference>
          <reference field="13" count="1" selected="0">
            <x v="16"/>
          </reference>
          <reference field="23" count="1" selected="0">
            <x v="1"/>
          </reference>
          <reference field="24" count="1">
            <x v="1"/>
          </reference>
        </references>
      </pivotArea>
    </format>
    <format dxfId="842">
      <pivotArea dataOnly="0" labelOnly="1" outline="0" fieldPosition="0">
        <references count="7">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x v="1"/>
          </reference>
        </references>
      </pivotArea>
    </format>
    <format dxfId="841">
      <pivotArea dataOnly="0" labelOnly="1" outline="0" fieldPosition="0">
        <references count="7">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x v="0"/>
          </reference>
        </references>
      </pivotArea>
    </format>
    <format dxfId="840">
      <pivotArea dataOnly="0" labelOnly="1" outline="0" fieldPosition="0">
        <references count="7">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x v="1"/>
          </reference>
        </references>
      </pivotArea>
    </format>
    <format dxfId="839">
      <pivotArea dataOnly="0" labelOnly="1" outline="0" fieldPosition="0">
        <references count="8">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x v="1"/>
          </reference>
        </references>
      </pivotArea>
    </format>
    <format dxfId="838">
      <pivotArea dataOnly="0" labelOnly="1" outline="0" fieldPosition="0">
        <references count="8">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selected="0">
            <x v="0"/>
          </reference>
          <reference field="26" count="1">
            <x v="0"/>
          </reference>
        </references>
      </pivotArea>
    </format>
    <format dxfId="837">
      <pivotArea dataOnly="0" labelOnly="1" outline="0" fieldPosition="0">
        <references count="8">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selected="0">
            <x v="1"/>
          </reference>
          <reference field="26" count="1">
            <x v="1"/>
          </reference>
        </references>
      </pivotArea>
    </format>
    <format dxfId="836">
      <pivotArea dataOnly="0" labelOnly="1" outline="0" fieldPosition="0">
        <references count="9">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references>
      </pivotArea>
    </format>
    <format dxfId="835">
      <pivotArea dataOnly="0" labelOnly="1" outline="0" fieldPosition="0">
        <references count="10">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references>
      </pivotArea>
    </format>
    <format dxfId="834">
      <pivotArea dataOnly="0" labelOnly="1" outline="0" fieldPosition="0">
        <references count="11">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references>
      </pivotArea>
    </format>
    <format dxfId="833">
      <pivotArea dataOnly="0" labelOnly="1" outline="0" fieldPosition="0">
        <references count="12">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references>
      </pivotArea>
    </format>
    <format dxfId="832">
      <pivotArea dataOnly="0" labelOnly="1" outline="0" fieldPosition="0">
        <references count="13">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references>
      </pivotArea>
    </format>
    <format dxfId="831">
      <pivotArea dataOnly="0" labelOnly="1" outline="0" fieldPosition="0">
        <references count="14">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references>
      </pivotArea>
    </format>
    <format dxfId="830">
      <pivotArea dataOnly="0" labelOnly="1" outline="0" fieldPosition="0">
        <references count="15">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references>
      </pivotArea>
    </format>
    <format dxfId="829">
      <pivotArea dataOnly="0" labelOnly="1" outline="0" fieldPosition="0">
        <references count="16">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references>
      </pivotArea>
    </format>
    <format dxfId="828">
      <pivotArea dataOnly="0" labelOnly="1" outline="0" fieldPosition="0">
        <references count="17">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references>
      </pivotArea>
    </format>
    <format dxfId="827">
      <pivotArea dataOnly="0" labelOnly="1" outline="0" fieldPosition="0">
        <references count="18">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references>
      </pivotArea>
    </format>
    <format dxfId="826">
      <pivotArea dataOnly="0" labelOnly="1" outline="0" fieldPosition="0">
        <references count="19">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references>
      </pivotArea>
    </format>
    <format dxfId="825">
      <pivotArea dataOnly="0" labelOnly="1" outline="0" fieldPosition="0">
        <references count="20">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references>
      </pivotArea>
    </format>
    <format dxfId="824">
      <pivotArea dataOnly="0" labelOnly="1" outline="0" fieldPosition="0">
        <references count="21">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references>
      </pivotArea>
    </format>
    <format dxfId="823">
      <pivotArea dataOnly="0" labelOnly="1" outline="0" fieldPosition="0">
        <references count="22">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references>
      </pivotArea>
    </format>
    <format dxfId="822">
      <pivotArea dataOnly="0" labelOnly="1" outline="0" fieldPosition="0">
        <references count="23">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references>
      </pivotArea>
    </format>
    <format dxfId="821">
      <pivotArea dataOnly="0" labelOnly="1" outline="0" fieldPosition="0">
        <references count="24">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references>
      </pivotArea>
    </format>
    <format dxfId="820">
      <pivotArea dataOnly="0" labelOnly="1" outline="0" fieldPosition="0">
        <references count="25">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9">
      <pivotArea dataOnly="0" labelOnly="1" outline="0" fieldPosition="0">
        <references count="25">
          <reference field="1" count="1" selected="0">
            <x v="0"/>
          </reference>
          <reference field="2" count="1" selected="0">
            <x v="1"/>
          </reference>
          <reference field="6" count="1" selected="0">
            <x v="117"/>
          </reference>
          <reference field="13" count="1" selected="0">
            <x v="1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8">
      <pivotArea dataOnly="0" labelOnly="1" outline="0" fieldPosition="0">
        <references count="25">
          <reference field="1" count="1" selected="0">
            <x v="0"/>
          </reference>
          <reference field="2" count="1" selected="0">
            <x v="2"/>
          </reference>
          <reference field="6" count="1" selected="0">
            <x v="118"/>
          </reference>
          <reference field="13" count="1" selected="0">
            <x v="5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7">
      <pivotArea dataOnly="0" labelOnly="1" outline="0" fieldPosition="0">
        <references count="25">
          <reference field="1" count="1" selected="0">
            <x v="0"/>
          </reference>
          <reference field="2" count="1" selected="0">
            <x v="3"/>
          </reference>
          <reference field="6" count="1" selected="0">
            <x v="120"/>
          </reference>
          <reference field="13" count="1" selected="0">
            <x v="9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6">
      <pivotArea dataOnly="0" labelOnly="1" outline="0" fieldPosition="0">
        <references count="25">
          <reference field="1" count="1" selected="0">
            <x v="0"/>
          </reference>
          <reference field="2" count="1" selected="0">
            <x v="4"/>
          </reference>
          <reference field="6" count="1" selected="0">
            <x v="22"/>
          </reference>
          <reference field="13" count="1" selected="0">
            <x v="7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5">
      <pivotArea dataOnly="0" labelOnly="1" outline="0" fieldPosition="0">
        <references count="25">
          <reference field="1" count="1" selected="0">
            <x v="0"/>
          </reference>
          <reference field="2" count="1" selected="0">
            <x v="5"/>
          </reference>
          <reference field="6" count="1" selected="0">
            <x v="25"/>
          </reference>
          <reference field="13" count="1" selected="0">
            <x v="8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4">
      <pivotArea dataOnly="0" labelOnly="1" outline="0" fieldPosition="0">
        <references count="25">
          <reference field="1" count="1" selected="0">
            <x v="0"/>
          </reference>
          <reference field="2" count="1" selected="0">
            <x v="6"/>
          </reference>
          <reference field="6" count="1" selected="0">
            <x v="58"/>
          </reference>
          <reference field="13" count="1" selected="0">
            <x v="10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3">
      <pivotArea dataOnly="0" labelOnly="1" outline="0" fieldPosition="0">
        <references count="25">
          <reference field="1" count="1" selected="0">
            <x v="0"/>
          </reference>
          <reference field="2" count="1" selected="0">
            <x v="8"/>
          </reference>
          <reference field="6" count="1" selected="0">
            <x v="21"/>
          </reference>
          <reference field="13" count="1" selected="0">
            <x v="7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2">
      <pivotArea dataOnly="0" labelOnly="1" outline="0" fieldPosition="0">
        <references count="25">
          <reference field="1" count="1" selected="0">
            <x v="0"/>
          </reference>
          <reference field="2" count="1" selected="0">
            <x v="9"/>
          </reference>
          <reference field="6" count="1" selected="0">
            <x v="56"/>
          </reference>
          <reference field="13" count="1" selected="0">
            <x v="7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1">
      <pivotArea dataOnly="0" labelOnly="1" outline="0" fieldPosition="0">
        <references count="25">
          <reference field="1" count="1" selected="0">
            <x v="0"/>
          </reference>
          <reference field="2" count="1" selected="0">
            <x v="10"/>
          </reference>
          <reference field="6" count="1" selected="0">
            <x v="108"/>
          </reference>
          <reference field="13" count="1" selected="0">
            <x v="7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10">
      <pivotArea dataOnly="0" labelOnly="1" outline="0" fieldPosition="0">
        <references count="25">
          <reference field="1" count="1" selected="0">
            <x v="0"/>
          </reference>
          <reference field="2" count="1" selected="0">
            <x v="11"/>
          </reference>
          <reference field="6" count="1" selected="0">
            <x v="24"/>
          </reference>
          <reference field="13" count="1" selected="0">
            <x v="7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09">
      <pivotArea dataOnly="0" labelOnly="1" outline="0" fieldPosition="0">
        <references count="25">
          <reference field="1" count="1" selected="0">
            <x v="0"/>
          </reference>
          <reference field="2" count="1" selected="0">
            <x v="12"/>
          </reference>
          <reference field="6" count="1" selected="0">
            <x v="92"/>
          </reference>
          <reference field="13" count="1" selected="0">
            <x v="7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08">
      <pivotArea dataOnly="0" labelOnly="1" outline="0" fieldPosition="0">
        <references count="25">
          <reference field="1" count="1" selected="0">
            <x v="0"/>
          </reference>
          <reference field="2" count="1" selected="0">
            <x v="13"/>
          </reference>
          <reference field="6" count="1" selected="0">
            <x v="93"/>
          </reference>
          <reference field="13" count="1" selected="0">
            <x v="7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07">
      <pivotArea dataOnly="0" labelOnly="1" outline="0" fieldPosition="0">
        <references count="25">
          <reference field="1" count="1" selected="0">
            <x v="0"/>
          </reference>
          <reference field="2" count="1" selected="0">
            <x v="14"/>
          </reference>
          <reference field="6" count="1" selected="0">
            <x v="91"/>
          </reference>
          <reference field="13" count="1" selected="0">
            <x v="7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06">
      <pivotArea dataOnly="0" labelOnly="1" outline="0" fieldPosition="0">
        <references count="25">
          <reference field="1" count="1" selected="0">
            <x v="0"/>
          </reference>
          <reference field="2" count="1" selected="0">
            <x v="15"/>
          </reference>
          <reference field="6" count="1" selected="0">
            <x v="112"/>
          </reference>
          <reference field="13" count="1" selected="0">
            <x v="3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05">
      <pivotArea dataOnly="0" labelOnly="1" outline="0" fieldPosition="0">
        <references count="25">
          <reference field="1" count="1" selected="0">
            <x v="0"/>
          </reference>
          <reference field="2" count="1" selected="0">
            <x v="16"/>
          </reference>
          <reference field="6" count="1" selected="0">
            <x v="114"/>
          </reference>
          <reference field="13" count="1" selected="0">
            <x v="3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04">
      <pivotArea dataOnly="0" labelOnly="1" outline="0" fieldPosition="0">
        <references count="25">
          <reference field="1" count="1" selected="0">
            <x v="0"/>
          </reference>
          <reference field="2" count="1" selected="0">
            <x v="17"/>
          </reference>
          <reference field="6" count="1" selected="0">
            <x v="7"/>
          </reference>
          <reference field="13" count="1" selected="0">
            <x v="3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03">
      <pivotArea dataOnly="0" labelOnly="1" outline="0" fieldPosition="0">
        <references count="25">
          <reference field="1" count="1" selected="0">
            <x v="0"/>
          </reference>
          <reference field="2" count="1" selected="0">
            <x v="18"/>
          </reference>
          <reference field="6" count="1" selected="0">
            <x v="57"/>
          </reference>
          <reference field="13" count="1" selected="0">
            <x v="7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02">
      <pivotArea dataOnly="0" labelOnly="1" outline="0" fieldPosition="0">
        <references count="25">
          <reference field="1" count="1" selected="0">
            <x v="0"/>
          </reference>
          <reference field="2" count="1" selected="0">
            <x v="19"/>
          </reference>
          <reference field="6" count="1" selected="0">
            <x v="47"/>
          </reference>
          <reference field="13" count="1" selected="0">
            <x v="3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01">
      <pivotArea dataOnly="0" labelOnly="1" outline="0" fieldPosition="0">
        <references count="25">
          <reference field="1" count="1" selected="0">
            <x v="0"/>
          </reference>
          <reference field="2" count="1" selected="0">
            <x v="20"/>
          </reference>
          <reference field="6" count="1" selected="0">
            <x v="113"/>
          </reference>
          <reference field="13" count="1" selected="0">
            <x v="8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800">
      <pivotArea dataOnly="0" labelOnly="1" outline="0" fieldPosition="0">
        <references count="25">
          <reference field="1" count="1" selected="0">
            <x v="0"/>
          </reference>
          <reference field="2" count="1" selected="0">
            <x v="21"/>
          </reference>
          <reference field="6" count="1" selected="0">
            <x v="89"/>
          </reference>
          <reference field="13" count="1" selected="0">
            <x v="2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99">
      <pivotArea dataOnly="0" labelOnly="1" outline="0" fieldPosition="0">
        <references count="25">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selected="0">
            <x v="0"/>
          </reference>
          <reference field="26" count="1" selected="0">
            <x v="0"/>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98">
      <pivotArea dataOnly="0" labelOnly="1" outline="0" fieldPosition="0">
        <references count="25">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97">
      <pivotArea dataOnly="0" labelOnly="1" outline="0" fieldPosition="0">
        <references count="25">
          <reference field="1" count="1" selected="0">
            <x v="0"/>
          </reference>
          <reference field="2" count="1" selected="0">
            <x v="24"/>
          </reference>
          <reference field="6" count="1" selected="0">
            <x v="115"/>
          </reference>
          <reference field="13" count="1" selected="0">
            <x v="4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96">
      <pivotArea dataOnly="0" labelOnly="1" outline="0" fieldPosition="0">
        <references count="25">
          <reference field="1" count="1" selected="0">
            <x v="0"/>
          </reference>
          <reference field="2" count="1" selected="0">
            <x v="25"/>
          </reference>
          <reference field="6" count="1" selected="0">
            <x v="111"/>
          </reference>
          <reference field="13" count="1" selected="0">
            <x v="3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95">
      <pivotArea dataOnly="0" labelOnly="1" outline="0" fieldPosition="0">
        <references count="25">
          <reference field="1" count="1" selected="0">
            <x v="0"/>
          </reference>
          <reference field="2" count="1" selected="0">
            <x v="26"/>
          </reference>
          <reference field="6" count="1" selected="0">
            <x v="9"/>
          </reference>
          <reference field="13" count="1" selected="0">
            <x v="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94">
      <pivotArea dataOnly="0" labelOnly="1" outline="0" fieldPosition="0">
        <references count="25">
          <reference field="1" count="1" selected="0">
            <x v="0"/>
          </reference>
          <reference field="2" count="1" selected="0">
            <x v="27"/>
          </reference>
          <reference field="6" count="1" selected="0">
            <x v="42"/>
          </reference>
          <reference field="13" count="1" selected="0">
            <x v="1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93">
      <pivotArea dataOnly="0" labelOnly="1" outline="0" fieldPosition="0">
        <references count="25">
          <reference field="1" count="1" selected="0">
            <x v="0"/>
          </reference>
          <reference field="2" count="1" selected="0">
            <x v="28"/>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92">
      <pivotArea dataOnly="0" labelOnly="1" outline="0" fieldPosition="0">
        <references count="25">
          <reference field="1" count="1" selected="0">
            <x v="0"/>
          </reference>
          <reference field="2" count="1" selected="0">
            <x v="32"/>
          </reference>
          <reference field="6" count="1" selected="0">
            <x v="80"/>
          </reference>
          <reference field="13" count="1" selected="0">
            <x v="5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91">
      <pivotArea dataOnly="0" labelOnly="1" outline="0" fieldPosition="0">
        <references count="25">
          <reference field="1" count="1" selected="0">
            <x v="0"/>
          </reference>
          <reference field="2" count="1" selected="0">
            <x v="33"/>
          </reference>
          <reference field="6" count="1" selected="0">
            <x v="77"/>
          </reference>
          <reference field="13" count="1" selected="0">
            <x v="8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90">
      <pivotArea dataOnly="0" labelOnly="1" outline="0" fieldPosition="0">
        <references count="25">
          <reference field="1" count="1" selected="0">
            <x v="0"/>
          </reference>
          <reference field="2" count="1" selected="0">
            <x v="34"/>
          </reference>
          <reference field="6" count="1" selected="0">
            <x v="73"/>
          </reference>
          <reference field="13" count="1" selected="0">
            <x v="8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89">
      <pivotArea dataOnly="0" labelOnly="1" outline="0" fieldPosition="0">
        <references count="25">
          <reference field="1" count="1" selected="0">
            <x v="0"/>
          </reference>
          <reference field="2" count="1" selected="0">
            <x v="35"/>
          </reference>
          <reference field="6" count="1" selected="0">
            <x v="110"/>
          </reference>
          <reference field="13" count="1" selected="0">
            <x v="9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88">
      <pivotArea dataOnly="0" labelOnly="1" outline="0" fieldPosition="0">
        <references count="25">
          <reference field="1" count="1" selected="0">
            <x v="0"/>
          </reference>
          <reference field="2" count="1" selected="0">
            <x v="36"/>
          </reference>
          <reference field="6" count="1" selected="0">
            <x v="105"/>
          </reference>
          <reference field="13" count="1" selected="0">
            <x v="10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87">
      <pivotArea dataOnly="0" labelOnly="1" outline="0" fieldPosition="0">
        <references count="25">
          <reference field="1" count="1" selected="0">
            <x v="0"/>
          </reference>
          <reference field="2" count="1" selected="0">
            <x v="37"/>
          </reference>
          <reference field="6" count="1" selected="0">
            <x v="59"/>
          </reference>
          <reference field="13" count="1" selected="0">
            <x v="8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86">
      <pivotArea dataOnly="0" labelOnly="1" outline="0" fieldPosition="0">
        <references count="25">
          <reference field="1" count="1" selected="0">
            <x v="0"/>
          </reference>
          <reference field="2" count="1" selected="0">
            <x v="38"/>
          </reference>
          <reference field="6" count="1" selected="0">
            <x v="11"/>
          </reference>
          <reference field="13" count="1" selected="0">
            <x v="8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85">
      <pivotArea dataOnly="0" labelOnly="1" outline="0" fieldPosition="0">
        <references count="25">
          <reference field="1" count="1" selected="0">
            <x v="0"/>
          </reference>
          <reference field="2" count="1" selected="0">
            <x v="39"/>
          </reference>
          <reference field="6" count="1" selected="0">
            <x v="62"/>
          </reference>
          <reference field="13" count="1" selected="0">
            <x v="8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84">
      <pivotArea dataOnly="0" labelOnly="1" outline="0" fieldPosition="0">
        <references count="25">
          <reference field="1" count="1" selected="0">
            <x v="0"/>
          </reference>
          <reference field="2" count="1" selected="0">
            <x v="40"/>
          </reference>
          <reference field="6" count="1" selected="0">
            <x v="54"/>
          </reference>
          <reference field="13" count="1" selected="0">
            <x v="11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83">
      <pivotArea dataOnly="0" labelOnly="1" outline="0" fieldPosition="0">
        <references count="25">
          <reference field="1" count="1" selected="0">
            <x v="0"/>
          </reference>
          <reference field="2" count="1" selected="0">
            <x v="41"/>
          </reference>
          <reference field="6" count="1" selected="0">
            <x v="63"/>
          </reference>
          <reference field="13" count="1" selected="0">
            <x v="10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82">
      <pivotArea dataOnly="0" labelOnly="1" outline="0" fieldPosition="0">
        <references count="25">
          <reference field="1" count="1" selected="0">
            <x v="0"/>
          </reference>
          <reference field="2" count="1" selected="0">
            <x v="42"/>
          </reference>
          <reference field="6" count="1" selected="0">
            <x v="83"/>
          </reference>
          <reference field="13" count="1" selected="0">
            <x v="8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81">
      <pivotArea dataOnly="0" labelOnly="1" outline="0" fieldPosition="0">
        <references count="25">
          <reference field="1" count="1" selected="0">
            <x v="0"/>
          </reference>
          <reference field="2" count="1" selected="0">
            <x v="43"/>
          </reference>
          <reference field="6" count="1" selected="0">
            <x v="106"/>
          </reference>
          <reference field="13" count="1" selected="0">
            <x v="3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80">
      <pivotArea dataOnly="0" labelOnly="1" outline="0" fieldPosition="0">
        <references count="25">
          <reference field="1" count="1" selected="0">
            <x v="0"/>
          </reference>
          <reference field="2" count="1" selected="0">
            <x v="44"/>
          </reference>
          <reference field="6" count="1" selected="0">
            <x v="94"/>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79">
      <pivotArea dataOnly="0" labelOnly="1" outline="0" fieldPosition="0">
        <references count="25">
          <reference field="1" count="1" selected="0">
            <x v="0"/>
          </reference>
          <reference field="2" count="1" selected="0">
            <x v="45"/>
          </reference>
          <reference field="6" count="1" selected="0">
            <x v="29"/>
          </reference>
          <reference field="13" count="1" selected="0">
            <x v="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78">
      <pivotArea dataOnly="0" labelOnly="1" outline="0" fieldPosition="0">
        <references count="25">
          <reference field="1" count="1" selected="0">
            <x v="0"/>
          </reference>
          <reference field="2" count="1" selected="0">
            <x v="46"/>
          </reference>
          <reference field="6" count="1" selected="0">
            <x v="75"/>
          </reference>
          <reference field="13" count="1" selected="0">
            <x v="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77">
      <pivotArea dataOnly="0" labelOnly="1" outline="0" fieldPosition="0">
        <references count="25">
          <reference field="1" count="1" selected="0">
            <x v="0"/>
          </reference>
          <reference field="2" count="1" selected="0">
            <x v="47"/>
          </reference>
          <reference field="6" count="1" selected="0">
            <x v="17"/>
          </reference>
          <reference field="13" count="1" selected="0">
            <x v="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76">
      <pivotArea dataOnly="0" labelOnly="1" outline="0" fieldPosition="0">
        <references count="25">
          <reference field="1" count="1" selected="0">
            <x v="0"/>
          </reference>
          <reference field="2" count="1" selected="0">
            <x v="48"/>
          </reference>
          <reference field="6" count="1" selected="0">
            <x v="15"/>
          </reference>
          <reference field="13" count="1" selected="0">
            <x v="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75">
      <pivotArea dataOnly="0" labelOnly="1" outline="0" fieldPosition="0">
        <references count="25">
          <reference field="1" count="1" selected="0">
            <x v="0"/>
          </reference>
          <reference field="2" count="1" selected="0">
            <x v="49"/>
          </reference>
          <reference field="6" count="1" selected="0">
            <x v="13"/>
          </reference>
          <reference field="13" count="1" selected="0">
            <x v="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74">
      <pivotArea dataOnly="0" labelOnly="1" outline="0" fieldPosition="0">
        <references count="25">
          <reference field="1" count="1" selected="0">
            <x v="0"/>
          </reference>
          <reference field="2" count="1" selected="0">
            <x v="50"/>
          </reference>
          <reference field="6" count="1" selected="0">
            <x v="6"/>
          </reference>
          <reference field="13" count="1" selected="0">
            <x v="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73">
      <pivotArea dataOnly="0" labelOnly="1" outline="0" fieldPosition="0">
        <references count="25">
          <reference field="1" count="1" selected="0">
            <x v="0"/>
          </reference>
          <reference field="2" count="1" selected="0">
            <x v="52"/>
          </reference>
          <reference field="6" count="1" selected="0">
            <x v="88"/>
          </reference>
          <reference field="13" count="1" selected="0">
            <x v="9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72">
      <pivotArea dataOnly="0" labelOnly="1" outline="0" fieldPosition="0">
        <references count="25">
          <reference field="1" count="1" selected="0">
            <x v="0"/>
          </reference>
          <reference field="2" count="1" selected="0">
            <x v="53"/>
          </reference>
          <reference field="6" count="1" selected="0">
            <x v="70"/>
          </reference>
          <reference field="13" count="1" selected="0">
            <x v="3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71">
      <pivotArea dataOnly="0" labelOnly="1" outline="0" fieldPosition="0">
        <references count="25">
          <reference field="1" count="1" selected="0">
            <x v="0"/>
          </reference>
          <reference field="2" count="1" selected="0">
            <x v="54"/>
          </reference>
          <reference field="6" count="1" selected="0">
            <x v="44"/>
          </reference>
          <reference field="13" count="1" selected="0">
            <x v="8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70">
      <pivotArea dataOnly="0" labelOnly="1" outline="0" fieldPosition="0">
        <references count="25">
          <reference field="1" count="1" selected="0">
            <x v="1"/>
          </reference>
          <reference field="2" count="1" selected="0">
            <x v="55"/>
          </reference>
          <reference field="6" count="1" selected="0">
            <x v="50"/>
          </reference>
          <reference field="13" count="1" selected="0">
            <x v="5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69">
      <pivotArea dataOnly="0" labelOnly="1" outline="0" fieldPosition="0">
        <references count="25">
          <reference field="1" count="1" selected="0">
            <x v="1"/>
          </reference>
          <reference field="2" count="1" selected="0">
            <x v="56"/>
          </reference>
          <reference field="6" count="1" selected="0">
            <x v="51"/>
          </reference>
          <reference field="13" count="1" selected="0">
            <x v="5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68">
      <pivotArea dataOnly="0" labelOnly="1" outline="0" fieldPosition="0">
        <references count="25">
          <reference field="1" count="1" selected="0">
            <x v="1"/>
          </reference>
          <reference field="2" count="1" selected="0">
            <x v="57"/>
          </reference>
          <reference field="6" count="1" selected="0">
            <x v="52"/>
          </reference>
          <reference field="13" count="1" selected="0">
            <x v="5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67">
      <pivotArea dataOnly="0" labelOnly="1" outline="0" fieldPosition="0">
        <references count="25">
          <reference field="1" count="1" selected="0">
            <x v="1"/>
          </reference>
          <reference field="2" count="1" selected="0">
            <x v="58"/>
          </reference>
          <reference field="6" count="1" selected="0">
            <x v="53"/>
          </reference>
          <reference field="13" count="1" selected="0">
            <x v="5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66">
      <pivotArea dataOnly="0" labelOnly="1" outline="0" fieldPosition="0">
        <references count="25">
          <reference field="1" count="1" selected="0">
            <x v="1"/>
          </reference>
          <reference field="2" count="1" selected="0">
            <x v="59"/>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65">
      <pivotArea dataOnly="0" labelOnly="1" outline="0" fieldPosition="0">
        <references count="25">
          <reference field="1" count="1" selected="0">
            <x v="1"/>
          </reference>
          <reference field="2" count="1" selected="0">
            <x v="60"/>
          </reference>
          <reference field="6" count="1" selected="0">
            <x v="12"/>
          </reference>
          <reference field="13" count="1" selected="0">
            <x v="6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64">
      <pivotArea dataOnly="0" labelOnly="1" outline="0" fieldPosition="0">
        <references count="25">
          <reference field="1" count="1" selected="0">
            <x v="1"/>
          </reference>
          <reference field="2" count="1" selected="0">
            <x v="61"/>
          </reference>
          <reference field="6" count="1" selected="0">
            <x v="61"/>
          </reference>
          <reference field="13" count="1" selected="0">
            <x v="1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63">
      <pivotArea dataOnly="0" labelOnly="1" outline="0" fieldPosition="0">
        <references count="25">
          <reference field="1" count="1" selected="0">
            <x v="1"/>
          </reference>
          <reference field="2" count="1" selected="0">
            <x v="62"/>
          </reference>
          <reference field="6" count="1" selected="0">
            <x v="8"/>
          </reference>
          <reference field="13" count="1" selected="0">
            <x v="6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62">
      <pivotArea dataOnly="0" labelOnly="1" outline="0" fieldPosition="0">
        <references count="25">
          <reference field="1" count="1" selected="0">
            <x v="1"/>
          </reference>
          <reference field="2" count="1" selected="0">
            <x v="63"/>
          </reference>
          <reference field="6" count="1" selected="0">
            <x v="64"/>
          </reference>
          <reference field="13" count="1" selected="0">
            <x v="4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61">
      <pivotArea dataOnly="0" labelOnly="1" outline="0" fieldPosition="0">
        <references count="25">
          <reference field="1" count="1" selected="0">
            <x v="1"/>
          </reference>
          <reference field="2" count="1" selected="0">
            <x v="64"/>
          </reference>
          <reference field="6" count="1" selected="0">
            <x v="65"/>
          </reference>
          <reference field="13" count="1" selected="0">
            <x v="4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60">
      <pivotArea dataOnly="0" labelOnly="1" outline="0" fieldPosition="0">
        <references count="25">
          <reference field="1" count="1" selected="0">
            <x v="1"/>
          </reference>
          <reference field="2" count="1" selected="0">
            <x v="65"/>
          </reference>
          <reference field="6" count="1" selected="0">
            <x v="66"/>
          </reference>
          <reference field="13" count="1" selected="0">
            <x v="4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59">
      <pivotArea dataOnly="0" labelOnly="1" outline="0" fieldPosition="0">
        <references count="25">
          <reference field="1" count="1" selected="0">
            <x v="1"/>
          </reference>
          <reference field="2" count="1" selected="0">
            <x v="66"/>
          </reference>
          <reference field="6" count="1" selected="0">
            <x v="69"/>
          </reference>
          <reference field="13" count="1" selected="0">
            <x v="4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58">
      <pivotArea dataOnly="0" labelOnly="1" outline="0" fieldPosition="0">
        <references count="25">
          <reference field="1" count="1" selected="0">
            <x v="1"/>
          </reference>
          <reference field="2" count="1" selected="0">
            <x v="67"/>
          </reference>
          <reference field="6" count="1" selected="0">
            <x v="67"/>
          </reference>
          <reference field="13" count="1" selected="0">
            <x v="2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57">
      <pivotArea dataOnly="0" labelOnly="1" outline="0" fieldPosition="0">
        <references count="25">
          <reference field="1" count="1" selected="0">
            <x v="1"/>
          </reference>
          <reference field="2" count="1" selected="0">
            <x v="68"/>
          </reference>
          <reference field="6" count="1" selected="0">
            <x v="68"/>
          </reference>
          <reference field="13" count="1" selected="0">
            <x v="4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56">
      <pivotArea dataOnly="0" labelOnly="1" outline="0" fieldPosition="0">
        <references count="25">
          <reference field="1" count="1" selected="0">
            <x v="1"/>
          </reference>
          <reference field="2" count="1" selected="0">
            <x v="69"/>
          </reference>
          <reference field="6" count="1" selected="0">
            <x v="71"/>
          </reference>
          <reference field="13" count="1" selected="0">
            <x v="2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55">
      <pivotArea dataOnly="0" labelOnly="1" outline="0" fieldPosition="0">
        <references count="25">
          <reference field="1" count="1" selected="0">
            <x v="1"/>
          </reference>
          <reference field="2" count="1" selected="0">
            <x v="70"/>
          </reference>
          <reference field="6" count="1" selected="0">
            <x v="28"/>
          </reference>
          <reference field="13" count="1" selected="0">
            <x v="7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54">
      <pivotArea dataOnly="0" labelOnly="1" outline="0" fieldPosition="0">
        <references count="25">
          <reference field="1" count="1" selected="0">
            <x v="1"/>
          </reference>
          <reference field="2" count="1" selected="0">
            <x v="71"/>
          </reference>
          <reference field="6" count="1" selected="0">
            <x v="78"/>
          </reference>
          <reference field="13" count="1" selected="0">
            <x v="5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53">
      <pivotArea dataOnly="0" labelOnly="1" outline="0" fieldPosition="0">
        <references count="25">
          <reference field="1" count="1" selected="0">
            <x v="1"/>
          </reference>
          <reference field="2" count="1" selected="0">
            <x v="72"/>
          </reference>
          <reference field="6" count="1" selected="0">
            <x v="79"/>
          </reference>
          <reference field="13" count="1" selected="0">
            <x v="5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52">
      <pivotArea dataOnly="0" labelOnly="1" outline="0" fieldPosition="0">
        <references count="25">
          <reference field="1" count="1" selected="0">
            <x v="1"/>
          </reference>
          <reference field="2" count="1" selected="0">
            <x v="73"/>
          </reference>
          <reference field="6" count="1" selected="0">
            <x v="26"/>
          </reference>
          <reference field="13" count="1" selected="0">
            <x v="10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51">
      <pivotArea dataOnly="0" labelOnly="1" outline="0" fieldPosition="0">
        <references count="25">
          <reference field="1" count="1" selected="0">
            <x v="1"/>
          </reference>
          <reference field="2" count="1" selected="0">
            <x v="74"/>
          </reference>
          <reference field="6" count="1" selected="0">
            <x v="48"/>
          </reference>
          <reference field="13" count="1" selected="0">
            <x v="9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50">
      <pivotArea dataOnly="0" labelOnly="1" outline="0" fieldPosition="0">
        <references count="25">
          <reference field="1" count="1" selected="0">
            <x v="1"/>
          </reference>
          <reference field="2" count="1" selected="0">
            <x v="75"/>
          </reference>
          <reference field="6" count="1" selected="0">
            <x v="27"/>
          </reference>
          <reference field="13" count="1" selected="0">
            <x v="10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49">
      <pivotArea dataOnly="0" labelOnly="1" outline="0" fieldPosition="0">
        <references count="25">
          <reference field="1" count="1" selected="0">
            <x v="1"/>
          </reference>
          <reference field="2" count="1" selected="0">
            <x v="76"/>
          </reference>
          <reference field="6" count="1" selected="0">
            <x v="49"/>
          </reference>
          <reference field="13" count="1" selected="0">
            <x v="9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48">
      <pivotArea dataOnly="0" labelOnly="1" outline="0" fieldPosition="0">
        <references count="25">
          <reference field="1" count="1" selected="0">
            <x v="1"/>
          </reference>
          <reference field="2" count="1" selected="0">
            <x v="77"/>
          </reference>
          <reference field="6" count="1" selected="0">
            <x v="97"/>
          </reference>
          <reference field="13" count="1" selected="0">
            <x v="6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47">
      <pivotArea dataOnly="0" labelOnly="1" outline="0" fieldPosition="0">
        <references count="25">
          <reference field="1" count="1" selected="0">
            <x v="1"/>
          </reference>
          <reference field="2" count="1" selected="0">
            <x v="78"/>
          </reference>
          <reference field="6" count="1" selected="0">
            <x v="98"/>
          </reference>
          <reference field="13" count="1" selected="0">
            <x v="4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46">
      <pivotArea dataOnly="0" labelOnly="1" outline="0" fieldPosition="0">
        <references count="25">
          <reference field="1" count="1" selected="0">
            <x v="1"/>
          </reference>
          <reference field="2" count="1" selected="0">
            <x v="79"/>
          </reference>
          <reference field="6" count="1" selected="0">
            <x v="95"/>
          </reference>
          <reference field="13" count="1" selected="0">
            <x v="6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45">
      <pivotArea dataOnly="0" labelOnly="1" outline="0" fieldPosition="0">
        <references count="25">
          <reference field="1" count="1" selected="0">
            <x v="1"/>
          </reference>
          <reference field="2" count="1" selected="0">
            <x v="80"/>
          </reference>
          <reference field="6" count="1" selected="0">
            <x v="96"/>
          </reference>
          <reference field="13" count="1" selected="0">
            <x v="4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44">
      <pivotArea dataOnly="0" labelOnly="1" outline="0" fieldPosition="0">
        <references count="25">
          <reference field="1" count="1" selected="0">
            <x v="2"/>
          </reference>
          <reference field="2" count="1" selected="0">
            <x v="81"/>
          </reference>
          <reference field="6" count="1" selected="0">
            <x v="46"/>
          </reference>
          <reference field="13" count="1" selected="0">
            <x v="10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43">
      <pivotArea dataOnly="0" labelOnly="1" outline="0" fieldPosition="0">
        <references count="25">
          <reference field="1" count="1" selected="0">
            <x v="2"/>
          </reference>
          <reference field="2" count="1" selected="0">
            <x v="82"/>
          </reference>
          <reference field="6" count="1" selected="0">
            <x v="50"/>
          </reference>
          <reference field="13" count="1" selected="0">
            <x v="5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42">
      <pivotArea dataOnly="0" labelOnly="1" outline="0" fieldPosition="0">
        <references count="25">
          <reference field="1" count="1" selected="0">
            <x v="2"/>
          </reference>
          <reference field="2" count="1" selected="0">
            <x v="83"/>
          </reference>
          <reference field="6" count="1" selected="0">
            <x v="51"/>
          </reference>
          <reference field="13" count="1" selected="0">
            <x v="5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41">
      <pivotArea dataOnly="0" labelOnly="1" outline="0" fieldPosition="0">
        <references count="25">
          <reference field="1" count="1" selected="0">
            <x v="2"/>
          </reference>
          <reference field="2" count="1" selected="0">
            <x v="84"/>
          </reference>
          <reference field="6" count="1" selected="0">
            <x v="52"/>
          </reference>
          <reference field="13" count="1" selected="0">
            <x v="5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40">
      <pivotArea dataOnly="0" labelOnly="1" outline="0" fieldPosition="0">
        <references count="25">
          <reference field="1" count="1" selected="0">
            <x v="2"/>
          </reference>
          <reference field="2" count="1" selected="0">
            <x v="85"/>
          </reference>
          <reference field="6" count="1" selected="0">
            <x v="53"/>
          </reference>
          <reference field="13" count="1" selected="0">
            <x v="5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39">
      <pivotArea dataOnly="0" labelOnly="1" outline="0" fieldPosition="0">
        <references count="25">
          <reference field="1" count="1" selected="0">
            <x v="2"/>
          </reference>
          <reference field="2" count="1" selected="0">
            <x v="86"/>
          </reference>
          <reference field="6" count="1" selected="0">
            <x v="2"/>
          </reference>
          <reference field="13" count="1" selected="0">
            <x v="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38">
      <pivotArea dataOnly="0" labelOnly="1" outline="0" fieldPosition="0">
        <references count="25">
          <reference field="1" count="1" selected="0">
            <x v="2"/>
          </reference>
          <reference field="2" count="1" selected="0">
            <x v="87"/>
          </reference>
          <reference field="6" count="1" selected="0">
            <x v="1"/>
          </reference>
          <reference field="13" count="1" selected="0">
            <x v="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37">
      <pivotArea dataOnly="0" labelOnly="1" outline="0" fieldPosition="0">
        <references count="25">
          <reference field="1" count="1" selected="0">
            <x v="2"/>
          </reference>
          <reference field="2" count="1" selected="0">
            <x v="88"/>
          </reference>
          <reference field="6" count="1" selected="0">
            <x v="103"/>
          </reference>
          <reference field="13" count="1" selected="0">
            <x v="9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36">
      <pivotArea dataOnly="0" labelOnly="1" outline="0" fieldPosition="0">
        <references count="25">
          <reference field="1" count="1" selected="0">
            <x v="2"/>
          </reference>
          <reference field="2" count="1" selected="0">
            <x v="89"/>
          </reference>
          <reference field="6" count="1" selected="0">
            <x v="120"/>
          </reference>
          <reference field="13" count="1" selected="0">
            <x v="9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35">
      <pivotArea dataOnly="0" labelOnly="1" outline="0" fieldPosition="0">
        <references count="25">
          <reference field="1" count="1" selected="0">
            <x v="2"/>
          </reference>
          <reference field="2" count="1" selected="0">
            <x v="90"/>
          </reference>
          <reference field="6" count="1" selected="0">
            <x v="18"/>
          </reference>
          <reference field="13" count="1" selected="0">
            <x v="1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34">
      <pivotArea dataOnly="0" labelOnly="1" outline="0" fieldPosition="0">
        <references count="25">
          <reference field="1" count="1" selected="0">
            <x v="2"/>
          </reference>
          <reference field="2" count="1" selected="0">
            <x v="91"/>
          </reference>
          <reference field="6" count="1" selected="0">
            <x v="119"/>
          </reference>
          <reference field="13" count="1" selected="0">
            <x v="9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33">
      <pivotArea dataOnly="0" labelOnly="1" outline="0" fieldPosition="0">
        <references count="25">
          <reference field="1" count="1" selected="0">
            <x v="2"/>
          </reference>
          <reference field="2" count="1" selected="0">
            <x v="92"/>
          </reference>
          <reference field="6" count="1" selected="0">
            <x v="36"/>
          </reference>
          <reference field="13" count="1" selected="0">
            <x v="9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32">
      <pivotArea dataOnly="0" labelOnly="1" outline="0" fieldPosition="0">
        <references count="25">
          <reference field="1" count="1" selected="0">
            <x v="2"/>
          </reference>
          <reference field="2" count="1" selected="0">
            <x v="93"/>
          </reference>
          <reference field="6" count="1" selected="0">
            <x v="20"/>
          </reference>
          <reference field="13" count="1" selected="0">
            <x v="5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31">
      <pivotArea dataOnly="0" labelOnly="1" outline="0" fieldPosition="0">
        <references count="25">
          <reference field="1" count="1" selected="0">
            <x v="2"/>
          </reference>
          <reference field="2" count="1" selected="0">
            <x v="94"/>
          </reference>
          <reference field="6" count="1" selected="0">
            <x v="34"/>
          </reference>
          <reference field="13" count="1" selected="0">
            <x v="6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30">
      <pivotArea dataOnly="0" labelOnly="1" outline="0" fieldPosition="0">
        <references count="25">
          <reference field="1" count="1" selected="0">
            <x v="2"/>
          </reference>
          <reference field="2" count="1" selected="0">
            <x v="95"/>
          </reference>
          <reference field="6" count="1" selected="0">
            <x v="33"/>
          </reference>
          <reference field="13" count="1" selected="0">
            <x v="5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29">
      <pivotArea dataOnly="0" labelOnly="1" outline="0" fieldPosition="0">
        <references count="25">
          <reference field="1" count="1" selected="0">
            <x v="2"/>
          </reference>
          <reference field="2" count="1" selected="0">
            <x v="96"/>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28">
      <pivotArea dataOnly="0" labelOnly="1" outline="0" fieldPosition="0">
        <references count="25">
          <reference field="1" count="1" selected="0">
            <x v="2"/>
          </reference>
          <reference field="2" count="1" selected="0">
            <x v="97"/>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27">
      <pivotArea dataOnly="0" labelOnly="1" outline="0" fieldPosition="0">
        <references count="25">
          <reference field="1" count="1" selected="0">
            <x v="2"/>
          </reference>
          <reference field="2" count="1" selected="0">
            <x v="98"/>
          </reference>
          <reference field="6" count="1" selected="0">
            <x v="37"/>
          </reference>
          <reference field="13" count="1" selected="0">
            <x v="2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26">
      <pivotArea dataOnly="0" labelOnly="1" outline="0" fieldPosition="0">
        <references count="25">
          <reference field="1" count="1" selected="0">
            <x v="2"/>
          </reference>
          <reference field="2" count="1" selected="0">
            <x v="99"/>
          </reference>
          <reference field="6" count="1" selected="0">
            <x v="3"/>
          </reference>
          <reference field="13" count="1" selected="0">
            <x v="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25">
      <pivotArea dataOnly="0" labelOnly="1" outline="0" fieldPosition="0">
        <references count="25">
          <reference field="1" count="1" selected="0">
            <x v="2"/>
          </reference>
          <reference field="2" count="1" selected="0">
            <x v="100"/>
          </reference>
          <reference field="6" count="1" selected="0">
            <x v="5"/>
          </reference>
          <reference field="13" count="1" selected="0">
            <x v="1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24">
      <pivotArea dataOnly="0" labelOnly="1" outline="0" fieldPosition="0">
        <references count="25">
          <reference field="1" count="1" selected="0">
            <x v="2"/>
          </reference>
          <reference field="2" count="1" selected="0">
            <x v="101"/>
          </reference>
          <reference field="6" count="1" selected="0">
            <x v="4"/>
          </reference>
          <reference field="13" count="1" selected="0">
            <x v="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23">
      <pivotArea dataOnly="0" labelOnly="1" outline="0" fieldPosition="0">
        <references count="25">
          <reference field="1" count="1" selected="0">
            <x v="2"/>
          </reference>
          <reference field="2" count="1" selected="0">
            <x v="102"/>
          </reference>
          <reference field="6" count="1" selected="0">
            <x v="16"/>
          </reference>
          <reference field="13" count="1" selected="0">
            <x v="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22">
      <pivotArea dataOnly="0" labelOnly="1" outline="0" fieldPosition="0">
        <references count="25">
          <reference field="1" count="1" selected="0">
            <x v="2"/>
          </reference>
          <reference field="2" count="1" selected="0">
            <x v="103"/>
          </reference>
          <reference field="6" count="1" selected="0">
            <x v="102"/>
          </reference>
          <reference field="13" count="1" selected="0">
            <x v="5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21">
      <pivotArea dataOnly="0" labelOnly="1" outline="0" fieldPosition="0">
        <references count="25">
          <reference field="1" count="1" selected="0">
            <x v="2"/>
          </reference>
          <reference field="2" count="1" selected="0">
            <x v="104"/>
          </reference>
          <reference field="6" count="1" selected="0">
            <x v="55"/>
          </reference>
          <reference field="13" count="1" selected="0">
            <x v="2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20">
      <pivotArea dataOnly="0" labelOnly="1" outline="0" fieldPosition="0">
        <references count="25">
          <reference field="1" count="1" selected="0">
            <x v="2"/>
          </reference>
          <reference field="2" count="1" selected="0">
            <x v="105"/>
          </reference>
          <reference field="6" count="1" selected="0">
            <x v="74"/>
          </reference>
          <reference field="13" count="1" selected="0">
            <x v="3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19">
      <pivotArea dataOnly="0" labelOnly="1" outline="0" fieldPosition="0">
        <references count="25">
          <reference field="1" count="1" selected="0">
            <x v="2"/>
          </reference>
          <reference field="2" count="1" selected="0">
            <x v="106"/>
          </reference>
          <reference field="6" count="1" selected="0">
            <x v="87"/>
          </reference>
          <reference field="13" count="1" selected="0">
            <x v="10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18">
      <pivotArea dataOnly="0" labelOnly="1" outline="0" fieldPosition="0">
        <references count="25">
          <reference field="1" count="1" selected="0">
            <x v="2"/>
          </reference>
          <reference field="2" count="1" selected="0">
            <x v="107"/>
          </reference>
          <reference field="6" count="1" selected="0">
            <x v="76"/>
          </reference>
          <reference field="13" count="1" selected="0">
            <x v="4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17">
      <pivotArea dataOnly="0" labelOnly="1" outline="0" fieldPosition="0">
        <references count="25">
          <reference field="1" count="1" selected="0">
            <x v="2"/>
          </reference>
          <reference field="2" count="1" selected="0">
            <x v="108"/>
          </reference>
          <reference field="6" count="1" selected="0">
            <x v="0"/>
          </reference>
          <reference field="13" count="1" selected="0">
            <x v="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16">
      <pivotArea dataOnly="0" labelOnly="1" outline="0" fieldPosition="0">
        <references count="25">
          <reference field="1" count="1" selected="0">
            <x v="2"/>
          </reference>
          <reference field="2" count="1" selected="0">
            <x v="109"/>
          </reference>
          <reference field="6" count="1" selected="0">
            <x v="32"/>
          </reference>
          <reference field="13" count="1" selected="0">
            <x v="1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15">
      <pivotArea dataOnly="0" labelOnly="1" outline="0" fieldPosition="0">
        <references count="25">
          <reference field="1" count="1" selected="0">
            <x v="2"/>
          </reference>
          <reference field="2" count="1" selected="0">
            <x v="110"/>
          </reference>
          <reference field="6" count="1" selected="0">
            <x v="32"/>
          </reference>
          <reference field="13" count="1" selected="0">
            <x v="1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14">
      <pivotArea dataOnly="0" labelOnly="1" outline="0" fieldPosition="0">
        <references count="25">
          <reference field="1" count="1" selected="0">
            <x v="2"/>
          </reference>
          <reference field="2" count="1" selected="0">
            <x v="111"/>
          </reference>
          <reference field="6" count="1" selected="0">
            <x v="60"/>
          </reference>
          <reference field="13" count="1" selected="0">
            <x v="2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13">
      <pivotArea dataOnly="0" labelOnly="1" outline="0" fieldPosition="0">
        <references count="25">
          <reference field="1" count="1" selected="0">
            <x v="2"/>
          </reference>
          <reference field="2" count="1" selected="0">
            <x v="112"/>
          </reference>
          <reference field="6" count="1" selected="0">
            <x v="10"/>
          </reference>
          <reference field="13" count="1" selected="0">
            <x v="1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12">
      <pivotArea dataOnly="0" labelOnly="1" outline="0" fieldPosition="0">
        <references count="25">
          <reference field="1" count="1" selected="0">
            <x v="2"/>
          </reference>
          <reference field="2" count="1" selected="0">
            <x v="113"/>
          </reference>
          <reference field="6" count="1" selected="0">
            <x v="42"/>
          </reference>
          <reference field="13" count="1" selected="0">
            <x v="1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11">
      <pivotArea dataOnly="0" labelOnly="1" outline="0" fieldPosition="0">
        <references count="25">
          <reference field="1" count="1" selected="0">
            <x v="2"/>
          </reference>
          <reference field="2" count="1" selected="0">
            <x v="114"/>
          </reference>
          <reference field="6" count="1" selected="0">
            <x v="45"/>
          </reference>
          <reference field="13" count="1" selected="0">
            <x v="10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10">
      <pivotArea dataOnly="0" labelOnly="1" outline="0" fieldPosition="0">
        <references count="25">
          <reference field="1" count="1" selected="0">
            <x v="2"/>
          </reference>
          <reference field="2" count="1" selected="0">
            <x v="115"/>
          </reference>
          <reference field="6" count="1" selected="0">
            <x v="104"/>
          </reference>
          <reference field="13" count="1" selected="0">
            <x v="4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09">
      <pivotArea dataOnly="0" labelOnly="1" outline="0" fieldPosition="0">
        <references count="25">
          <reference field="1" count="1" selected="0">
            <x v="2"/>
          </reference>
          <reference field="2" count="1" selected="0">
            <x v="116"/>
          </reference>
          <reference field="6" count="1" selected="0">
            <x v="35"/>
          </reference>
          <reference field="13" count="1" selected="0">
            <x v="2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08">
      <pivotArea dataOnly="0" labelOnly="1" outline="0" fieldPosition="0">
        <references count="25">
          <reference field="1" count="1" selected="0">
            <x v="2"/>
          </reference>
          <reference field="2" count="1" selected="0">
            <x v="117"/>
          </reference>
          <reference field="6" count="1" selected="0">
            <x v="14"/>
          </reference>
          <reference field="13" count="1" selected="0">
            <x v="2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07">
      <pivotArea dataOnly="0" labelOnly="1" outline="0" fieldPosition="0">
        <references count="25">
          <reference field="1" count="1" selected="0">
            <x v="2"/>
          </reference>
          <reference field="2" count="1" selected="0">
            <x v="118"/>
          </reference>
          <reference field="6" count="1" selected="0">
            <x v="72"/>
          </reference>
          <reference field="13" count="1" selected="0">
            <x v="2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06">
      <pivotArea dataOnly="0" labelOnly="1" outline="0" fieldPosition="0">
        <references count="25">
          <reference field="1" count="1" selected="0">
            <x v="2"/>
          </reference>
          <reference field="2" count="1" selected="0">
            <x v="119"/>
          </reference>
          <reference field="6" count="1" selected="0">
            <x v="72"/>
          </reference>
          <reference field="13" count="1" selected="0">
            <x v="2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05">
      <pivotArea dataOnly="0" labelOnly="1" outline="0" fieldPosition="0">
        <references count="25">
          <reference field="1" count="1" selected="0">
            <x v="2"/>
          </reference>
          <reference field="2" count="1" selected="0">
            <x v="120"/>
          </reference>
          <reference field="6" count="1" selected="0">
            <x v="82"/>
          </reference>
          <reference field="13" count="1" selected="0">
            <x v="6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04">
      <pivotArea dataOnly="0" labelOnly="1" outline="0" fieldPosition="0">
        <references count="25">
          <reference field="1" count="1" selected="0">
            <x v="2"/>
          </reference>
          <reference field="2" count="1" selected="0">
            <x v="121"/>
          </reference>
          <reference field="6" count="1" selected="0">
            <x v="39"/>
          </reference>
          <reference field="13" count="1" selected="0">
            <x v="6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03">
      <pivotArea dataOnly="0" labelOnly="1" outline="0" fieldPosition="0">
        <references count="25">
          <reference field="1" count="1" selected="0">
            <x v="2"/>
          </reference>
          <reference field="2" count="1" selected="0">
            <x v="122"/>
          </reference>
          <reference field="6" count="1" selected="0">
            <x v="38"/>
          </reference>
          <reference field="13" count="1" selected="0">
            <x v="2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02">
      <pivotArea dataOnly="0" labelOnly="1" outline="0" fieldPosition="0">
        <references count="25">
          <reference field="1" count="1" selected="0">
            <x v="2"/>
          </reference>
          <reference field="2" count="1" selected="0">
            <x v="123"/>
          </reference>
          <reference field="6" count="1" selected="0">
            <x v="81"/>
          </reference>
          <reference field="13" count="1" selected="0">
            <x v="9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01">
      <pivotArea dataOnly="0" labelOnly="1" outline="0" fieldPosition="0">
        <references count="25">
          <reference field="1" count="1" selected="0">
            <x v="2"/>
          </reference>
          <reference field="2" count="1" selected="0">
            <x v="124"/>
          </reference>
          <reference field="6" count="1" selected="0">
            <x v="30"/>
          </reference>
          <reference field="13" count="1" selected="0">
            <x v="9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700">
      <pivotArea dataOnly="0" labelOnly="1" outline="0" fieldPosition="0">
        <references count="25">
          <reference field="1" count="1" selected="0">
            <x v="2"/>
          </reference>
          <reference field="2" count="1" selected="0">
            <x v="125"/>
          </reference>
          <reference field="6" count="1" selected="0">
            <x v="31"/>
          </reference>
          <reference field="13" count="1" selected="0">
            <x v="1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99">
      <pivotArea dataOnly="0" labelOnly="1" outline="0" fieldPosition="0">
        <references count="25">
          <reference field="1" count="1" selected="0">
            <x v="2"/>
          </reference>
          <reference field="2" count="1" selected="0">
            <x v="126"/>
          </reference>
          <reference field="6" count="1" selected="0">
            <x v="40"/>
          </reference>
          <reference field="13" count="1" selected="0">
            <x v="6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98">
      <pivotArea dataOnly="0" labelOnly="1" outline="0" fieldPosition="0">
        <references count="25">
          <reference field="1" count="1" selected="0">
            <x v="2"/>
          </reference>
          <reference field="2" count="1" selected="0">
            <x v="127"/>
          </reference>
          <reference field="6" count="1" selected="0">
            <x v="84"/>
          </reference>
          <reference field="13" count="1" selected="0">
            <x v="6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97">
      <pivotArea dataOnly="0" labelOnly="1" outline="0" fieldPosition="0">
        <references count="25">
          <reference field="1" count="1" selected="0">
            <x v="2"/>
          </reference>
          <reference field="2" count="1" selected="0">
            <x v="128"/>
          </reference>
          <reference field="6" count="1" selected="0">
            <x v="90"/>
          </reference>
          <reference field="13" count="1" selected="0">
            <x v="3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96">
      <pivotArea dataOnly="0" labelOnly="1" outline="0" fieldPosition="0">
        <references count="25">
          <reference field="1" count="1" selected="0">
            <x v="3"/>
          </reference>
          <reference field="2" count="1" selected="0">
            <x v="129"/>
          </reference>
          <reference field="6" count="1" selected="0">
            <x v="100"/>
          </reference>
          <reference field="13" count="1" selected="0">
            <x v="8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95">
      <pivotArea dataOnly="0" labelOnly="1" outline="0" fieldPosition="0">
        <references count="25">
          <reference field="1" count="1" selected="0">
            <x v="3"/>
          </reference>
          <reference field="2" count="1" selected="0">
            <x v="130"/>
          </reference>
          <reference field="6" count="1" selected="0">
            <x v="101"/>
          </reference>
          <reference field="13" count="1" selected="0">
            <x v="3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94">
      <pivotArea dataOnly="0" labelOnly="1" outline="0" fieldPosition="0">
        <references count="25">
          <reference field="1" count="1" selected="0">
            <x v="3"/>
          </reference>
          <reference field="2" count="1" selected="0">
            <x v="131"/>
          </reference>
          <reference field="6" count="1" selected="0">
            <x v="86"/>
          </reference>
          <reference field="13" count="1" selected="0">
            <x v="9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93">
      <pivotArea dataOnly="0" labelOnly="1" outline="0" fieldPosition="0">
        <references count="25">
          <reference field="1" count="1" selected="0">
            <x v="3"/>
          </reference>
          <reference field="2" count="1" selected="0">
            <x v="132"/>
          </reference>
          <reference field="6" count="1" selected="0">
            <x v="85"/>
          </reference>
          <reference field="13" count="1" selected="0">
            <x v="6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92">
      <pivotArea dataOnly="0" labelOnly="1" outline="0" fieldPosition="0">
        <references count="25">
          <reference field="1" count="1" selected="0">
            <x v="4"/>
          </reference>
          <reference field="2" count="1" selected="0">
            <x v="7"/>
          </reference>
          <reference field="6" count="1" selected="0">
            <x v="23"/>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91">
      <pivotArea dataOnly="0" labelOnly="1" outline="0" fieldPosition="0">
        <references count="25">
          <reference field="1" count="1" selected="0">
            <x v="4"/>
          </reference>
          <reference field="2" count="1" selected="0">
            <x v="29"/>
          </reference>
          <reference field="6" count="1" selected="0">
            <x v="41"/>
          </reference>
          <reference field="13" count="1" selected="0">
            <x v="10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90">
      <pivotArea dataOnly="0" labelOnly="1" outline="0" fieldPosition="0">
        <references count="25">
          <reference field="1" count="1" selected="0">
            <x v="4"/>
          </reference>
          <reference field="2" count="1" selected="0">
            <x v="30"/>
          </reference>
          <reference field="6" count="1" selected="0">
            <x v="43"/>
          </reference>
          <reference field="13" count="1" selected="0">
            <x v="2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89">
      <pivotArea dataOnly="0" labelOnly="1" outline="0" fieldPosition="0">
        <references count="25">
          <reference field="1" count="1" selected="0">
            <x v="4"/>
          </reference>
          <reference field="2" count="1" selected="0">
            <x v="31"/>
          </reference>
          <reference field="6" count="1" selected="0">
            <x v="78"/>
          </reference>
          <reference field="13" count="1" selected="0">
            <x v="5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88">
      <pivotArea dataOnly="0" labelOnly="1" outline="0" fieldPosition="0">
        <references count="25">
          <reference field="1" count="1" selected="0">
            <x v="4"/>
          </reference>
          <reference field="2" count="1" selected="0">
            <x v="51"/>
          </reference>
          <reference field="6" count="1" selected="0">
            <x v="99"/>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687">
      <pivotArea field="23" type="button" dataOnly="0" labelOnly="1" outline="0" axis="axisRow" fieldPosition="4"/>
    </format>
    <format dxfId="686">
      <pivotArea field="24" type="button" dataOnly="0" labelOnly="1" outline="0" axis="axisRow" fieldPosition="5"/>
    </format>
    <format dxfId="685">
      <pivotArea field="25" type="button" dataOnly="0" labelOnly="1" outline="0" axis="axisRow" fieldPosition="6"/>
    </format>
    <format dxfId="684">
      <pivotArea field="26" type="button" dataOnly="0" labelOnly="1" outline="0" axis="axisRow" fieldPosition="7"/>
    </format>
    <format dxfId="683">
      <pivotArea field="27" type="button" dataOnly="0" labelOnly="1" outline="0" axis="axisRow" fieldPosition="8"/>
    </format>
    <format dxfId="682">
      <pivotArea field="28" type="button" dataOnly="0" labelOnly="1" outline="0" axis="axisRow" fieldPosition="9"/>
    </format>
    <format dxfId="681">
      <pivotArea field="29" type="button" dataOnly="0" labelOnly="1" outline="0" axis="axisRow" fieldPosition="10"/>
    </format>
    <format dxfId="680">
      <pivotArea field="30" type="button" dataOnly="0" labelOnly="1" outline="0" axis="axisRow" fieldPosition="11"/>
    </format>
    <format dxfId="679">
      <pivotArea field="31" type="button" dataOnly="0" labelOnly="1" outline="0" axis="axisRow" fieldPosition="12"/>
    </format>
    <format dxfId="678">
      <pivotArea field="32" type="button" dataOnly="0" labelOnly="1" outline="0" axis="axisRow" fieldPosition="13"/>
    </format>
    <format dxfId="677">
      <pivotArea field="33" type="button" dataOnly="0" labelOnly="1" outline="0" axis="axisRow" fieldPosition="14"/>
    </format>
    <format dxfId="676">
      <pivotArea field="34" type="button" dataOnly="0" labelOnly="1" outline="0" axis="axisRow" fieldPosition="15"/>
    </format>
    <format dxfId="675">
      <pivotArea field="35" type="button" dataOnly="0" labelOnly="1" outline="0" axis="axisRow" fieldPosition="16"/>
    </format>
    <format dxfId="674">
      <pivotArea field="36" type="button" dataOnly="0" labelOnly="1" outline="0" axis="axisRow" fieldPosition="17"/>
    </format>
    <format dxfId="673">
      <pivotArea field="37" type="button" dataOnly="0" labelOnly="1" outline="0" axis="axisRow" fieldPosition="18"/>
    </format>
    <format dxfId="672">
      <pivotArea field="38" type="button" dataOnly="0" labelOnly="1" outline="0" axis="axisRow" fieldPosition="19"/>
    </format>
    <format dxfId="671">
      <pivotArea field="39" type="button" dataOnly="0" labelOnly="1" outline="0" axis="axisRow" fieldPosition="20"/>
    </format>
    <format dxfId="670">
      <pivotArea field="40" type="button" dataOnly="0" labelOnly="1" outline="0" axis="axisRow" fieldPosition="21"/>
    </format>
    <format dxfId="669">
      <pivotArea field="41" type="button" dataOnly="0" labelOnly="1" outline="0" axis="axisRow" fieldPosition="22"/>
    </format>
    <format dxfId="668">
      <pivotArea field="42" type="button" dataOnly="0" labelOnly="1" outline="0" axis="axisRow" fieldPosition="23"/>
    </format>
    <format dxfId="667">
      <pivotArea field="43" type="button" dataOnly="0" labelOnly="1" outline="0" axis="axisRow" fieldPosition="24"/>
    </format>
    <format dxfId="666">
      <pivotArea field="23" type="button" dataOnly="0" labelOnly="1" outline="0" axis="axisRow" fieldPosition="4"/>
    </format>
    <format dxfId="665">
      <pivotArea field="24" type="button" dataOnly="0" labelOnly="1" outline="0" axis="axisRow" fieldPosition="5"/>
    </format>
    <format dxfId="664">
      <pivotArea field="25" type="button" dataOnly="0" labelOnly="1" outline="0" axis="axisRow" fieldPosition="6"/>
    </format>
    <format dxfId="663">
      <pivotArea field="26" type="button" dataOnly="0" labelOnly="1" outline="0" axis="axisRow" fieldPosition="7"/>
    </format>
    <format dxfId="662">
      <pivotArea field="27" type="button" dataOnly="0" labelOnly="1" outline="0" axis="axisRow" fieldPosition="8"/>
    </format>
    <format dxfId="661">
      <pivotArea field="28" type="button" dataOnly="0" labelOnly="1" outline="0" axis="axisRow" fieldPosition="9"/>
    </format>
    <format dxfId="660">
      <pivotArea field="29" type="button" dataOnly="0" labelOnly="1" outline="0" axis="axisRow" fieldPosition="10"/>
    </format>
    <format dxfId="659">
      <pivotArea field="30" type="button" dataOnly="0" labelOnly="1" outline="0" axis="axisRow" fieldPosition="11"/>
    </format>
    <format dxfId="658">
      <pivotArea field="31" type="button" dataOnly="0" labelOnly="1" outline="0" axis="axisRow" fieldPosition="12"/>
    </format>
    <format dxfId="657">
      <pivotArea field="32" type="button" dataOnly="0" labelOnly="1" outline="0" axis="axisRow" fieldPosition="13"/>
    </format>
    <format dxfId="656">
      <pivotArea field="33" type="button" dataOnly="0" labelOnly="1" outline="0" axis="axisRow" fieldPosition="14"/>
    </format>
    <format dxfId="655">
      <pivotArea field="34" type="button" dataOnly="0" labelOnly="1" outline="0" axis="axisRow" fieldPosition="15"/>
    </format>
    <format dxfId="654">
      <pivotArea field="35" type="button" dataOnly="0" labelOnly="1" outline="0" axis="axisRow" fieldPosition="16"/>
    </format>
    <format dxfId="653">
      <pivotArea field="36" type="button" dataOnly="0" labelOnly="1" outline="0" axis="axisRow" fieldPosition="17"/>
    </format>
    <format dxfId="652">
      <pivotArea field="37" type="button" dataOnly="0" labelOnly="1" outline="0" axis="axisRow" fieldPosition="18"/>
    </format>
    <format dxfId="651">
      <pivotArea field="38" type="button" dataOnly="0" labelOnly="1" outline="0" axis="axisRow" fieldPosition="19"/>
    </format>
    <format dxfId="650">
      <pivotArea field="39" type="button" dataOnly="0" labelOnly="1" outline="0" axis="axisRow" fieldPosition="20"/>
    </format>
    <format dxfId="649">
      <pivotArea field="40" type="button" dataOnly="0" labelOnly="1" outline="0" axis="axisRow" fieldPosition="21"/>
    </format>
    <format dxfId="648">
      <pivotArea field="41" type="button" dataOnly="0" labelOnly="1" outline="0" axis="axisRow" fieldPosition="22"/>
    </format>
    <format dxfId="647">
      <pivotArea field="42" type="button" dataOnly="0" labelOnly="1" outline="0" axis="axisRow" fieldPosition="23"/>
    </format>
    <format dxfId="646">
      <pivotArea field="43" type="button" dataOnly="0" labelOnly="1" outline="0" axis="axisRow" fieldPosition="24"/>
    </format>
    <format dxfId="645">
      <pivotArea field="23" type="button" dataOnly="0" labelOnly="1" outline="0" axis="axisRow" fieldPosition="4"/>
    </format>
    <format dxfId="644">
      <pivotArea field="24" type="button" dataOnly="0" labelOnly="1" outline="0" axis="axisRow" fieldPosition="5"/>
    </format>
    <format dxfId="643">
      <pivotArea field="25" type="button" dataOnly="0" labelOnly="1" outline="0" axis="axisRow" fieldPosition="6"/>
    </format>
    <format dxfId="642">
      <pivotArea field="26" type="button" dataOnly="0" labelOnly="1" outline="0" axis="axisRow" fieldPosition="7"/>
    </format>
    <format dxfId="641">
      <pivotArea field="27" type="button" dataOnly="0" labelOnly="1" outline="0" axis="axisRow" fieldPosition="8"/>
    </format>
    <format dxfId="640">
      <pivotArea field="28" type="button" dataOnly="0" labelOnly="1" outline="0" axis="axisRow" fieldPosition="9"/>
    </format>
    <format dxfId="639">
      <pivotArea field="29" type="button" dataOnly="0" labelOnly="1" outline="0" axis="axisRow" fieldPosition="10"/>
    </format>
    <format dxfId="638">
      <pivotArea field="30" type="button" dataOnly="0" labelOnly="1" outline="0" axis="axisRow" fieldPosition="11"/>
    </format>
    <format dxfId="637">
      <pivotArea field="31" type="button" dataOnly="0" labelOnly="1" outline="0" axis="axisRow" fieldPosition="12"/>
    </format>
    <format dxfId="636">
      <pivotArea field="32" type="button" dataOnly="0" labelOnly="1" outline="0" axis="axisRow" fieldPosition="13"/>
    </format>
    <format dxfId="635">
      <pivotArea field="33" type="button" dataOnly="0" labelOnly="1" outline="0" axis="axisRow" fieldPosition="14"/>
    </format>
    <format dxfId="634">
      <pivotArea field="34" type="button" dataOnly="0" labelOnly="1" outline="0" axis="axisRow" fieldPosition="15"/>
    </format>
    <format dxfId="633">
      <pivotArea field="35" type="button" dataOnly="0" labelOnly="1" outline="0" axis="axisRow" fieldPosition="16"/>
    </format>
    <format dxfId="632">
      <pivotArea field="36" type="button" dataOnly="0" labelOnly="1" outline="0" axis="axisRow" fieldPosition="17"/>
    </format>
    <format dxfId="631">
      <pivotArea field="37" type="button" dataOnly="0" labelOnly="1" outline="0" axis="axisRow" fieldPosition="18"/>
    </format>
    <format dxfId="630">
      <pivotArea field="38" type="button" dataOnly="0" labelOnly="1" outline="0" axis="axisRow" fieldPosition="19"/>
    </format>
    <format dxfId="629">
      <pivotArea field="39" type="button" dataOnly="0" labelOnly="1" outline="0" axis="axisRow" fieldPosition="20"/>
    </format>
    <format dxfId="628">
      <pivotArea field="40" type="button" dataOnly="0" labelOnly="1" outline="0" axis="axisRow" fieldPosition="21"/>
    </format>
    <format dxfId="627">
      <pivotArea field="41" type="button" dataOnly="0" labelOnly="1" outline="0" axis="axisRow" fieldPosition="22"/>
    </format>
    <format dxfId="626">
      <pivotArea field="42" type="button" dataOnly="0" labelOnly="1" outline="0" axis="axisRow" fieldPosition="23"/>
    </format>
    <format dxfId="625">
      <pivotArea field="43" type="button" dataOnly="0" labelOnly="1" outline="0" axis="axisRow" fieldPosition="24"/>
    </format>
    <format dxfId="624">
      <pivotArea field="23" type="button" dataOnly="0" labelOnly="1" outline="0" axis="axisRow" fieldPosition="4"/>
    </format>
    <format dxfId="623">
      <pivotArea field="24" type="button" dataOnly="0" labelOnly="1" outline="0" axis="axisRow" fieldPosition="5"/>
    </format>
    <format dxfId="622">
      <pivotArea field="25" type="button" dataOnly="0" labelOnly="1" outline="0" axis="axisRow" fieldPosition="6"/>
    </format>
    <format dxfId="621">
      <pivotArea field="26" type="button" dataOnly="0" labelOnly="1" outline="0" axis="axisRow" fieldPosition="7"/>
    </format>
    <format dxfId="620">
      <pivotArea field="27" type="button" dataOnly="0" labelOnly="1" outline="0" axis="axisRow" fieldPosition="8"/>
    </format>
    <format dxfId="619">
      <pivotArea field="28" type="button" dataOnly="0" labelOnly="1" outline="0" axis="axisRow" fieldPosition="9"/>
    </format>
    <format dxfId="618">
      <pivotArea field="29" type="button" dataOnly="0" labelOnly="1" outline="0" axis="axisRow" fieldPosition="10"/>
    </format>
    <format dxfId="617">
      <pivotArea field="30" type="button" dataOnly="0" labelOnly="1" outline="0" axis="axisRow" fieldPosition="11"/>
    </format>
    <format dxfId="616">
      <pivotArea field="31" type="button" dataOnly="0" labelOnly="1" outline="0" axis="axisRow" fieldPosition="12"/>
    </format>
    <format dxfId="615">
      <pivotArea field="32" type="button" dataOnly="0" labelOnly="1" outline="0" axis="axisRow" fieldPosition="13"/>
    </format>
    <format dxfId="614">
      <pivotArea field="33" type="button" dataOnly="0" labelOnly="1" outline="0" axis="axisRow" fieldPosition="14"/>
    </format>
    <format dxfId="613">
      <pivotArea field="34" type="button" dataOnly="0" labelOnly="1" outline="0" axis="axisRow" fieldPosition="15"/>
    </format>
    <format dxfId="612">
      <pivotArea field="35" type="button" dataOnly="0" labelOnly="1" outline="0" axis="axisRow" fieldPosition="16"/>
    </format>
    <format dxfId="611">
      <pivotArea field="36" type="button" dataOnly="0" labelOnly="1" outline="0" axis="axisRow" fieldPosition="17"/>
    </format>
    <format dxfId="610">
      <pivotArea field="37" type="button" dataOnly="0" labelOnly="1" outline="0" axis="axisRow" fieldPosition="18"/>
    </format>
    <format dxfId="609">
      <pivotArea field="38" type="button" dataOnly="0" labelOnly="1" outline="0" axis="axisRow" fieldPosition="19"/>
    </format>
    <format dxfId="608">
      <pivotArea field="39" type="button" dataOnly="0" labelOnly="1" outline="0" axis="axisRow" fieldPosition="20"/>
    </format>
    <format dxfId="607">
      <pivotArea field="40" type="button" dataOnly="0" labelOnly="1" outline="0" axis="axisRow" fieldPosition="21"/>
    </format>
    <format dxfId="606">
      <pivotArea field="41" type="button" dataOnly="0" labelOnly="1" outline="0" axis="axisRow" fieldPosition="22"/>
    </format>
    <format dxfId="605">
      <pivotArea field="42" type="button" dataOnly="0" labelOnly="1" outline="0" axis="axisRow" fieldPosition="23"/>
    </format>
    <format dxfId="604">
      <pivotArea field="43" type="button" dataOnly="0" labelOnly="1" outline="0" axis="axisRow" fieldPosition="24"/>
    </format>
    <format dxfId="603">
      <pivotArea field="23" type="button" dataOnly="0" labelOnly="1" outline="0" axis="axisRow" fieldPosition="4"/>
    </format>
    <format dxfId="602">
      <pivotArea field="24" type="button" dataOnly="0" labelOnly="1" outline="0" axis="axisRow" fieldPosition="5"/>
    </format>
    <format dxfId="601">
      <pivotArea field="25" type="button" dataOnly="0" labelOnly="1" outline="0" axis="axisRow" fieldPosition="6"/>
    </format>
    <format dxfId="600">
      <pivotArea field="26" type="button" dataOnly="0" labelOnly="1" outline="0" axis="axisRow" fieldPosition="7"/>
    </format>
    <format dxfId="599">
      <pivotArea field="27" type="button" dataOnly="0" labelOnly="1" outline="0" axis="axisRow" fieldPosition="8"/>
    </format>
    <format dxfId="598">
      <pivotArea field="28" type="button" dataOnly="0" labelOnly="1" outline="0" axis="axisRow" fieldPosition="9"/>
    </format>
    <format dxfId="597">
      <pivotArea field="29" type="button" dataOnly="0" labelOnly="1" outline="0" axis="axisRow" fieldPosition="10"/>
    </format>
    <format dxfId="596">
      <pivotArea field="30" type="button" dataOnly="0" labelOnly="1" outline="0" axis="axisRow" fieldPosition="11"/>
    </format>
    <format dxfId="595">
      <pivotArea field="31" type="button" dataOnly="0" labelOnly="1" outline="0" axis="axisRow" fieldPosition="12"/>
    </format>
    <format dxfId="594">
      <pivotArea field="32" type="button" dataOnly="0" labelOnly="1" outline="0" axis="axisRow" fieldPosition="13"/>
    </format>
    <format dxfId="593">
      <pivotArea field="33" type="button" dataOnly="0" labelOnly="1" outline="0" axis="axisRow" fieldPosition="14"/>
    </format>
    <format dxfId="592">
      <pivotArea field="34" type="button" dataOnly="0" labelOnly="1" outline="0" axis="axisRow" fieldPosition="15"/>
    </format>
    <format dxfId="591">
      <pivotArea field="35" type="button" dataOnly="0" labelOnly="1" outline="0" axis="axisRow" fieldPosition="16"/>
    </format>
    <format dxfId="590">
      <pivotArea field="36" type="button" dataOnly="0" labelOnly="1" outline="0" axis="axisRow" fieldPosition="17"/>
    </format>
    <format dxfId="589">
      <pivotArea field="37" type="button" dataOnly="0" labelOnly="1" outline="0" axis="axisRow" fieldPosition="18"/>
    </format>
    <format dxfId="588">
      <pivotArea field="38" type="button" dataOnly="0" labelOnly="1" outline="0" axis="axisRow" fieldPosition="19"/>
    </format>
    <format dxfId="587">
      <pivotArea field="39" type="button" dataOnly="0" labelOnly="1" outline="0" axis="axisRow" fieldPosition="20"/>
    </format>
    <format dxfId="586">
      <pivotArea field="40" type="button" dataOnly="0" labelOnly="1" outline="0" axis="axisRow" fieldPosition="21"/>
    </format>
    <format dxfId="585">
      <pivotArea field="41" type="button" dataOnly="0" labelOnly="1" outline="0" axis="axisRow" fieldPosition="22"/>
    </format>
    <format dxfId="584">
      <pivotArea field="42" type="button" dataOnly="0" labelOnly="1" outline="0" axis="axisRow" fieldPosition="23"/>
    </format>
    <format dxfId="583">
      <pivotArea field="43" type="button" dataOnly="0" labelOnly="1" outline="0" axis="axisRow" fieldPosition="24"/>
    </format>
    <format dxfId="582">
      <pivotArea field="23" type="button" dataOnly="0" labelOnly="1" outline="0" axis="axisRow" fieldPosition="4"/>
    </format>
    <format dxfId="581">
      <pivotArea field="24" type="button" dataOnly="0" labelOnly="1" outline="0" axis="axisRow" fieldPosition="5"/>
    </format>
    <format dxfId="580">
      <pivotArea field="25" type="button" dataOnly="0" labelOnly="1" outline="0" axis="axisRow" fieldPosition="6"/>
    </format>
    <format dxfId="579">
      <pivotArea field="26" type="button" dataOnly="0" labelOnly="1" outline="0" axis="axisRow" fieldPosition="7"/>
    </format>
    <format dxfId="578">
      <pivotArea field="27" type="button" dataOnly="0" labelOnly="1" outline="0" axis="axisRow" fieldPosition="8"/>
    </format>
    <format dxfId="577">
      <pivotArea field="28" type="button" dataOnly="0" labelOnly="1" outline="0" axis="axisRow" fieldPosition="9"/>
    </format>
    <format dxfId="576">
      <pivotArea field="29" type="button" dataOnly="0" labelOnly="1" outline="0" axis="axisRow" fieldPosition="10"/>
    </format>
    <format dxfId="575">
      <pivotArea field="30" type="button" dataOnly="0" labelOnly="1" outline="0" axis="axisRow" fieldPosition="11"/>
    </format>
    <format dxfId="574">
      <pivotArea field="31" type="button" dataOnly="0" labelOnly="1" outline="0" axis="axisRow" fieldPosition="12"/>
    </format>
    <format dxfId="573">
      <pivotArea field="32" type="button" dataOnly="0" labelOnly="1" outline="0" axis="axisRow" fieldPosition="13"/>
    </format>
    <format dxfId="572">
      <pivotArea field="33" type="button" dataOnly="0" labelOnly="1" outline="0" axis="axisRow" fieldPosition="14"/>
    </format>
    <format dxfId="571">
      <pivotArea field="34" type="button" dataOnly="0" labelOnly="1" outline="0" axis="axisRow" fieldPosition="15"/>
    </format>
    <format dxfId="570">
      <pivotArea field="35" type="button" dataOnly="0" labelOnly="1" outline="0" axis="axisRow" fieldPosition="16"/>
    </format>
    <format dxfId="569">
      <pivotArea field="36" type="button" dataOnly="0" labelOnly="1" outline="0" axis="axisRow" fieldPosition="17"/>
    </format>
    <format dxfId="568">
      <pivotArea field="37" type="button" dataOnly="0" labelOnly="1" outline="0" axis="axisRow" fieldPosition="18"/>
    </format>
    <format dxfId="567">
      <pivotArea field="38" type="button" dataOnly="0" labelOnly="1" outline="0" axis="axisRow" fieldPosition="19"/>
    </format>
    <format dxfId="566">
      <pivotArea field="39" type="button" dataOnly="0" labelOnly="1" outline="0" axis="axisRow" fieldPosition="20"/>
    </format>
    <format dxfId="565">
      <pivotArea field="40" type="button" dataOnly="0" labelOnly="1" outline="0" axis="axisRow" fieldPosition="21"/>
    </format>
    <format dxfId="564">
      <pivotArea field="41" type="button" dataOnly="0" labelOnly="1" outline="0" axis="axisRow" fieldPosition="22"/>
    </format>
    <format dxfId="563">
      <pivotArea field="42" type="button" dataOnly="0" labelOnly="1" outline="0" axis="axisRow" fieldPosition="23"/>
    </format>
    <format dxfId="562">
      <pivotArea field="43" type="button" dataOnly="0" labelOnly="1" outline="0" axis="axisRow" fieldPosition="24"/>
    </format>
    <format dxfId="561">
      <pivotArea dataOnly="0" labelOnly="1" outline="0" fieldPosition="0">
        <references count="5">
          <reference field="1" count="1" selected="0">
            <x v="0"/>
          </reference>
          <reference field="2" count="1" selected="0">
            <x v="0"/>
          </reference>
          <reference field="6" count="1" selected="0">
            <x v="116"/>
          </reference>
          <reference field="13" count="1" selected="0">
            <x v="53"/>
          </reference>
          <reference field="23" count="1">
            <x v="1"/>
          </reference>
        </references>
      </pivotArea>
    </format>
    <format dxfId="560">
      <pivotArea dataOnly="0" labelOnly="1" outline="0" fieldPosition="0">
        <references count="5">
          <reference field="1" count="1" selected="0">
            <x v="0"/>
          </reference>
          <reference field="2" count="1" selected="0">
            <x v="22"/>
          </reference>
          <reference field="6" count="1" selected="0">
            <x v="19"/>
          </reference>
          <reference field="13" count="1" selected="0">
            <x v="106"/>
          </reference>
          <reference field="23" count="1">
            <x v="0"/>
          </reference>
        </references>
      </pivotArea>
    </format>
    <format dxfId="559">
      <pivotArea dataOnly="0" labelOnly="1" outline="0" fieldPosition="0">
        <references count="5">
          <reference field="1" count="1" selected="0">
            <x v="0"/>
          </reference>
          <reference field="2" count="1" selected="0">
            <x v="23"/>
          </reference>
          <reference field="6" count="1" selected="0">
            <x v="109"/>
          </reference>
          <reference field="13" count="1" selected="0">
            <x v="16"/>
          </reference>
          <reference field="23" count="1">
            <x v="1"/>
          </reference>
        </references>
      </pivotArea>
    </format>
    <format dxfId="558">
      <pivotArea dataOnly="0" labelOnly="1" outline="0" fieldPosition="0">
        <references count="6">
          <reference field="1" count="1" selected="0">
            <x v="0"/>
          </reference>
          <reference field="2" count="1" selected="0">
            <x v="0"/>
          </reference>
          <reference field="6" count="1" selected="0">
            <x v="116"/>
          </reference>
          <reference field="13" count="1" selected="0">
            <x v="53"/>
          </reference>
          <reference field="23" count="1" selected="0">
            <x v="1"/>
          </reference>
          <reference field="24" count="1">
            <x v="1"/>
          </reference>
        </references>
      </pivotArea>
    </format>
    <format dxfId="557">
      <pivotArea dataOnly="0" labelOnly="1" outline="0" fieldPosition="0">
        <references count="6">
          <reference field="1" count="1" selected="0">
            <x v="0"/>
          </reference>
          <reference field="2" count="1" selected="0">
            <x v="22"/>
          </reference>
          <reference field="6" count="1" selected="0">
            <x v="19"/>
          </reference>
          <reference field="13" count="1" selected="0">
            <x v="106"/>
          </reference>
          <reference field="23" count="1" selected="0">
            <x v="0"/>
          </reference>
          <reference field="24" count="1">
            <x v="0"/>
          </reference>
        </references>
      </pivotArea>
    </format>
    <format dxfId="556">
      <pivotArea dataOnly="0" labelOnly="1" outline="0" fieldPosition="0">
        <references count="6">
          <reference field="1" count="1" selected="0">
            <x v="0"/>
          </reference>
          <reference field="2" count="1" selected="0">
            <x v="23"/>
          </reference>
          <reference field="6" count="1" selected="0">
            <x v="109"/>
          </reference>
          <reference field="13" count="1" selected="0">
            <x v="16"/>
          </reference>
          <reference field="23" count="1" selected="0">
            <x v="1"/>
          </reference>
          <reference field="24" count="1">
            <x v="1"/>
          </reference>
        </references>
      </pivotArea>
    </format>
    <format dxfId="555">
      <pivotArea dataOnly="0" labelOnly="1" outline="0" fieldPosition="0">
        <references count="7">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x v="1"/>
          </reference>
        </references>
      </pivotArea>
    </format>
    <format dxfId="554">
      <pivotArea dataOnly="0" labelOnly="1" outline="0" fieldPosition="0">
        <references count="7">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x v="0"/>
          </reference>
        </references>
      </pivotArea>
    </format>
    <format dxfId="553">
      <pivotArea dataOnly="0" labelOnly="1" outline="0" fieldPosition="0">
        <references count="7">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x v="1"/>
          </reference>
        </references>
      </pivotArea>
    </format>
    <format dxfId="552">
      <pivotArea dataOnly="0" labelOnly="1" outline="0" fieldPosition="0">
        <references count="8">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x v="1"/>
          </reference>
        </references>
      </pivotArea>
    </format>
    <format dxfId="551">
      <pivotArea dataOnly="0" labelOnly="1" outline="0" fieldPosition="0">
        <references count="8">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selected="0">
            <x v="0"/>
          </reference>
          <reference field="26" count="1">
            <x v="0"/>
          </reference>
        </references>
      </pivotArea>
    </format>
    <format dxfId="550">
      <pivotArea dataOnly="0" labelOnly="1" outline="0" fieldPosition="0">
        <references count="8">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selected="0">
            <x v="1"/>
          </reference>
          <reference field="26" count="1">
            <x v="1"/>
          </reference>
        </references>
      </pivotArea>
    </format>
    <format dxfId="549">
      <pivotArea dataOnly="0" labelOnly="1" outline="0" fieldPosition="0">
        <references count="9">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references>
      </pivotArea>
    </format>
    <format dxfId="548">
      <pivotArea dataOnly="0" labelOnly="1" outline="0" fieldPosition="0">
        <references count="10">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references>
      </pivotArea>
    </format>
    <format dxfId="547">
      <pivotArea dataOnly="0" labelOnly="1" outline="0" fieldPosition="0">
        <references count="11">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references>
      </pivotArea>
    </format>
    <format dxfId="546">
      <pivotArea dataOnly="0" labelOnly="1" outline="0" fieldPosition="0">
        <references count="12">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references>
      </pivotArea>
    </format>
    <format dxfId="545">
      <pivotArea dataOnly="0" labelOnly="1" outline="0" fieldPosition="0">
        <references count="13">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references>
      </pivotArea>
    </format>
    <format dxfId="544">
      <pivotArea dataOnly="0" labelOnly="1" outline="0" fieldPosition="0">
        <references count="14">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references>
      </pivotArea>
    </format>
    <format dxfId="543">
      <pivotArea dataOnly="0" labelOnly="1" outline="0" fieldPosition="0">
        <references count="15">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references>
      </pivotArea>
    </format>
    <format dxfId="542">
      <pivotArea dataOnly="0" labelOnly="1" outline="0" fieldPosition="0">
        <references count="16">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references>
      </pivotArea>
    </format>
    <format dxfId="541">
      <pivotArea dataOnly="0" labelOnly="1" outline="0" fieldPosition="0">
        <references count="17">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references>
      </pivotArea>
    </format>
    <format dxfId="540">
      <pivotArea dataOnly="0" labelOnly="1" outline="0" fieldPosition="0">
        <references count="18">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references>
      </pivotArea>
    </format>
    <format dxfId="539">
      <pivotArea dataOnly="0" labelOnly="1" outline="0" fieldPosition="0">
        <references count="19">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references>
      </pivotArea>
    </format>
    <format dxfId="538">
      <pivotArea dataOnly="0" labelOnly="1" outline="0" fieldPosition="0">
        <references count="20">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references>
      </pivotArea>
    </format>
    <format dxfId="537">
      <pivotArea dataOnly="0" labelOnly="1" outline="0" fieldPosition="0">
        <references count="21">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references>
      </pivotArea>
    </format>
    <format dxfId="536">
      <pivotArea dataOnly="0" labelOnly="1" outline="0" fieldPosition="0">
        <references count="22">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references>
      </pivotArea>
    </format>
    <format dxfId="535">
      <pivotArea dataOnly="0" labelOnly="1" outline="0" fieldPosition="0">
        <references count="23">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references>
      </pivotArea>
    </format>
    <format dxfId="534">
      <pivotArea dataOnly="0" labelOnly="1" outline="0" fieldPosition="0">
        <references count="24">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references>
      </pivotArea>
    </format>
    <format dxfId="533">
      <pivotArea dataOnly="0" labelOnly="1" outline="0" fieldPosition="0">
        <references count="25">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32">
      <pivotArea dataOnly="0" labelOnly="1" outline="0" fieldPosition="0">
        <references count="25">
          <reference field="1" count="1" selected="0">
            <x v="0"/>
          </reference>
          <reference field="2" count="1" selected="0">
            <x v="1"/>
          </reference>
          <reference field="6" count="1" selected="0">
            <x v="117"/>
          </reference>
          <reference field="13" count="1" selected="0">
            <x v="1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31">
      <pivotArea dataOnly="0" labelOnly="1" outline="0" fieldPosition="0">
        <references count="25">
          <reference field="1" count="1" selected="0">
            <x v="0"/>
          </reference>
          <reference field="2" count="1" selected="0">
            <x v="2"/>
          </reference>
          <reference field="6" count="1" selected="0">
            <x v="118"/>
          </reference>
          <reference field="13" count="1" selected="0">
            <x v="5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30">
      <pivotArea dataOnly="0" labelOnly="1" outline="0" fieldPosition="0">
        <references count="25">
          <reference field="1" count="1" selected="0">
            <x v="0"/>
          </reference>
          <reference field="2" count="1" selected="0">
            <x v="3"/>
          </reference>
          <reference field="6" count="1" selected="0">
            <x v="120"/>
          </reference>
          <reference field="13" count="1" selected="0">
            <x v="9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9">
      <pivotArea dataOnly="0" labelOnly="1" outline="0" fieldPosition="0">
        <references count="25">
          <reference field="1" count="1" selected="0">
            <x v="0"/>
          </reference>
          <reference field="2" count="1" selected="0">
            <x v="4"/>
          </reference>
          <reference field="6" count="1" selected="0">
            <x v="22"/>
          </reference>
          <reference field="13" count="1" selected="0">
            <x v="7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8">
      <pivotArea dataOnly="0" labelOnly="1" outline="0" fieldPosition="0">
        <references count="25">
          <reference field="1" count="1" selected="0">
            <x v="0"/>
          </reference>
          <reference field="2" count="1" selected="0">
            <x v="5"/>
          </reference>
          <reference field="6" count="1" selected="0">
            <x v="25"/>
          </reference>
          <reference field="13" count="1" selected="0">
            <x v="8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7">
      <pivotArea dataOnly="0" labelOnly="1" outline="0" fieldPosition="0">
        <references count="25">
          <reference field="1" count="1" selected="0">
            <x v="0"/>
          </reference>
          <reference field="2" count="1" selected="0">
            <x v="6"/>
          </reference>
          <reference field="6" count="1" selected="0">
            <x v="58"/>
          </reference>
          <reference field="13" count="1" selected="0">
            <x v="10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6">
      <pivotArea dataOnly="0" labelOnly="1" outline="0" fieldPosition="0">
        <references count="25">
          <reference field="1" count="1" selected="0">
            <x v="0"/>
          </reference>
          <reference field="2" count="1" selected="0">
            <x v="8"/>
          </reference>
          <reference field="6" count="1" selected="0">
            <x v="21"/>
          </reference>
          <reference field="13" count="1" selected="0">
            <x v="7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5">
      <pivotArea dataOnly="0" labelOnly="1" outline="0" fieldPosition="0">
        <references count="25">
          <reference field="1" count="1" selected="0">
            <x v="0"/>
          </reference>
          <reference field="2" count="1" selected="0">
            <x v="9"/>
          </reference>
          <reference field="6" count="1" selected="0">
            <x v="56"/>
          </reference>
          <reference field="13" count="1" selected="0">
            <x v="7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4">
      <pivotArea dataOnly="0" labelOnly="1" outline="0" fieldPosition="0">
        <references count="25">
          <reference field="1" count="1" selected="0">
            <x v="0"/>
          </reference>
          <reference field="2" count="1" selected="0">
            <x v="10"/>
          </reference>
          <reference field="6" count="1" selected="0">
            <x v="108"/>
          </reference>
          <reference field="13" count="1" selected="0">
            <x v="7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3">
      <pivotArea dataOnly="0" labelOnly="1" outline="0" fieldPosition="0">
        <references count="25">
          <reference field="1" count="1" selected="0">
            <x v="0"/>
          </reference>
          <reference field="2" count="1" selected="0">
            <x v="11"/>
          </reference>
          <reference field="6" count="1" selected="0">
            <x v="24"/>
          </reference>
          <reference field="13" count="1" selected="0">
            <x v="7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2">
      <pivotArea dataOnly="0" labelOnly="1" outline="0" fieldPosition="0">
        <references count="25">
          <reference field="1" count="1" selected="0">
            <x v="0"/>
          </reference>
          <reference field="2" count="1" selected="0">
            <x v="12"/>
          </reference>
          <reference field="6" count="1" selected="0">
            <x v="92"/>
          </reference>
          <reference field="13" count="1" selected="0">
            <x v="7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1">
      <pivotArea dataOnly="0" labelOnly="1" outline="0" fieldPosition="0">
        <references count="25">
          <reference field="1" count="1" selected="0">
            <x v="0"/>
          </reference>
          <reference field="2" count="1" selected="0">
            <x v="13"/>
          </reference>
          <reference field="6" count="1" selected="0">
            <x v="93"/>
          </reference>
          <reference field="13" count="1" selected="0">
            <x v="7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20">
      <pivotArea dataOnly="0" labelOnly="1" outline="0" fieldPosition="0">
        <references count="25">
          <reference field="1" count="1" selected="0">
            <x v="0"/>
          </reference>
          <reference field="2" count="1" selected="0">
            <x v="14"/>
          </reference>
          <reference field="6" count="1" selected="0">
            <x v="91"/>
          </reference>
          <reference field="13" count="1" selected="0">
            <x v="7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19">
      <pivotArea dataOnly="0" labelOnly="1" outline="0" fieldPosition="0">
        <references count="25">
          <reference field="1" count="1" selected="0">
            <x v="0"/>
          </reference>
          <reference field="2" count="1" selected="0">
            <x v="15"/>
          </reference>
          <reference field="6" count="1" selected="0">
            <x v="112"/>
          </reference>
          <reference field="13" count="1" selected="0">
            <x v="3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18">
      <pivotArea dataOnly="0" labelOnly="1" outline="0" fieldPosition="0">
        <references count="25">
          <reference field="1" count="1" selected="0">
            <x v="0"/>
          </reference>
          <reference field="2" count="1" selected="0">
            <x v="16"/>
          </reference>
          <reference field="6" count="1" selected="0">
            <x v="114"/>
          </reference>
          <reference field="13" count="1" selected="0">
            <x v="3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17">
      <pivotArea dataOnly="0" labelOnly="1" outline="0" fieldPosition="0">
        <references count="25">
          <reference field="1" count="1" selected="0">
            <x v="0"/>
          </reference>
          <reference field="2" count="1" selected="0">
            <x v="17"/>
          </reference>
          <reference field="6" count="1" selected="0">
            <x v="7"/>
          </reference>
          <reference field="13" count="1" selected="0">
            <x v="3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16">
      <pivotArea dataOnly="0" labelOnly="1" outline="0" fieldPosition="0">
        <references count="25">
          <reference field="1" count="1" selected="0">
            <x v="0"/>
          </reference>
          <reference field="2" count="1" selected="0">
            <x v="18"/>
          </reference>
          <reference field="6" count="1" selected="0">
            <x v="57"/>
          </reference>
          <reference field="13" count="1" selected="0">
            <x v="7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15">
      <pivotArea dataOnly="0" labelOnly="1" outline="0" fieldPosition="0">
        <references count="25">
          <reference field="1" count="1" selected="0">
            <x v="0"/>
          </reference>
          <reference field="2" count="1" selected="0">
            <x v="19"/>
          </reference>
          <reference field="6" count="1" selected="0">
            <x v="47"/>
          </reference>
          <reference field="13" count="1" selected="0">
            <x v="3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14">
      <pivotArea dataOnly="0" labelOnly="1" outline="0" fieldPosition="0">
        <references count="25">
          <reference field="1" count="1" selected="0">
            <x v="0"/>
          </reference>
          <reference field="2" count="1" selected="0">
            <x v="20"/>
          </reference>
          <reference field="6" count="1" selected="0">
            <x v="113"/>
          </reference>
          <reference field="13" count="1" selected="0">
            <x v="8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13">
      <pivotArea dataOnly="0" labelOnly="1" outline="0" fieldPosition="0">
        <references count="25">
          <reference field="1" count="1" selected="0">
            <x v="0"/>
          </reference>
          <reference field="2" count="1" selected="0">
            <x v="21"/>
          </reference>
          <reference field="6" count="1" selected="0">
            <x v="89"/>
          </reference>
          <reference field="13" count="1" selected="0">
            <x v="2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12">
      <pivotArea dataOnly="0" labelOnly="1" outline="0" fieldPosition="0">
        <references count="25">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selected="0">
            <x v="0"/>
          </reference>
          <reference field="26" count="1" selected="0">
            <x v="0"/>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11">
      <pivotArea dataOnly="0" labelOnly="1" outline="0" fieldPosition="0">
        <references count="25">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10">
      <pivotArea dataOnly="0" labelOnly="1" outline="0" fieldPosition="0">
        <references count="25">
          <reference field="1" count="1" selected="0">
            <x v="0"/>
          </reference>
          <reference field="2" count="1" selected="0">
            <x v="24"/>
          </reference>
          <reference field="6" count="1" selected="0">
            <x v="115"/>
          </reference>
          <reference field="13" count="1" selected="0">
            <x v="4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09">
      <pivotArea dataOnly="0" labelOnly="1" outline="0" fieldPosition="0">
        <references count="25">
          <reference field="1" count="1" selected="0">
            <x v="0"/>
          </reference>
          <reference field="2" count="1" selected="0">
            <x v="25"/>
          </reference>
          <reference field="6" count="1" selected="0">
            <x v="111"/>
          </reference>
          <reference field="13" count="1" selected="0">
            <x v="3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08">
      <pivotArea dataOnly="0" labelOnly="1" outline="0" fieldPosition="0">
        <references count="25">
          <reference field="1" count="1" selected="0">
            <x v="0"/>
          </reference>
          <reference field="2" count="1" selected="0">
            <x v="26"/>
          </reference>
          <reference field="6" count="1" selected="0">
            <x v="9"/>
          </reference>
          <reference field="13" count="1" selected="0">
            <x v="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07">
      <pivotArea dataOnly="0" labelOnly="1" outline="0" fieldPosition="0">
        <references count="25">
          <reference field="1" count="1" selected="0">
            <x v="0"/>
          </reference>
          <reference field="2" count="1" selected="0">
            <x v="27"/>
          </reference>
          <reference field="6" count="1" selected="0">
            <x v="42"/>
          </reference>
          <reference field="13" count="1" selected="0">
            <x v="1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06">
      <pivotArea dataOnly="0" labelOnly="1" outline="0" fieldPosition="0">
        <references count="25">
          <reference field="1" count="1" selected="0">
            <x v="0"/>
          </reference>
          <reference field="2" count="1" selected="0">
            <x v="28"/>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05">
      <pivotArea dataOnly="0" labelOnly="1" outline="0" fieldPosition="0">
        <references count="25">
          <reference field="1" count="1" selected="0">
            <x v="0"/>
          </reference>
          <reference field="2" count="1" selected="0">
            <x v="32"/>
          </reference>
          <reference field="6" count="1" selected="0">
            <x v="80"/>
          </reference>
          <reference field="13" count="1" selected="0">
            <x v="5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04">
      <pivotArea dataOnly="0" labelOnly="1" outline="0" fieldPosition="0">
        <references count="25">
          <reference field="1" count="1" selected="0">
            <x v="0"/>
          </reference>
          <reference field="2" count="1" selected="0">
            <x v="33"/>
          </reference>
          <reference field="6" count="1" selected="0">
            <x v="77"/>
          </reference>
          <reference field="13" count="1" selected="0">
            <x v="8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03">
      <pivotArea dataOnly="0" labelOnly="1" outline="0" fieldPosition="0">
        <references count="25">
          <reference field="1" count="1" selected="0">
            <x v="0"/>
          </reference>
          <reference field="2" count="1" selected="0">
            <x v="34"/>
          </reference>
          <reference field="6" count="1" selected="0">
            <x v="73"/>
          </reference>
          <reference field="13" count="1" selected="0">
            <x v="8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02">
      <pivotArea dataOnly="0" labelOnly="1" outline="0" fieldPosition="0">
        <references count="25">
          <reference field="1" count="1" selected="0">
            <x v="0"/>
          </reference>
          <reference field="2" count="1" selected="0">
            <x v="35"/>
          </reference>
          <reference field="6" count="1" selected="0">
            <x v="110"/>
          </reference>
          <reference field="13" count="1" selected="0">
            <x v="9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01">
      <pivotArea dataOnly="0" labelOnly="1" outline="0" fieldPosition="0">
        <references count="25">
          <reference field="1" count="1" selected="0">
            <x v="0"/>
          </reference>
          <reference field="2" count="1" selected="0">
            <x v="36"/>
          </reference>
          <reference field="6" count="1" selected="0">
            <x v="105"/>
          </reference>
          <reference field="13" count="1" selected="0">
            <x v="10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500">
      <pivotArea dataOnly="0" labelOnly="1" outline="0" fieldPosition="0">
        <references count="25">
          <reference field="1" count="1" selected="0">
            <x v="0"/>
          </reference>
          <reference field="2" count="1" selected="0">
            <x v="37"/>
          </reference>
          <reference field="6" count="1" selected="0">
            <x v="59"/>
          </reference>
          <reference field="13" count="1" selected="0">
            <x v="8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99">
      <pivotArea dataOnly="0" labelOnly="1" outline="0" fieldPosition="0">
        <references count="25">
          <reference field="1" count="1" selected="0">
            <x v="0"/>
          </reference>
          <reference field="2" count="1" selected="0">
            <x v="38"/>
          </reference>
          <reference field="6" count="1" selected="0">
            <x v="11"/>
          </reference>
          <reference field="13" count="1" selected="0">
            <x v="8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98">
      <pivotArea dataOnly="0" labelOnly="1" outline="0" fieldPosition="0">
        <references count="25">
          <reference field="1" count="1" selected="0">
            <x v="0"/>
          </reference>
          <reference field="2" count="1" selected="0">
            <x v="39"/>
          </reference>
          <reference field="6" count="1" selected="0">
            <x v="62"/>
          </reference>
          <reference field="13" count="1" selected="0">
            <x v="8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97">
      <pivotArea dataOnly="0" labelOnly="1" outline="0" fieldPosition="0">
        <references count="25">
          <reference field="1" count="1" selected="0">
            <x v="0"/>
          </reference>
          <reference field="2" count="1" selected="0">
            <x v="40"/>
          </reference>
          <reference field="6" count="1" selected="0">
            <x v="54"/>
          </reference>
          <reference field="13" count="1" selected="0">
            <x v="11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96">
      <pivotArea dataOnly="0" labelOnly="1" outline="0" fieldPosition="0">
        <references count="25">
          <reference field="1" count="1" selected="0">
            <x v="0"/>
          </reference>
          <reference field="2" count="1" selected="0">
            <x v="41"/>
          </reference>
          <reference field="6" count="1" selected="0">
            <x v="63"/>
          </reference>
          <reference field="13" count="1" selected="0">
            <x v="10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95">
      <pivotArea dataOnly="0" labelOnly="1" outline="0" fieldPosition="0">
        <references count="25">
          <reference field="1" count="1" selected="0">
            <x v="0"/>
          </reference>
          <reference field="2" count="1" selected="0">
            <x v="42"/>
          </reference>
          <reference field="6" count="1" selected="0">
            <x v="83"/>
          </reference>
          <reference field="13" count="1" selected="0">
            <x v="8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94">
      <pivotArea dataOnly="0" labelOnly="1" outline="0" fieldPosition="0">
        <references count="25">
          <reference field="1" count="1" selected="0">
            <x v="0"/>
          </reference>
          <reference field="2" count="1" selected="0">
            <x v="43"/>
          </reference>
          <reference field="6" count="1" selected="0">
            <x v="106"/>
          </reference>
          <reference field="13" count="1" selected="0">
            <x v="3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93">
      <pivotArea dataOnly="0" labelOnly="1" outline="0" fieldPosition="0">
        <references count="25">
          <reference field="1" count="1" selected="0">
            <x v="0"/>
          </reference>
          <reference field="2" count="1" selected="0">
            <x v="44"/>
          </reference>
          <reference field="6" count="1" selected="0">
            <x v="94"/>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92">
      <pivotArea dataOnly="0" labelOnly="1" outline="0" fieldPosition="0">
        <references count="25">
          <reference field="1" count="1" selected="0">
            <x v="0"/>
          </reference>
          <reference field="2" count="1" selected="0">
            <x v="45"/>
          </reference>
          <reference field="6" count="1" selected="0">
            <x v="29"/>
          </reference>
          <reference field="13" count="1" selected="0">
            <x v="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91">
      <pivotArea dataOnly="0" labelOnly="1" outline="0" fieldPosition="0">
        <references count="25">
          <reference field="1" count="1" selected="0">
            <x v="0"/>
          </reference>
          <reference field="2" count="1" selected="0">
            <x v="46"/>
          </reference>
          <reference field="6" count="1" selected="0">
            <x v="75"/>
          </reference>
          <reference field="13" count="1" selected="0">
            <x v="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90">
      <pivotArea dataOnly="0" labelOnly="1" outline="0" fieldPosition="0">
        <references count="25">
          <reference field="1" count="1" selected="0">
            <x v="0"/>
          </reference>
          <reference field="2" count="1" selected="0">
            <x v="47"/>
          </reference>
          <reference field="6" count="1" selected="0">
            <x v="17"/>
          </reference>
          <reference field="13" count="1" selected="0">
            <x v="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89">
      <pivotArea dataOnly="0" labelOnly="1" outline="0" fieldPosition="0">
        <references count="25">
          <reference field="1" count="1" selected="0">
            <x v="0"/>
          </reference>
          <reference field="2" count="1" selected="0">
            <x v="48"/>
          </reference>
          <reference field="6" count="1" selected="0">
            <x v="15"/>
          </reference>
          <reference field="13" count="1" selected="0">
            <x v="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88">
      <pivotArea dataOnly="0" labelOnly="1" outline="0" fieldPosition="0">
        <references count="25">
          <reference field="1" count="1" selected="0">
            <x v="0"/>
          </reference>
          <reference field="2" count="1" selected="0">
            <x v="49"/>
          </reference>
          <reference field="6" count="1" selected="0">
            <x v="13"/>
          </reference>
          <reference field="13" count="1" selected="0">
            <x v="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87">
      <pivotArea dataOnly="0" labelOnly="1" outline="0" fieldPosition="0">
        <references count="25">
          <reference field="1" count="1" selected="0">
            <x v="0"/>
          </reference>
          <reference field="2" count="1" selected="0">
            <x v="50"/>
          </reference>
          <reference field="6" count="1" selected="0">
            <x v="6"/>
          </reference>
          <reference field="13" count="1" selected="0">
            <x v="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86">
      <pivotArea dataOnly="0" labelOnly="1" outline="0" fieldPosition="0">
        <references count="25">
          <reference field="1" count="1" selected="0">
            <x v="0"/>
          </reference>
          <reference field="2" count="1" selected="0">
            <x v="52"/>
          </reference>
          <reference field="6" count="1" selected="0">
            <x v="88"/>
          </reference>
          <reference field="13" count="1" selected="0">
            <x v="9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85">
      <pivotArea dataOnly="0" labelOnly="1" outline="0" fieldPosition="0">
        <references count="25">
          <reference field="1" count="1" selected="0">
            <x v="0"/>
          </reference>
          <reference field="2" count="1" selected="0">
            <x v="53"/>
          </reference>
          <reference field="6" count="1" selected="0">
            <x v="70"/>
          </reference>
          <reference field="13" count="1" selected="0">
            <x v="3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84">
      <pivotArea dataOnly="0" labelOnly="1" outline="0" fieldPosition="0">
        <references count="25">
          <reference field="1" count="1" selected="0">
            <x v="0"/>
          </reference>
          <reference field="2" count="1" selected="0">
            <x v="54"/>
          </reference>
          <reference field="6" count="1" selected="0">
            <x v="44"/>
          </reference>
          <reference field="13" count="1" selected="0">
            <x v="8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83">
      <pivotArea dataOnly="0" labelOnly="1" outline="0" fieldPosition="0">
        <references count="25">
          <reference field="1" count="1" selected="0">
            <x v="1"/>
          </reference>
          <reference field="2" count="1" selected="0">
            <x v="55"/>
          </reference>
          <reference field="6" count="1" selected="0">
            <x v="50"/>
          </reference>
          <reference field="13" count="1" selected="0">
            <x v="5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82">
      <pivotArea dataOnly="0" labelOnly="1" outline="0" fieldPosition="0">
        <references count="25">
          <reference field="1" count="1" selected="0">
            <x v="1"/>
          </reference>
          <reference field="2" count="1" selected="0">
            <x v="56"/>
          </reference>
          <reference field="6" count="1" selected="0">
            <x v="51"/>
          </reference>
          <reference field="13" count="1" selected="0">
            <x v="5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81">
      <pivotArea dataOnly="0" labelOnly="1" outline="0" fieldPosition="0">
        <references count="25">
          <reference field="1" count="1" selected="0">
            <x v="1"/>
          </reference>
          <reference field="2" count="1" selected="0">
            <x v="57"/>
          </reference>
          <reference field="6" count="1" selected="0">
            <x v="52"/>
          </reference>
          <reference field="13" count="1" selected="0">
            <x v="5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80">
      <pivotArea dataOnly="0" labelOnly="1" outline="0" fieldPosition="0">
        <references count="25">
          <reference field="1" count="1" selected="0">
            <x v="1"/>
          </reference>
          <reference field="2" count="1" selected="0">
            <x v="58"/>
          </reference>
          <reference field="6" count="1" selected="0">
            <x v="53"/>
          </reference>
          <reference field="13" count="1" selected="0">
            <x v="5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79">
      <pivotArea dataOnly="0" labelOnly="1" outline="0" fieldPosition="0">
        <references count="25">
          <reference field="1" count="1" selected="0">
            <x v="1"/>
          </reference>
          <reference field="2" count="1" selected="0">
            <x v="59"/>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78">
      <pivotArea dataOnly="0" labelOnly="1" outline="0" fieldPosition="0">
        <references count="25">
          <reference field="1" count="1" selected="0">
            <x v="1"/>
          </reference>
          <reference field="2" count="1" selected="0">
            <x v="60"/>
          </reference>
          <reference field="6" count="1" selected="0">
            <x v="12"/>
          </reference>
          <reference field="13" count="1" selected="0">
            <x v="6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77">
      <pivotArea dataOnly="0" labelOnly="1" outline="0" fieldPosition="0">
        <references count="25">
          <reference field="1" count="1" selected="0">
            <x v="1"/>
          </reference>
          <reference field="2" count="1" selected="0">
            <x v="61"/>
          </reference>
          <reference field="6" count="1" selected="0">
            <x v="61"/>
          </reference>
          <reference field="13" count="1" selected="0">
            <x v="1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76">
      <pivotArea dataOnly="0" labelOnly="1" outline="0" fieldPosition="0">
        <references count="25">
          <reference field="1" count="1" selected="0">
            <x v="1"/>
          </reference>
          <reference field="2" count="1" selected="0">
            <x v="62"/>
          </reference>
          <reference field="6" count="1" selected="0">
            <x v="8"/>
          </reference>
          <reference field="13" count="1" selected="0">
            <x v="6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75">
      <pivotArea dataOnly="0" labelOnly="1" outline="0" fieldPosition="0">
        <references count="25">
          <reference field="1" count="1" selected="0">
            <x v="1"/>
          </reference>
          <reference field="2" count="1" selected="0">
            <x v="63"/>
          </reference>
          <reference field="6" count="1" selected="0">
            <x v="64"/>
          </reference>
          <reference field="13" count="1" selected="0">
            <x v="4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74">
      <pivotArea dataOnly="0" labelOnly="1" outline="0" fieldPosition="0">
        <references count="25">
          <reference field="1" count="1" selected="0">
            <x v="1"/>
          </reference>
          <reference field="2" count="1" selected="0">
            <x v="64"/>
          </reference>
          <reference field="6" count="1" selected="0">
            <x v="65"/>
          </reference>
          <reference field="13" count="1" selected="0">
            <x v="4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73">
      <pivotArea dataOnly="0" labelOnly="1" outline="0" fieldPosition="0">
        <references count="25">
          <reference field="1" count="1" selected="0">
            <x v="1"/>
          </reference>
          <reference field="2" count="1" selected="0">
            <x v="65"/>
          </reference>
          <reference field="6" count="1" selected="0">
            <x v="66"/>
          </reference>
          <reference field="13" count="1" selected="0">
            <x v="4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72">
      <pivotArea dataOnly="0" labelOnly="1" outline="0" fieldPosition="0">
        <references count="25">
          <reference field="1" count="1" selected="0">
            <x v="1"/>
          </reference>
          <reference field="2" count="1" selected="0">
            <x v="66"/>
          </reference>
          <reference field="6" count="1" selected="0">
            <x v="69"/>
          </reference>
          <reference field="13" count="1" selected="0">
            <x v="4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71">
      <pivotArea dataOnly="0" labelOnly="1" outline="0" fieldPosition="0">
        <references count="25">
          <reference field="1" count="1" selected="0">
            <x v="1"/>
          </reference>
          <reference field="2" count="1" selected="0">
            <x v="67"/>
          </reference>
          <reference field="6" count="1" selected="0">
            <x v="67"/>
          </reference>
          <reference field="13" count="1" selected="0">
            <x v="2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70">
      <pivotArea dataOnly="0" labelOnly="1" outline="0" fieldPosition="0">
        <references count="25">
          <reference field="1" count="1" selected="0">
            <x v="1"/>
          </reference>
          <reference field="2" count="1" selected="0">
            <x v="68"/>
          </reference>
          <reference field="6" count="1" selected="0">
            <x v="68"/>
          </reference>
          <reference field="13" count="1" selected="0">
            <x v="4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69">
      <pivotArea dataOnly="0" labelOnly="1" outline="0" fieldPosition="0">
        <references count="25">
          <reference field="1" count="1" selected="0">
            <x v="1"/>
          </reference>
          <reference field="2" count="1" selected="0">
            <x v="69"/>
          </reference>
          <reference field="6" count="1" selected="0">
            <x v="71"/>
          </reference>
          <reference field="13" count="1" selected="0">
            <x v="2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68">
      <pivotArea dataOnly="0" labelOnly="1" outline="0" fieldPosition="0">
        <references count="25">
          <reference field="1" count="1" selected="0">
            <x v="1"/>
          </reference>
          <reference field="2" count="1" selected="0">
            <x v="70"/>
          </reference>
          <reference field="6" count="1" selected="0">
            <x v="28"/>
          </reference>
          <reference field="13" count="1" selected="0">
            <x v="7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67">
      <pivotArea dataOnly="0" labelOnly="1" outline="0" fieldPosition="0">
        <references count="25">
          <reference field="1" count="1" selected="0">
            <x v="1"/>
          </reference>
          <reference field="2" count="1" selected="0">
            <x v="71"/>
          </reference>
          <reference field="6" count="1" selected="0">
            <x v="78"/>
          </reference>
          <reference field="13" count="1" selected="0">
            <x v="5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66">
      <pivotArea dataOnly="0" labelOnly="1" outline="0" fieldPosition="0">
        <references count="25">
          <reference field="1" count="1" selected="0">
            <x v="1"/>
          </reference>
          <reference field="2" count="1" selected="0">
            <x v="72"/>
          </reference>
          <reference field="6" count="1" selected="0">
            <x v="79"/>
          </reference>
          <reference field="13" count="1" selected="0">
            <x v="5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65">
      <pivotArea dataOnly="0" labelOnly="1" outline="0" fieldPosition="0">
        <references count="25">
          <reference field="1" count="1" selected="0">
            <x v="1"/>
          </reference>
          <reference field="2" count="1" selected="0">
            <x v="73"/>
          </reference>
          <reference field="6" count="1" selected="0">
            <x v="26"/>
          </reference>
          <reference field="13" count="1" selected="0">
            <x v="10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64">
      <pivotArea dataOnly="0" labelOnly="1" outline="0" fieldPosition="0">
        <references count="25">
          <reference field="1" count="1" selected="0">
            <x v="1"/>
          </reference>
          <reference field="2" count="1" selected="0">
            <x v="74"/>
          </reference>
          <reference field="6" count="1" selected="0">
            <x v="48"/>
          </reference>
          <reference field="13" count="1" selected="0">
            <x v="9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63">
      <pivotArea dataOnly="0" labelOnly="1" outline="0" fieldPosition="0">
        <references count="25">
          <reference field="1" count="1" selected="0">
            <x v="1"/>
          </reference>
          <reference field="2" count="1" selected="0">
            <x v="75"/>
          </reference>
          <reference field="6" count="1" selected="0">
            <x v="27"/>
          </reference>
          <reference field="13" count="1" selected="0">
            <x v="10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62">
      <pivotArea dataOnly="0" labelOnly="1" outline="0" fieldPosition="0">
        <references count="25">
          <reference field="1" count="1" selected="0">
            <x v="1"/>
          </reference>
          <reference field="2" count="1" selected="0">
            <x v="76"/>
          </reference>
          <reference field="6" count="1" selected="0">
            <x v="49"/>
          </reference>
          <reference field="13" count="1" selected="0">
            <x v="9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61">
      <pivotArea dataOnly="0" labelOnly="1" outline="0" fieldPosition="0">
        <references count="25">
          <reference field="1" count="1" selected="0">
            <x v="1"/>
          </reference>
          <reference field="2" count="1" selected="0">
            <x v="77"/>
          </reference>
          <reference field="6" count="1" selected="0">
            <x v="97"/>
          </reference>
          <reference field="13" count="1" selected="0">
            <x v="6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60">
      <pivotArea dataOnly="0" labelOnly="1" outline="0" fieldPosition="0">
        <references count="25">
          <reference field="1" count="1" selected="0">
            <x v="1"/>
          </reference>
          <reference field="2" count="1" selected="0">
            <x v="78"/>
          </reference>
          <reference field="6" count="1" selected="0">
            <x v="98"/>
          </reference>
          <reference field="13" count="1" selected="0">
            <x v="4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59">
      <pivotArea dataOnly="0" labelOnly="1" outline="0" fieldPosition="0">
        <references count="25">
          <reference field="1" count="1" selected="0">
            <x v="1"/>
          </reference>
          <reference field="2" count="1" selected="0">
            <x v="79"/>
          </reference>
          <reference field="6" count="1" selected="0">
            <x v="95"/>
          </reference>
          <reference field="13" count="1" selected="0">
            <x v="6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58">
      <pivotArea dataOnly="0" labelOnly="1" outline="0" fieldPosition="0">
        <references count="25">
          <reference field="1" count="1" selected="0">
            <x v="1"/>
          </reference>
          <reference field="2" count="1" selected="0">
            <x v="80"/>
          </reference>
          <reference field="6" count="1" selected="0">
            <x v="96"/>
          </reference>
          <reference field="13" count="1" selected="0">
            <x v="4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57">
      <pivotArea dataOnly="0" labelOnly="1" outline="0" fieldPosition="0">
        <references count="25">
          <reference field="1" count="1" selected="0">
            <x v="2"/>
          </reference>
          <reference field="2" count="1" selected="0">
            <x v="81"/>
          </reference>
          <reference field="6" count="1" selected="0">
            <x v="46"/>
          </reference>
          <reference field="13" count="1" selected="0">
            <x v="10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56">
      <pivotArea dataOnly="0" labelOnly="1" outline="0" fieldPosition="0">
        <references count="25">
          <reference field="1" count="1" selected="0">
            <x v="2"/>
          </reference>
          <reference field="2" count="1" selected="0">
            <x v="82"/>
          </reference>
          <reference field="6" count="1" selected="0">
            <x v="50"/>
          </reference>
          <reference field="13" count="1" selected="0">
            <x v="5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55">
      <pivotArea dataOnly="0" labelOnly="1" outline="0" fieldPosition="0">
        <references count="25">
          <reference field="1" count="1" selected="0">
            <x v="2"/>
          </reference>
          <reference field="2" count="1" selected="0">
            <x v="83"/>
          </reference>
          <reference field="6" count="1" selected="0">
            <x v="51"/>
          </reference>
          <reference field="13" count="1" selected="0">
            <x v="5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54">
      <pivotArea dataOnly="0" labelOnly="1" outline="0" fieldPosition="0">
        <references count="25">
          <reference field="1" count="1" selected="0">
            <x v="2"/>
          </reference>
          <reference field="2" count="1" selected="0">
            <x v="84"/>
          </reference>
          <reference field="6" count="1" selected="0">
            <x v="52"/>
          </reference>
          <reference field="13" count="1" selected="0">
            <x v="5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53">
      <pivotArea dataOnly="0" labelOnly="1" outline="0" fieldPosition="0">
        <references count="25">
          <reference field="1" count="1" selected="0">
            <x v="2"/>
          </reference>
          <reference field="2" count="1" selected="0">
            <x v="85"/>
          </reference>
          <reference field="6" count="1" selected="0">
            <x v="53"/>
          </reference>
          <reference field="13" count="1" selected="0">
            <x v="5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52">
      <pivotArea dataOnly="0" labelOnly="1" outline="0" fieldPosition="0">
        <references count="25">
          <reference field="1" count="1" selected="0">
            <x v="2"/>
          </reference>
          <reference field="2" count="1" selected="0">
            <x v="86"/>
          </reference>
          <reference field="6" count="1" selected="0">
            <x v="2"/>
          </reference>
          <reference field="13" count="1" selected="0">
            <x v="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51">
      <pivotArea dataOnly="0" labelOnly="1" outline="0" fieldPosition="0">
        <references count="25">
          <reference field="1" count="1" selected="0">
            <x v="2"/>
          </reference>
          <reference field="2" count="1" selected="0">
            <x v="87"/>
          </reference>
          <reference field="6" count="1" selected="0">
            <x v="1"/>
          </reference>
          <reference field="13" count="1" selected="0">
            <x v="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50">
      <pivotArea dataOnly="0" labelOnly="1" outline="0" fieldPosition="0">
        <references count="25">
          <reference field="1" count="1" selected="0">
            <x v="2"/>
          </reference>
          <reference field="2" count="1" selected="0">
            <x v="88"/>
          </reference>
          <reference field="6" count="1" selected="0">
            <x v="103"/>
          </reference>
          <reference field="13" count="1" selected="0">
            <x v="9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49">
      <pivotArea dataOnly="0" labelOnly="1" outline="0" fieldPosition="0">
        <references count="25">
          <reference field="1" count="1" selected="0">
            <x v="2"/>
          </reference>
          <reference field="2" count="1" selected="0">
            <x v="89"/>
          </reference>
          <reference field="6" count="1" selected="0">
            <x v="120"/>
          </reference>
          <reference field="13" count="1" selected="0">
            <x v="9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48">
      <pivotArea dataOnly="0" labelOnly="1" outline="0" fieldPosition="0">
        <references count="25">
          <reference field="1" count="1" selected="0">
            <x v="2"/>
          </reference>
          <reference field="2" count="1" selected="0">
            <x v="90"/>
          </reference>
          <reference field="6" count="1" selected="0">
            <x v="18"/>
          </reference>
          <reference field="13" count="1" selected="0">
            <x v="1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47">
      <pivotArea dataOnly="0" labelOnly="1" outline="0" fieldPosition="0">
        <references count="25">
          <reference field="1" count="1" selected="0">
            <x v="2"/>
          </reference>
          <reference field="2" count="1" selected="0">
            <x v="91"/>
          </reference>
          <reference field="6" count="1" selected="0">
            <x v="119"/>
          </reference>
          <reference field="13" count="1" selected="0">
            <x v="9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46">
      <pivotArea dataOnly="0" labelOnly="1" outline="0" fieldPosition="0">
        <references count="25">
          <reference field="1" count="1" selected="0">
            <x v="2"/>
          </reference>
          <reference field="2" count="1" selected="0">
            <x v="92"/>
          </reference>
          <reference field="6" count="1" selected="0">
            <x v="36"/>
          </reference>
          <reference field="13" count="1" selected="0">
            <x v="9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45">
      <pivotArea dataOnly="0" labelOnly="1" outline="0" fieldPosition="0">
        <references count="25">
          <reference field="1" count="1" selected="0">
            <x v="2"/>
          </reference>
          <reference field="2" count="1" selected="0">
            <x v="93"/>
          </reference>
          <reference field="6" count="1" selected="0">
            <x v="20"/>
          </reference>
          <reference field="13" count="1" selected="0">
            <x v="5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44">
      <pivotArea dataOnly="0" labelOnly="1" outline="0" fieldPosition="0">
        <references count="25">
          <reference field="1" count="1" selected="0">
            <x v="2"/>
          </reference>
          <reference field="2" count="1" selected="0">
            <x v="94"/>
          </reference>
          <reference field="6" count="1" selected="0">
            <x v="34"/>
          </reference>
          <reference field="13" count="1" selected="0">
            <x v="6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43">
      <pivotArea dataOnly="0" labelOnly="1" outline="0" fieldPosition="0">
        <references count="25">
          <reference field="1" count="1" selected="0">
            <x v="2"/>
          </reference>
          <reference field="2" count="1" selected="0">
            <x v="95"/>
          </reference>
          <reference field="6" count="1" selected="0">
            <x v="33"/>
          </reference>
          <reference field="13" count="1" selected="0">
            <x v="5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42">
      <pivotArea dataOnly="0" labelOnly="1" outline="0" fieldPosition="0">
        <references count="25">
          <reference field="1" count="1" selected="0">
            <x v="2"/>
          </reference>
          <reference field="2" count="1" selected="0">
            <x v="96"/>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41">
      <pivotArea dataOnly="0" labelOnly="1" outline="0" fieldPosition="0">
        <references count="25">
          <reference field="1" count="1" selected="0">
            <x v="2"/>
          </reference>
          <reference field="2" count="1" selected="0">
            <x v="97"/>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40">
      <pivotArea dataOnly="0" labelOnly="1" outline="0" fieldPosition="0">
        <references count="25">
          <reference field="1" count="1" selected="0">
            <x v="2"/>
          </reference>
          <reference field="2" count="1" selected="0">
            <x v="98"/>
          </reference>
          <reference field="6" count="1" selected="0">
            <x v="37"/>
          </reference>
          <reference field="13" count="1" selected="0">
            <x v="2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39">
      <pivotArea dataOnly="0" labelOnly="1" outline="0" fieldPosition="0">
        <references count="25">
          <reference field="1" count="1" selected="0">
            <x v="2"/>
          </reference>
          <reference field="2" count="1" selected="0">
            <x v="99"/>
          </reference>
          <reference field="6" count="1" selected="0">
            <x v="3"/>
          </reference>
          <reference field="13" count="1" selected="0">
            <x v="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38">
      <pivotArea dataOnly="0" labelOnly="1" outline="0" fieldPosition="0">
        <references count="25">
          <reference field="1" count="1" selected="0">
            <x v="2"/>
          </reference>
          <reference field="2" count="1" selected="0">
            <x v="100"/>
          </reference>
          <reference field="6" count="1" selected="0">
            <x v="5"/>
          </reference>
          <reference field="13" count="1" selected="0">
            <x v="1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37">
      <pivotArea dataOnly="0" labelOnly="1" outline="0" fieldPosition="0">
        <references count="25">
          <reference field="1" count="1" selected="0">
            <x v="2"/>
          </reference>
          <reference field="2" count="1" selected="0">
            <x v="101"/>
          </reference>
          <reference field="6" count="1" selected="0">
            <x v="4"/>
          </reference>
          <reference field="13" count="1" selected="0">
            <x v="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36">
      <pivotArea dataOnly="0" labelOnly="1" outline="0" fieldPosition="0">
        <references count="25">
          <reference field="1" count="1" selected="0">
            <x v="2"/>
          </reference>
          <reference field="2" count="1" selected="0">
            <x v="102"/>
          </reference>
          <reference field="6" count="1" selected="0">
            <x v="16"/>
          </reference>
          <reference field="13" count="1" selected="0">
            <x v="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35">
      <pivotArea dataOnly="0" labelOnly="1" outline="0" fieldPosition="0">
        <references count="25">
          <reference field="1" count="1" selected="0">
            <x v="2"/>
          </reference>
          <reference field="2" count="1" selected="0">
            <x v="103"/>
          </reference>
          <reference field="6" count="1" selected="0">
            <x v="102"/>
          </reference>
          <reference field="13" count="1" selected="0">
            <x v="5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34">
      <pivotArea dataOnly="0" labelOnly="1" outline="0" fieldPosition="0">
        <references count="25">
          <reference field="1" count="1" selected="0">
            <x v="2"/>
          </reference>
          <reference field="2" count="1" selected="0">
            <x v="104"/>
          </reference>
          <reference field="6" count="1" selected="0">
            <x v="55"/>
          </reference>
          <reference field="13" count="1" selected="0">
            <x v="2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33">
      <pivotArea dataOnly="0" labelOnly="1" outline="0" fieldPosition="0">
        <references count="25">
          <reference field="1" count="1" selected="0">
            <x v="2"/>
          </reference>
          <reference field="2" count="1" selected="0">
            <x v="105"/>
          </reference>
          <reference field="6" count="1" selected="0">
            <x v="74"/>
          </reference>
          <reference field="13" count="1" selected="0">
            <x v="3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32">
      <pivotArea dataOnly="0" labelOnly="1" outline="0" fieldPosition="0">
        <references count="25">
          <reference field="1" count="1" selected="0">
            <x v="2"/>
          </reference>
          <reference field="2" count="1" selected="0">
            <x v="106"/>
          </reference>
          <reference field="6" count="1" selected="0">
            <x v="87"/>
          </reference>
          <reference field="13" count="1" selected="0">
            <x v="10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31">
      <pivotArea dataOnly="0" labelOnly="1" outline="0" fieldPosition="0">
        <references count="25">
          <reference field="1" count="1" selected="0">
            <x v="2"/>
          </reference>
          <reference field="2" count="1" selected="0">
            <x v="107"/>
          </reference>
          <reference field="6" count="1" selected="0">
            <x v="76"/>
          </reference>
          <reference field="13" count="1" selected="0">
            <x v="4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30">
      <pivotArea dataOnly="0" labelOnly="1" outline="0" fieldPosition="0">
        <references count="25">
          <reference field="1" count="1" selected="0">
            <x v="2"/>
          </reference>
          <reference field="2" count="1" selected="0">
            <x v="108"/>
          </reference>
          <reference field="6" count="1" selected="0">
            <x v="0"/>
          </reference>
          <reference field="13" count="1" selected="0">
            <x v="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29">
      <pivotArea dataOnly="0" labelOnly="1" outline="0" fieldPosition="0">
        <references count="25">
          <reference field="1" count="1" selected="0">
            <x v="2"/>
          </reference>
          <reference field="2" count="1" selected="0">
            <x v="109"/>
          </reference>
          <reference field="6" count="1" selected="0">
            <x v="32"/>
          </reference>
          <reference field="13" count="1" selected="0">
            <x v="1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28">
      <pivotArea dataOnly="0" labelOnly="1" outline="0" fieldPosition="0">
        <references count="25">
          <reference field="1" count="1" selected="0">
            <x v="2"/>
          </reference>
          <reference field="2" count="1" selected="0">
            <x v="110"/>
          </reference>
          <reference field="6" count="1" selected="0">
            <x v="32"/>
          </reference>
          <reference field="13" count="1" selected="0">
            <x v="1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27">
      <pivotArea dataOnly="0" labelOnly="1" outline="0" fieldPosition="0">
        <references count="25">
          <reference field="1" count="1" selected="0">
            <x v="2"/>
          </reference>
          <reference field="2" count="1" selected="0">
            <x v="111"/>
          </reference>
          <reference field="6" count="1" selected="0">
            <x v="60"/>
          </reference>
          <reference field="13" count="1" selected="0">
            <x v="2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26">
      <pivotArea dataOnly="0" labelOnly="1" outline="0" fieldPosition="0">
        <references count="25">
          <reference field="1" count="1" selected="0">
            <x v="2"/>
          </reference>
          <reference field="2" count="1" selected="0">
            <x v="112"/>
          </reference>
          <reference field="6" count="1" selected="0">
            <x v="10"/>
          </reference>
          <reference field="13" count="1" selected="0">
            <x v="1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25">
      <pivotArea dataOnly="0" labelOnly="1" outline="0" fieldPosition="0">
        <references count="25">
          <reference field="1" count="1" selected="0">
            <x v="2"/>
          </reference>
          <reference field="2" count="1" selected="0">
            <x v="113"/>
          </reference>
          <reference field="6" count="1" selected="0">
            <x v="42"/>
          </reference>
          <reference field="13" count="1" selected="0">
            <x v="1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24">
      <pivotArea dataOnly="0" labelOnly="1" outline="0" fieldPosition="0">
        <references count="25">
          <reference field="1" count="1" selected="0">
            <x v="2"/>
          </reference>
          <reference field="2" count="1" selected="0">
            <x v="114"/>
          </reference>
          <reference field="6" count="1" selected="0">
            <x v="45"/>
          </reference>
          <reference field="13" count="1" selected="0">
            <x v="10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23">
      <pivotArea dataOnly="0" labelOnly="1" outline="0" fieldPosition="0">
        <references count="25">
          <reference field="1" count="1" selected="0">
            <x v="2"/>
          </reference>
          <reference field="2" count="1" selected="0">
            <x v="115"/>
          </reference>
          <reference field="6" count="1" selected="0">
            <x v="104"/>
          </reference>
          <reference field="13" count="1" selected="0">
            <x v="4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22">
      <pivotArea dataOnly="0" labelOnly="1" outline="0" fieldPosition="0">
        <references count="25">
          <reference field="1" count="1" selected="0">
            <x v="2"/>
          </reference>
          <reference field="2" count="1" selected="0">
            <x v="116"/>
          </reference>
          <reference field="6" count="1" selected="0">
            <x v="35"/>
          </reference>
          <reference field="13" count="1" selected="0">
            <x v="2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21">
      <pivotArea dataOnly="0" labelOnly="1" outline="0" fieldPosition="0">
        <references count="25">
          <reference field="1" count="1" selected="0">
            <x v="2"/>
          </reference>
          <reference field="2" count="1" selected="0">
            <x v="117"/>
          </reference>
          <reference field="6" count="1" selected="0">
            <x v="14"/>
          </reference>
          <reference field="13" count="1" selected="0">
            <x v="2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20">
      <pivotArea dataOnly="0" labelOnly="1" outline="0" fieldPosition="0">
        <references count="25">
          <reference field="1" count="1" selected="0">
            <x v="2"/>
          </reference>
          <reference field="2" count="1" selected="0">
            <x v="118"/>
          </reference>
          <reference field="6" count="1" selected="0">
            <x v="72"/>
          </reference>
          <reference field="13" count="1" selected="0">
            <x v="2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19">
      <pivotArea dataOnly="0" labelOnly="1" outline="0" fieldPosition="0">
        <references count="25">
          <reference field="1" count="1" selected="0">
            <x v="2"/>
          </reference>
          <reference field="2" count="1" selected="0">
            <x v="119"/>
          </reference>
          <reference field="6" count="1" selected="0">
            <x v="72"/>
          </reference>
          <reference field="13" count="1" selected="0">
            <x v="2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18">
      <pivotArea dataOnly="0" labelOnly="1" outline="0" fieldPosition="0">
        <references count="25">
          <reference field="1" count="1" selected="0">
            <x v="2"/>
          </reference>
          <reference field="2" count="1" selected="0">
            <x v="120"/>
          </reference>
          <reference field="6" count="1" selected="0">
            <x v="82"/>
          </reference>
          <reference field="13" count="1" selected="0">
            <x v="6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17">
      <pivotArea dataOnly="0" labelOnly="1" outline="0" fieldPosition="0">
        <references count="25">
          <reference field="1" count="1" selected="0">
            <x v="2"/>
          </reference>
          <reference field="2" count="1" selected="0">
            <x v="121"/>
          </reference>
          <reference field="6" count="1" selected="0">
            <x v="39"/>
          </reference>
          <reference field="13" count="1" selected="0">
            <x v="6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16">
      <pivotArea dataOnly="0" labelOnly="1" outline="0" fieldPosition="0">
        <references count="25">
          <reference field="1" count="1" selected="0">
            <x v="2"/>
          </reference>
          <reference field="2" count="1" selected="0">
            <x v="122"/>
          </reference>
          <reference field="6" count="1" selected="0">
            <x v="38"/>
          </reference>
          <reference field="13" count="1" selected="0">
            <x v="2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15">
      <pivotArea dataOnly="0" labelOnly="1" outline="0" fieldPosition="0">
        <references count="25">
          <reference field="1" count="1" selected="0">
            <x v="2"/>
          </reference>
          <reference field="2" count="1" selected="0">
            <x v="123"/>
          </reference>
          <reference field="6" count="1" selected="0">
            <x v="81"/>
          </reference>
          <reference field="13" count="1" selected="0">
            <x v="9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14">
      <pivotArea dataOnly="0" labelOnly="1" outline="0" fieldPosition="0">
        <references count="25">
          <reference field="1" count="1" selected="0">
            <x v="2"/>
          </reference>
          <reference field="2" count="1" selected="0">
            <x v="124"/>
          </reference>
          <reference field="6" count="1" selected="0">
            <x v="30"/>
          </reference>
          <reference field="13" count="1" selected="0">
            <x v="9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13">
      <pivotArea dataOnly="0" labelOnly="1" outline="0" fieldPosition="0">
        <references count="25">
          <reference field="1" count="1" selected="0">
            <x v="2"/>
          </reference>
          <reference field="2" count="1" selected="0">
            <x v="125"/>
          </reference>
          <reference field="6" count="1" selected="0">
            <x v="31"/>
          </reference>
          <reference field="13" count="1" selected="0">
            <x v="1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12">
      <pivotArea dataOnly="0" labelOnly="1" outline="0" fieldPosition="0">
        <references count="25">
          <reference field="1" count="1" selected="0">
            <x v="2"/>
          </reference>
          <reference field="2" count="1" selected="0">
            <x v="126"/>
          </reference>
          <reference field="6" count="1" selected="0">
            <x v="40"/>
          </reference>
          <reference field="13" count="1" selected="0">
            <x v="6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11">
      <pivotArea dataOnly="0" labelOnly="1" outline="0" fieldPosition="0">
        <references count="25">
          <reference field="1" count="1" selected="0">
            <x v="2"/>
          </reference>
          <reference field="2" count="1" selected="0">
            <x v="127"/>
          </reference>
          <reference field="6" count="1" selected="0">
            <x v="84"/>
          </reference>
          <reference field="13" count="1" selected="0">
            <x v="6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10">
      <pivotArea dataOnly="0" labelOnly="1" outline="0" fieldPosition="0">
        <references count="25">
          <reference field="1" count="1" selected="0">
            <x v="2"/>
          </reference>
          <reference field="2" count="1" selected="0">
            <x v="128"/>
          </reference>
          <reference field="6" count="1" selected="0">
            <x v="90"/>
          </reference>
          <reference field="13" count="1" selected="0">
            <x v="3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09">
      <pivotArea dataOnly="0" labelOnly="1" outline="0" fieldPosition="0">
        <references count="25">
          <reference field="1" count="1" selected="0">
            <x v="3"/>
          </reference>
          <reference field="2" count="1" selected="0">
            <x v="129"/>
          </reference>
          <reference field="6" count="1" selected="0">
            <x v="100"/>
          </reference>
          <reference field="13" count="1" selected="0">
            <x v="8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08">
      <pivotArea dataOnly="0" labelOnly="1" outline="0" fieldPosition="0">
        <references count="25">
          <reference field="1" count="1" selected="0">
            <x v="3"/>
          </reference>
          <reference field="2" count="1" selected="0">
            <x v="130"/>
          </reference>
          <reference field="6" count="1" selected="0">
            <x v="101"/>
          </reference>
          <reference field="13" count="1" selected="0">
            <x v="3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07">
      <pivotArea dataOnly="0" labelOnly="1" outline="0" fieldPosition="0">
        <references count="25">
          <reference field="1" count="1" selected="0">
            <x v="3"/>
          </reference>
          <reference field="2" count="1" selected="0">
            <x v="131"/>
          </reference>
          <reference field="6" count="1" selected="0">
            <x v="86"/>
          </reference>
          <reference field="13" count="1" selected="0">
            <x v="9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06">
      <pivotArea dataOnly="0" labelOnly="1" outline="0" fieldPosition="0">
        <references count="25">
          <reference field="1" count="1" selected="0">
            <x v="3"/>
          </reference>
          <reference field="2" count="1" selected="0">
            <x v="132"/>
          </reference>
          <reference field="6" count="1" selected="0">
            <x v="85"/>
          </reference>
          <reference field="13" count="1" selected="0">
            <x v="6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05">
      <pivotArea dataOnly="0" labelOnly="1" outline="0" fieldPosition="0">
        <references count="25">
          <reference field="1" count="1" selected="0">
            <x v="4"/>
          </reference>
          <reference field="2" count="1" selected="0">
            <x v="7"/>
          </reference>
          <reference field="6" count="1" selected="0">
            <x v="23"/>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04">
      <pivotArea dataOnly="0" labelOnly="1" outline="0" fieldPosition="0">
        <references count="25">
          <reference field="1" count="1" selected="0">
            <x v="4"/>
          </reference>
          <reference field="2" count="1" selected="0">
            <x v="29"/>
          </reference>
          <reference field="6" count="1" selected="0">
            <x v="41"/>
          </reference>
          <reference field="13" count="1" selected="0">
            <x v="10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03">
      <pivotArea dataOnly="0" labelOnly="1" outline="0" fieldPosition="0">
        <references count="25">
          <reference field="1" count="1" selected="0">
            <x v="4"/>
          </reference>
          <reference field="2" count="1" selected="0">
            <x v="30"/>
          </reference>
          <reference field="6" count="1" selected="0">
            <x v="43"/>
          </reference>
          <reference field="13" count="1" selected="0">
            <x v="2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02">
      <pivotArea dataOnly="0" labelOnly="1" outline="0" fieldPosition="0">
        <references count="25">
          <reference field="1" count="1" selected="0">
            <x v="4"/>
          </reference>
          <reference field="2" count="1" selected="0">
            <x v="31"/>
          </reference>
          <reference field="6" count="1" selected="0">
            <x v="78"/>
          </reference>
          <reference field="13" count="1" selected="0">
            <x v="5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01">
      <pivotArea dataOnly="0" labelOnly="1" outline="0" fieldPosition="0">
        <references count="25">
          <reference field="1" count="1" selected="0">
            <x v="4"/>
          </reference>
          <reference field="2" count="1" selected="0">
            <x v="51"/>
          </reference>
          <reference field="6" count="1" selected="0">
            <x v="99"/>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400">
      <pivotArea field="23" type="button" dataOnly="0" labelOnly="1" outline="0" axis="axisRow" fieldPosition="4"/>
    </format>
    <format dxfId="399">
      <pivotArea field="24" type="button" dataOnly="0" labelOnly="1" outline="0" axis="axisRow" fieldPosition="5"/>
    </format>
    <format dxfId="398">
      <pivotArea field="25" type="button" dataOnly="0" labelOnly="1" outline="0" axis="axisRow" fieldPosition="6"/>
    </format>
    <format dxfId="397">
      <pivotArea field="26" type="button" dataOnly="0" labelOnly="1" outline="0" axis="axisRow" fieldPosition="7"/>
    </format>
    <format dxfId="396">
      <pivotArea field="27" type="button" dataOnly="0" labelOnly="1" outline="0" axis="axisRow" fieldPosition="8"/>
    </format>
    <format dxfId="395">
      <pivotArea field="28" type="button" dataOnly="0" labelOnly="1" outline="0" axis="axisRow" fieldPosition="9"/>
    </format>
    <format dxfId="394">
      <pivotArea field="29" type="button" dataOnly="0" labelOnly="1" outline="0" axis="axisRow" fieldPosition="10"/>
    </format>
    <format dxfId="393">
      <pivotArea field="30" type="button" dataOnly="0" labelOnly="1" outline="0" axis="axisRow" fieldPosition="11"/>
    </format>
    <format dxfId="392">
      <pivotArea field="31" type="button" dataOnly="0" labelOnly="1" outline="0" axis="axisRow" fieldPosition="12"/>
    </format>
    <format dxfId="391">
      <pivotArea field="32" type="button" dataOnly="0" labelOnly="1" outline="0" axis="axisRow" fieldPosition="13"/>
    </format>
    <format dxfId="390">
      <pivotArea field="33" type="button" dataOnly="0" labelOnly="1" outline="0" axis="axisRow" fieldPosition="14"/>
    </format>
    <format dxfId="389">
      <pivotArea field="34" type="button" dataOnly="0" labelOnly="1" outline="0" axis="axisRow" fieldPosition="15"/>
    </format>
    <format dxfId="388">
      <pivotArea field="35" type="button" dataOnly="0" labelOnly="1" outline="0" axis="axisRow" fieldPosition="16"/>
    </format>
    <format dxfId="387">
      <pivotArea field="36" type="button" dataOnly="0" labelOnly="1" outline="0" axis="axisRow" fieldPosition="17"/>
    </format>
    <format dxfId="386">
      <pivotArea field="37" type="button" dataOnly="0" labelOnly="1" outline="0" axis="axisRow" fieldPosition="18"/>
    </format>
    <format dxfId="385">
      <pivotArea field="38" type="button" dataOnly="0" labelOnly="1" outline="0" axis="axisRow" fieldPosition="19"/>
    </format>
    <format dxfId="384">
      <pivotArea field="39" type="button" dataOnly="0" labelOnly="1" outline="0" axis="axisRow" fieldPosition="20"/>
    </format>
    <format dxfId="383">
      <pivotArea field="40" type="button" dataOnly="0" labelOnly="1" outline="0" axis="axisRow" fieldPosition="21"/>
    </format>
    <format dxfId="382">
      <pivotArea field="41" type="button" dataOnly="0" labelOnly="1" outline="0" axis="axisRow" fieldPosition="22"/>
    </format>
    <format dxfId="381">
      <pivotArea field="42" type="button" dataOnly="0" labelOnly="1" outline="0" axis="axisRow" fieldPosition="23"/>
    </format>
    <format dxfId="380">
      <pivotArea field="43" type="button" dataOnly="0" labelOnly="1" outline="0" axis="axisRow" fieldPosition="24"/>
    </format>
    <format dxfId="379">
      <pivotArea dataOnly="0" labelOnly="1" outline="0" fieldPosition="0">
        <references count="5">
          <reference field="1" count="1" selected="0">
            <x v="0"/>
          </reference>
          <reference field="2" count="1" selected="0">
            <x v="0"/>
          </reference>
          <reference field="6" count="1" selected="0">
            <x v="116"/>
          </reference>
          <reference field="13" count="1" selected="0">
            <x v="53"/>
          </reference>
          <reference field="23" count="1">
            <x v="1"/>
          </reference>
        </references>
      </pivotArea>
    </format>
    <format dxfId="378">
      <pivotArea dataOnly="0" labelOnly="1" outline="0" fieldPosition="0">
        <references count="5">
          <reference field="1" count="1" selected="0">
            <x v="0"/>
          </reference>
          <reference field="2" count="1" selected="0">
            <x v="22"/>
          </reference>
          <reference field="6" count="1" selected="0">
            <x v="19"/>
          </reference>
          <reference field="13" count="1" selected="0">
            <x v="106"/>
          </reference>
          <reference field="23" count="1">
            <x v="0"/>
          </reference>
        </references>
      </pivotArea>
    </format>
    <format dxfId="377">
      <pivotArea dataOnly="0" labelOnly="1" outline="0" fieldPosition="0">
        <references count="5">
          <reference field="1" count="1" selected="0">
            <x v="0"/>
          </reference>
          <reference field="2" count="1" selected="0">
            <x v="23"/>
          </reference>
          <reference field="6" count="1" selected="0">
            <x v="109"/>
          </reference>
          <reference field="13" count="1" selected="0">
            <x v="16"/>
          </reference>
          <reference field="23" count="1">
            <x v="1"/>
          </reference>
        </references>
      </pivotArea>
    </format>
    <format dxfId="376">
      <pivotArea dataOnly="0" labelOnly="1" outline="0" fieldPosition="0">
        <references count="6">
          <reference field="1" count="1" selected="0">
            <x v="0"/>
          </reference>
          <reference field="2" count="1" selected="0">
            <x v="0"/>
          </reference>
          <reference field="6" count="1" selected="0">
            <x v="116"/>
          </reference>
          <reference field="13" count="1" selected="0">
            <x v="53"/>
          </reference>
          <reference field="23" count="1" selected="0">
            <x v="1"/>
          </reference>
          <reference field="24" count="1">
            <x v="1"/>
          </reference>
        </references>
      </pivotArea>
    </format>
    <format dxfId="375">
      <pivotArea dataOnly="0" labelOnly="1" outline="0" fieldPosition="0">
        <references count="6">
          <reference field="1" count="1" selected="0">
            <x v="0"/>
          </reference>
          <reference field="2" count="1" selected="0">
            <x v="22"/>
          </reference>
          <reference field="6" count="1" selected="0">
            <x v="19"/>
          </reference>
          <reference field="13" count="1" selected="0">
            <x v="106"/>
          </reference>
          <reference field="23" count="1" selected="0">
            <x v="0"/>
          </reference>
          <reference field="24" count="1">
            <x v="0"/>
          </reference>
        </references>
      </pivotArea>
    </format>
    <format dxfId="374">
      <pivotArea dataOnly="0" labelOnly="1" outline="0" fieldPosition="0">
        <references count="6">
          <reference field="1" count="1" selected="0">
            <x v="0"/>
          </reference>
          <reference field="2" count="1" selected="0">
            <x v="23"/>
          </reference>
          <reference field="6" count="1" selected="0">
            <x v="109"/>
          </reference>
          <reference field="13" count="1" selected="0">
            <x v="16"/>
          </reference>
          <reference field="23" count="1" selected="0">
            <x v="1"/>
          </reference>
          <reference field="24" count="1">
            <x v="1"/>
          </reference>
        </references>
      </pivotArea>
    </format>
    <format dxfId="373">
      <pivotArea dataOnly="0" labelOnly="1" outline="0" fieldPosition="0">
        <references count="7">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x v="1"/>
          </reference>
        </references>
      </pivotArea>
    </format>
    <format dxfId="372">
      <pivotArea dataOnly="0" labelOnly="1" outline="0" fieldPosition="0">
        <references count="7">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x v="0"/>
          </reference>
        </references>
      </pivotArea>
    </format>
    <format dxfId="371">
      <pivotArea dataOnly="0" labelOnly="1" outline="0" fieldPosition="0">
        <references count="7">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x v="1"/>
          </reference>
        </references>
      </pivotArea>
    </format>
    <format dxfId="370">
      <pivotArea dataOnly="0" labelOnly="1" outline="0" fieldPosition="0">
        <references count="8">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x v="1"/>
          </reference>
        </references>
      </pivotArea>
    </format>
    <format dxfId="369">
      <pivotArea dataOnly="0" labelOnly="1" outline="0" fieldPosition="0">
        <references count="8">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selected="0">
            <x v="0"/>
          </reference>
          <reference field="26" count="1">
            <x v="0"/>
          </reference>
        </references>
      </pivotArea>
    </format>
    <format dxfId="368">
      <pivotArea dataOnly="0" labelOnly="1" outline="0" fieldPosition="0">
        <references count="8">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selected="0">
            <x v="1"/>
          </reference>
          <reference field="26" count="1">
            <x v="1"/>
          </reference>
        </references>
      </pivotArea>
    </format>
    <format dxfId="367">
      <pivotArea dataOnly="0" labelOnly="1" outline="0" fieldPosition="0">
        <references count="9">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references>
      </pivotArea>
    </format>
    <format dxfId="366">
      <pivotArea dataOnly="0" labelOnly="1" outline="0" fieldPosition="0">
        <references count="10">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references>
      </pivotArea>
    </format>
    <format dxfId="365">
      <pivotArea dataOnly="0" labelOnly="1" outline="0" fieldPosition="0">
        <references count="11">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references>
      </pivotArea>
    </format>
    <format dxfId="364">
      <pivotArea dataOnly="0" labelOnly="1" outline="0" fieldPosition="0">
        <references count="12">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references>
      </pivotArea>
    </format>
    <format dxfId="363">
      <pivotArea dataOnly="0" labelOnly="1" outline="0" fieldPosition="0">
        <references count="13">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references>
      </pivotArea>
    </format>
    <format dxfId="362">
      <pivotArea dataOnly="0" labelOnly="1" outline="0" fieldPosition="0">
        <references count="14">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references>
      </pivotArea>
    </format>
    <format dxfId="361">
      <pivotArea dataOnly="0" labelOnly="1" outline="0" fieldPosition="0">
        <references count="15">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references>
      </pivotArea>
    </format>
    <format dxfId="360">
      <pivotArea dataOnly="0" labelOnly="1" outline="0" fieldPosition="0">
        <references count="16">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references>
      </pivotArea>
    </format>
    <format dxfId="359">
      <pivotArea dataOnly="0" labelOnly="1" outline="0" fieldPosition="0">
        <references count="17">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references>
      </pivotArea>
    </format>
    <format dxfId="358">
      <pivotArea dataOnly="0" labelOnly="1" outline="0" fieldPosition="0">
        <references count="18">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references>
      </pivotArea>
    </format>
    <format dxfId="357">
      <pivotArea dataOnly="0" labelOnly="1" outline="0" fieldPosition="0">
        <references count="19">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references>
      </pivotArea>
    </format>
    <format dxfId="356">
      <pivotArea dataOnly="0" labelOnly="1" outline="0" fieldPosition="0">
        <references count="20">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references>
      </pivotArea>
    </format>
    <format dxfId="355">
      <pivotArea dataOnly="0" labelOnly="1" outline="0" fieldPosition="0">
        <references count="21">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references>
      </pivotArea>
    </format>
    <format dxfId="354">
      <pivotArea dataOnly="0" labelOnly="1" outline="0" fieldPosition="0">
        <references count="22">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references>
      </pivotArea>
    </format>
    <format dxfId="353">
      <pivotArea dataOnly="0" labelOnly="1" outline="0" fieldPosition="0">
        <references count="23">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references>
      </pivotArea>
    </format>
    <format dxfId="352">
      <pivotArea dataOnly="0" labelOnly="1" outline="0" fieldPosition="0">
        <references count="24">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references>
      </pivotArea>
    </format>
    <format dxfId="351">
      <pivotArea dataOnly="0" labelOnly="1" outline="0" fieldPosition="0">
        <references count="25">
          <reference field="1" count="1" selected="0">
            <x v="0"/>
          </reference>
          <reference field="2" count="1" selected="0">
            <x v="0"/>
          </reference>
          <reference field="6" count="1" selected="0">
            <x v="116"/>
          </reference>
          <reference field="13" count="1" selected="0">
            <x v="5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50">
      <pivotArea dataOnly="0" labelOnly="1" outline="0" fieldPosition="0">
        <references count="25">
          <reference field="1" count="1" selected="0">
            <x v="0"/>
          </reference>
          <reference field="2" count="1" selected="0">
            <x v="1"/>
          </reference>
          <reference field="6" count="1" selected="0">
            <x v="117"/>
          </reference>
          <reference field="13" count="1" selected="0">
            <x v="1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49">
      <pivotArea dataOnly="0" labelOnly="1" outline="0" fieldPosition="0">
        <references count="25">
          <reference field="1" count="1" selected="0">
            <x v="0"/>
          </reference>
          <reference field="2" count="1" selected="0">
            <x v="2"/>
          </reference>
          <reference field="6" count="1" selected="0">
            <x v="118"/>
          </reference>
          <reference field="13" count="1" selected="0">
            <x v="5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48">
      <pivotArea dataOnly="0" labelOnly="1" outline="0" fieldPosition="0">
        <references count="25">
          <reference field="1" count="1" selected="0">
            <x v="0"/>
          </reference>
          <reference field="2" count="1" selected="0">
            <x v="3"/>
          </reference>
          <reference field="6" count="1" selected="0">
            <x v="120"/>
          </reference>
          <reference field="13" count="1" selected="0">
            <x v="9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47">
      <pivotArea dataOnly="0" labelOnly="1" outline="0" fieldPosition="0">
        <references count="25">
          <reference field="1" count="1" selected="0">
            <x v="0"/>
          </reference>
          <reference field="2" count="1" selected="0">
            <x v="4"/>
          </reference>
          <reference field="6" count="1" selected="0">
            <x v="22"/>
          </reference>
          <reference field="13" count="1" selected="0">
            <x v="7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46">
      <pivotArea dataOnly="0" labelOnly="1" outline="0" fieldPosition="0">
        <references count="25">
          <reference field="1" count="1" selected="0">
            <x v="0"/>
          </reference>
          <reference field="2" count="1" selected="0">
            <x v="5"/>
          </reference>
          <reference field="6" count="1" selected="0">
            <x v="25"/>
          </reference>
          <reference field="13" count="1" selected="0">
            <x v="8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45">
      <pivotArea dataOnly="0" labelOnly="1" outline="0" fieldPosition="0">
        <references count="25">
          <reference field="1" count="1" selected="0">
            <x v="0"/>
          </reference>
          <reference field="2" count="1" selected="0">
            <x v="6"/>
          </reference>
          <reference field="6" count="1" selected="0">
            <x v="58"/>
          </reference>
          <reference field="13" count="1" selected="0">
            <x v="10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44">
      <pivotArea dataOnly="0" labelOnly="1" outline="0" fieldPosition="0">
        <references count="25">
          <reference field="1" count="1" selected="0">
            <x v="0"/>
          </reference>
          <reference field="2" count="1" selected="0">
            <x v="8"/>
          </reference>
          <reference field="6" count="1" selected="0">
            <x v="21"/>
          </reference>
          <reference field="13" count="1" selected="0">
            <x v="7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43">
      <pivotArea dataOnly="0" labelOnly="1" outline="0" fieldPosition="0">
        <references count="25">
          <reference field="1" count="1" selected="0">
            <x v="0"/>
          </reference>
          <reference field="2" count="1" selected="0">
            <x v="9"/>
          </reference>
          <reference field="6" count="1" selected="0">
            <x v="56"/>
          </reference>
          <reference field="13" count="1" selected="0">
            <x v="7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42">
      <pivotArea dataOnly="0" labelOnly="1" outline="0" fieldPosition="0">
        <references count="25">
          <reference field="1" count="1" selected="0">
            <x v="0"/>
          </reference>
          <reference field="2" count="1" selected="0">
            <x v="10"/>
          </reference>
          <reference field="6" count="1" selected="0">
            <x v="108"/>
          </reference>
          <reference field="13" count="1" selected="0">
            <x v="7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41">
      <pivotArea dataOnly="0" labelOnly="1" outline="0" fieldPosition="0">
        <references count="25">
          <reference field="1" count="1" selected="0">
            <x v="0"/>
          </reference>
          <reference field="2" count="1" selected="0">
            <x v="11"/>
          </reference>
          <reference field="6" count="1" selected="0">
            <x v="24"/>
          </reference>
          <reference field="13" count="1" selected="0">
            <x v="7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40">
      <pivotArea dataOnly="0" labelOnly="1" outline="0" fieldPosition="0">
        <references count="25">
          <reference field="1" count="1" selected="0">
            <x v="0"/>
          </reference>
          <reference field="2" count="1" selected="0">
            <x v="12"/>
          </reference>
          <reference field="6" count="1" selected="0">
            <x v="92"/>
          </reference>
          <reference field="13" count="1" selected="0">
            <x v="7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39">
      <pivotArea dataOnly="0" labelOnly="1" outline="0" fieldPosition="0">
        <references count="25">
          <reference field="1" count="1" selected="0">
            <x v="0"/>
          </reference>
          <reference field="2" count="1" selected="0">
            <x v="13"/>
          </reference>
          <reference field="6" count="1" selected="0">
            <x v="93"/>
          </reference>
          <reference field="13" count="1" selected="0">
            <x v="7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38">
      <pivotArea dataOnly="0" labelOnly="1" outline="0" fieldPosition="0">
        <references count="25">
          <reference field="1" count="1" selected="0">
            <x v="0"/>
          </reference>
          <reference field="2" count="1" selected="0">
            <x v="14"/>
          </reference>
          <reference field="6" count="1" selected="0">
            <x v="91"/>
          </reference>
          <reference field="13" count="1" selected="0">
            <x v="7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37">
      <pivotArea dataOnly="0" labelOnly="1" outline="0" fieldPosition="0">
        <references count="25">
          <reference field="1" count="1" selected="0">
            <x v="0"/>
          </reference>
          <reference field="2" count="1" selected="0">
            <x v="15"/>
          </reference>
          <reference field="6" count="1" selected="0">
            <x v="112"/>
          </reference>
          <reference field="13" count="1" selected="0">
            <x v="3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36">
      <pivotArea dataOnly="0" labelOnly="1" outline="0" fieldPosition="0">
        <references count="25">
          <reference field="1" count="1" selected="0">
            <x v="0"/>
          </reference>
          <reference field="2" count="1" selected="0">
            <x v="16"/>
          </reference>
          <reference field="6" count="1" selected="0">
            <x v="114"/>
          </reference>
          <reference field="13" count="1" selected="0">
            <x v="3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35">
      <pivotArea dataOnly="0" labelOnly="1" outline="0" fieldPosition="0">
        <references count="25">
          <reference field="1" count="1" selected="0">
            <x v="0"/>
          </reference>
          <reference field="2" count="1" selected="0">
            <x v="17"/>
          </reference>
          <reference field="6" count="1" selected="0">
            <x v="7"/>
          </reference>
          <reference field="13" count="1" selected="0">
            <x v="3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34">
      <pivotArea dataOnly="0" labelOnly="1" outline="0" fieldPosition="0">
        <references count="25">
          <reference field="1" count="1" selected="0">
            <x v="0"/>
          </reference>
          <reference field="2" count="1" selected="0">
            <x v="18"/>
          </reference>
          <reference field="6" count="1" selected="0">
            <x v="57"/>
          </reference>
          <reference field="13" count="1" selected="0">
            <x v="7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33">
      <pivotArea dataOnly="0" labelOnly="1" outline="0" fieldPosition="0">
        <references count="25">
          <reference field="1" count="1" selected="0">
            <x v="0"/>
          </reference>
          <reference field="2" count="1" selected="0">
            <x v="19"/>
          </reference>
          <reference field="6" count="1" selected="0">
            <x v="47"/>
          </reference>
          <reference field="13" count="1" selected="0">
            <x v="3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32">
      <pivotArea dataOnly="0" labelOnly="1" outline="0" fieldPosition="0">
        <references count="25">
          <reference field="1" count="1" selected="0">
            <x v="0"/>
          </reference>
          <reference field="2" count="1" selected="0">
            <x v="20"/>
          </reference>
          <reference field="6" count="1" selected="0">
            <x v="113"/>
          </reference>
          <reference field="13" count="1" selected="0">
            <x v="8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31">
      <pivotArea dataOnly="0" labelOnly="1" outline="0" fieldPosition="0">
        <references count="25">
          <reference field="1" count="1" selected="0">
            <x v="0"/>
          </reference>
          <reference field="2" count="1" selected="0">
            <x v="21"/>
          </reference>
          <reference field="6" count="1" selected="0">
            <x v="89"/>
          </reference>
          <reference field="13" count="1" selected="0">
            <x v="2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30">
      <pivotArea dataOnly="0" labelOnly="1" outline="0" fieldPosition="0">
        <references count="25">
          <reference field="1" count="1" selected="0">
            <x v="0"/>
          </reference>
          <reference field="2" count="1" selected="0">
            <x v="22"/>
          </reference>
          <reference field="6" count="1" selected="0">
            <x v="19"/>
          </reference>
          <reference field="13" count="1" selected="0">
            <x v="106"/>
          </reference>
          <reference field="23" count="1" selected="0">
            <x v="0"/>
          </reference>
          <reference field="24" count="1" selected="0">
            <x v="0"/>
          </reference>
          <reference field="25" count="1" selected="0">
            <x v="0"/>
          </reference>
          <reference field="26" count="1" selected="0">
            <x v="0"/>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29">
      <pivotArea dataOnly="0" labelOnly="1" outline="0" fieldPosition="0">
        <references count="25">
          <reference field="1" count="1" selected="0">
            <x v="0"/>
          </reference>
          <reference field="2" count="1" selected="0">
            <x v="23"/>
          </reference>
          <reference field="6" count="1" selected="0">
            <x v="109"/>
          </reference>
          <reference field="13" count="1" selected="0">
            <x v="1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28">
      <pivotArea dataOnly="0" labelOnly="1" outline="0" fieldPosition="0">
        <references count="25">
          <reference field="1" count="1" selected="0">
            <x v="0"/>
          </reference>
          <reference field="2" count="1" selected="0">
            <x v="24"/>
          </reference>
          <reference field="6" count="1" selected="0">
            <x v="115"/>
          </reference>
          <reference field="13" count="1" selected="0">
            <x v="4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27">
      <pivotArea dataOnly="0" labelOnly="1" outline="0" fieldPosition="0">
        <references count="25">
          <reference field="1" count="1" selected="0">
            <x v="0"/>
          </reference>
          <reference field="2" count="1" selected="0">
            <x v="25"/>
          </reference>
          <reference field="6" count="1" selected="0">
            <x v="111"/>
          </reference>
          <reference field="13" count="1" selected="0">
            <x v="3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26">
      <pivotArea dataOnly="0" labelOnly="1" outline="0" fieldPosition="0">
        <references count="25">
          <reference field="1" count="1" selected="0">
            <x v="0"/>
          </reference>
          <reference field="2" count="1" selected="0">
            <x v="26"/>
          </reference>
          <reference field="6" count="1" selected="0">
            <x v="9"/>
          </reference>
          <reference field="13" count="1" selected="0">
            <x v="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25">
      <pivotArea dataOnly="0" labelOnly="1" outline="0" fieldPosition="0">
        <references count="25">
          <reference field="1" count="1" selected="0">
            <x v="0"/>
          </reference>
          <reference field="2" count="1" selected="0">
            <x v="27"/>
          </reference>
          <reference field="6" count="1" selected="0">
            <x v="42"/>
          </reference>
          <reference field="13" count="1" selected="0">
            <x v="1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24">
      <pivotArea dataOnly="0" labelOnly="1" outline="0" fieldPosition="0">
        <references count="25">
          <reference field="1" count="1" selected="0">
            <x v="0"/>
          </reference>
          <reference field="2" count="1" selected="0">
            <x v="28"/>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23">
      <pivotArea dataOnly="0" labelOnly="1" outline="0" fieldPosition="0">
        <references count="25">
          <reference field="1" count="1" selected="0">
            <x v="0"/>
          </reference>
          <reference field="2" count="1" selected="0">
            <x v="32"/>
          </reference>
          <reference field="6" count="1" selected="0">
            <x v="80"/>
          </reference>
          <reference field="13" count="1" selected="0">
            <x v="5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22">
      <pivotArea dataOnly="0" labelOnly="1" outline="0" fieldPosition="0">
        <references count="25">
          <reference field="1" count="1" selected="0">
            <x v="0"/>
          </reference>
          <reference field="2" count="1" selected="0">
            <x v="33"/>
          </reference>
          <reference field="6" count="1" selected="0">
            <x v="77"/>
          </reference>
          <reference field="13" count="1" selected="0">
            <x v="8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21">
      <pivotArea dataOnly="0" labelOnly="1" outline="0" fieldPosition="0">
        <references count="25">
          <reference field="1" count="1" selected="0">
            <x v="0"/>
          </reference>
          <reference field="2" count="1" selected="0">
            <x v="34"/>
          </reference>
          <reference field="6" count="1" selected="0">
            <x v="73"/>
          </reference>
          <reference field="13" count="1" selected="0">
            <x v="8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20">
      <pivotArea dataOnly="0" labelOnly="1" outline="0" fieldPosition="0">
        <references count="25">
          <reference field="1" count="1" selected="0">
            <x v="0"/>
          </reference>
          <reference field="2" count="1" selected="0">
            <x v="35"/>
          </reference>
          <reference field="6" count="1" selected="0">
            <x v="110"/>
          </reference>
          <reference field="13" count="1" selected="0">
            <x v="9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19">
      <pivotArea dataOnly="0" labelOnly="1" outline="0" fieldPosition="0">
        <references count="25">
          <reference field="1" count="1" selected="0">
            <x v="0"/>
          </reference>
          <reference field="2" count="1" selected="0">
            <x v="36"/>
          </reference>
          <reference field="6" count="1" selected="0">
            <x v="105"/>
          </reference>
          <reference field="13" count="1" selected="0">
            <x v="10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18">
      <pivotArea dataOnly="0" labelOnly="1" outline="0" fieldPosition="0">
        <references count="25">
          <reference field="1" count="1" selected="0">
            <x v="0"/>
          </reference>
          <reference field="2" count="1" selected="0">
            <x v="37"/>
          </reference>
          <reference field="6" count="1" selected="0">
            <x v="59"/>
          </reference>
          <reference field="13" count="1" selected="0">
            <x v="8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17">
      <pivotArea dataOnly="0" labelOnly="1" outline="0" fieldPosition="0">
        <references count="25">
          <reference field="1" count="1" selected="0">
            <x v="0"/>
          </reference>
          <reference field="2" count="1" selected="0">
            <x v="38"/>
          </reference>
          <reference field="6" count="1" selected="0">
            <x v="11"/>
          </reference>
          <reference field="13" count="1" selected="0">
            <x v="8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16">
      <pivotArea dataOnly="0" labelOnly="1" outline="0" fieldPosition="0">
        <references count="25">
          <reference field="1" count="1" selected="0">
            <x v="0"/>
          </reference>
          <reference field="2" count="1" selected="0">
            <x v="39"/>
          </reference>
          <reference field="6" count="1" selected="0">
            <x v="62"/>
          </reference>
          <reference field="13" count="1" selected="0">
            <x v="8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15">
      <pivotArea dataOnly="0" labelOnly="1" outline="0" fieldPosition="0">
        <references count="25">
          <reference field="1" count="1" selected="0">
            <x v="0"/>
          </reference>
          <reference field="2" count="1" selected="0">
            <x v="40"/>
          </reference>
          <reference field="6" count="1" selected="0">
            <x v="54"/>
          </reference>
          <reference field="13" count="1" selected="0">
            <x v="11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14">
      <pivotArea dataOnly="0" labelOnly="1" outline="0" fieldPosition="0">
        <references count="25">
          <reference field="1" count="1" selected="0">
            <x v="0"/>
          </reference>
          <reference field="2" count="1" selected="0">
            <x v="41"/>
          </reference>
          <reference field="6" count="1" selected="0">
            <x v="63"/>
          </reference>
          <reference field="13" count="1" selected="0">
            <x v="10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13">
      <pivotArea dataOnly="0" labelOnly="1" outline="0" fieldPosition="0">
        <references count="25">
          <reference field="1" count="1" selected="0">
            <x v="0"/>
          </reference>
          <reference field="2" count="1" selected="0">
            <x v="42"/>
          </reference>
          <reference field="6" count="1" selected="0">
            <x v="83"/>
          </reference>
          <reference field="13" count="1" selected="0">
            <x v="8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12">
      <pivotArea dataOnly="0" labelOnly="1" outline="0" fieldPosition="0">
        <references count="25">
          <reference field="1" count="1" selected="0">
            <x v="0"/>
          </reference>
          <reference field="2" count="1" selected="0">
            <x v="43"/>
          </reference>
          <reference field="6" count="1" selected="0">
            <x v="106"/>
          </reference>
          <reference field="13" count="1" selected="0">
            <x v="3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11">
      <pivotArea dataOnly="0" labelOnly="1" outline="0" fieldPosition="0">
        <references count="25">
          <reference field="1" count="1" selected="0">
            <x v="0"/>
          </reference>
          <reference field="2" count="1" selected="0">
            <x v="44"/>
          </reference>
          <reference field="6" count="1" selected="0">
            <x v="94"/>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10">
      <pivotArea dataOnly="0" labelOnly="1" outline="0" fieldPosition="0">
        <references count="25">
          <reference field="1" count="1" selected="0">
            <x v="0"/>
          </reference>
          <reference field="2" count="1" selected="0">
            <x v="45"/>
          </reference>
          <reference field="6" count="1" selected="0">
            <x v="29"/>
          </reference>
          <reference field="13" count="1" selected="0">
            <x v="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09">
      <pivotArea dataOnly="0" labelOnly="1" outline="0" fieldPosition="0">
        <references count="25">
          <reference field="1" count="1" selected="0">
            <x v="0"/>
          </reference>
          <reference field="2" count="1" selected="0">
            <x v="46"/>
          </reference>
          <reference field="6" count="1" selected="0">
            <x v="75"/>
          </reference>
          <reference field="13" count="1" selected="0">
            <x v="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08">
      <pivotArea dataOnly="0" labelOnly="1" outline="0" fieldPosition="0">
        <references count="25">
          <reference field="1" count="1" selected="0">
            <x v="0"/>
          </reference>
          <reference field="2" count="1" selected="0">
            <x v="47"/>
          </reference>
          <reference field="6" count="1" selected="0">
            <x v="17"/>
          </reference>
          <reference field="13" count="1" selected="0">
            <x v="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07">
      <pivotArea dataOnly="0" labelOnly="1" outline="0" fieldPosition="0">
        <references count="25">
          <reference field="1" count="1" selected="0">
            <x v="0"/>
          </reference>
          <reference field="2" count="1" selected="0">
            <x v="48"/>
          </reference>
          <reference field="6" count="1" selected="0">
            <x v="15"/>
          </reference>
          <reference field="13" count="1" selected="0">
            <x v="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06">
      <pivotArea dataOnly="0" labelOnly="1" outline="0" fieldPosition="0">
        <references count="25">
          <reference field="1" count="1" selected="0">
            <x v="0"/>
          </reference>
          <reference field="2" count="1" selected="0">
            <x v="49"/>
          </reference>
          <reference field="6" count="1" selected="0">
            <x v="13"/>
          </reference>
          <reference field="13" count="1" selected="0">
            <x v="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05">
      <pivotArea dataOnly="0" labelOnly="1" outline="0" fieldPosition="0">
        <references count="25">
          <reference field="1" count="1" selected="0">
            <x v="0"/>
          </reference>
          <reference field="2" count="1" selected="0">
            <x v="50"/>
          </reference>
          <reference field="6" count="1" selected="0">
            <x v="6"/>
          </reference>
          <reference field="13" count="1" selected="0">
            <x v="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04">
      <pivotArea dataOnly="0" labelOnly="1" outline="0" fieldPosition="0">
        <references count="25">
          <reference field="1" count="1" selected="0">
            <x v="0"/>
          </reference>
          <reference field="2" count="1" selected="0">
            <x v="52"/>
          </reference>
          <reference field="6" count="1" selected="0">
            <x v="88"/>
          </reference>
          <reference field="13" count="1" selected="0">
            <x v="9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03">
      <pivotArea dataOnly="0" labelOnly="1" outline="0" fieldPosition="0">
        <references count="25">
          <reference field="1" count="1" selected="0">
            <x v="0"/>
          </reference>
          <reference field="2" count="1" selected="0">
            <x v="53"/>
          </reference>
          <reference field="6" count="1" selected="0">
            <x v="70"/>
          </reference>
          <reference field="13" count="1" selected="0">
            <x v="3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02">
      <pivotArea dataOnly="0" labelOnly="1" outline="0" fieldPosition="0">
        <references count="25">
          <reference field="1" count="1" selected="0">
            <x v="0"/>
          </reference>
          <reference field="2" count="1" selected="0">
            <x v="54"/>
          </reference>
          <reference field="6" count="1" selected="0">
            <x v="44"/>
          </reference>
          <reference field="13" count="1" selected="0">
            <x v="8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01">
      <pivotArea dataOnly="0" labelOnly="1" outline="0" fieldPosition="0">
        <references count="25">
          <reference field="1" count="1" selected="0">
            <x v="1"/>
          </reference>
          <reference field="2" count="1" selected="0">
            <x v="55"/>
          </reference>
          <reference field="6" count="1" selected="0">
            <x v="50"/>
          </reference>
          <reference field="13" count="1" selected="0">
            <x v="5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300">
      <pivotArea dataOnly="0" labelOnly="1" outline="0" fieldPosition="0">
        <references count="25">
          <reference field="1" count="1" selected="0">
            <x v="1"/>
          </reference>
          <reference field="2" count="1" selected="0">
            <x v="56"/>
          </reference>
          <reference field="6" count="1" selected="0">
            <x v="51"/>
          </reference>
          <reference field="13" count="1" selected="0">
            <x v="5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99">
      <pivotArea dataOnly="0" labelOnly="1" outline="0" fieldPosition="0">
        <references count="25">
          <reference field="1" count="1" selected="0">
            <x v="1"/>
          </reference>
          <reference field="2" count="1" selected="0">
            <x v="57"/>
          </reference>
          <reference field="6" count="1" selected="0">
            <x v="52"/>
          </reference>
          <reference field="13" count="1" selected="0">
            <x v="5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98">
      <pivotArea dataOnly="0" labelOnly="1" outline="0" fieldPosition="0">
        <references count="25">
          <reference field="1" count="1" selected="0">
            <x v="1"/>
          </reference>
          <reference field="2" count="1" selected="0">
            <x v="58"/>
          </reference>
          <reference field="6" count="1" selected="0">
            <x v="53"/>
          </reference>
          <reference field="13" count="1" selected="0">
            <x v="5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97">
      <pivotArea dataOnly="0" labelOnly="1" outline="0" fieldPosition="0">
        <references count="25">
          <reference field="1" count="1" selected="0">
            <x v="1"/>
          </reference>
          <reference field="2" count="1" selected="0">
            <x v="59"/>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96">
      <pivotArea dataOnly="0" labelOnly="1" outline="0" fieldPosition="0">
        <references count="25">
          <reference field="1" count="1" selected="0">
            <x v="1"/>
          </reference>
          <reference field="2" count="1" selected="0">
            <x v="60"/>
          </reference>
          <reference field="6" count="1" selected="0">
            <x v="12"/>
          </reference>
          <reference field="13" count="1" selected="0">
            <x v="6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95">
      <pivotArea dataOnly="0" labelOnly="1" outline="0" fieldPosition="0">
        <references count="25">
          <reference field="1" count="1" selected="0">
            <x v="1"/>
          </reference>
          <reference field="2" count="1" selected="0">
            <x v="61"/>
          </reference>
          <reference field="6" count="1" selected="0">
            <x v="61"/>
          </reference>
          <reference field="13" count="1" selected="0">
            <x v="1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94">
      <pivotArea dataOnly="0" labelOnly="1" outline="0" fieldPosition="0">
        <references count="25">
          <reference field="1" count="1" selected="0">
            <x v="1"/>
          </reference>
          <reference field="2" count="1" selected="0">
            <x v="62"/>
          </reference>
          <reference field="6" count="1" selected="0">
            <x v="8"/>
          </reference>
          <reference field="13" count="1" selected="0">
            <x v="6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93">
      <pivotArea dataOnly="0" labelOnly="1" outline="0" fieldPosition="0">
        <references count="25">
          <reference field="1" count="1" selected="0">
            <x v="1"/>
          </reference>
          <reference field="2" count="1" selected="0">
            <x v="63"/>
          </reference>
          <reference field="6" count="1" selected="0">
            <x v="64"/>
          </reference>
          <reference field="13" count="1" selected="0">
            <x v="4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92">
      <pivotArea dataOnly="0" labelOnly="1" outline="0" fieldPosition="0">
        <references count="25">
          <reference field="1" count="1" selected="0">
            <x v="1"/>
          </reference>
          <reference field="2" count="1" selected="0">
            <x v="64"/>
          </reference>
          <reference field="6" count="1" selected="0">
            <x v="65"/>
          </reference>
          <reference field="13" count="1" selected="0">
            <x v="4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91">
      <pivotArea dataOnly="0" labelOnly="1" outline="0" fieldPosition="0">
        <references count="25">
          <reference field="1" count="1" selected="0">
            <x v="1"/>
          </reference>
          <reference field="2" count="1" selected="0">
            <x v="65"/>
          </reference>
          <reference field="6" count="1" selected="0">
            <x v="66"/>
          </reference>
          <reference field="13" count="1" selected="0">
            <x v="4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90">
      <pivotArea dataOnly="0" labelOnly="1" outline="0" fieldPosition="0">
        <references count="25">
          <reference field="1" count="1" selected="0">
            <x v="1"/>
          </reference>
          <reference field="2" count="1" selected="0">
            <x v="66"/>
          </reference>
          <reference field="6" count="1" selected="0">
            <x v="69"/>
          </reference>
          <reference field="13" count="1" selected="0">
            <x v="4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89">
      <pivotArea dataOnly="0" labelOnly="1" outline="0" fieldPosition="0">
        <references count="25">
          <reference field="1" count="1" selected="0">
            <x v="1"/>
          </reference>
          <reference field="2" count="1" selected="0">
            <x v="67"/>
          </reference>
          <reference field="6" count="1" selected="0">
            <x v="67"/>
          </reference>
          <reference field="13" count="1" selected="0">
            <x v="2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88">
      <pivotArea dataOnly="0" labelOnly="1" outline="0" fieldPosition="0">
        <references count="25">
          <reference field="1" count="1" selected="0">
            <x v="1"/>
          </reference>
          <reference field="2" count="1" selected="0">
            <x v="68"/>
          </reference>
          <reference field="6" count="1" selected="0">
            <x v="68"/>
          </reference>
          <reference field="13" count="1" selected="0">
            <x v="4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87">
      <pivotArea dataOnly="0" labelOnly="1" outline="0" fieldPosition="0">
        <references count="25">
          <reference field="1" count="1" selected="0">
            <x v="1"/>
          </reference>
          <reference field="2" count="1" selected="0">
            <x v="69"/>
          </reference>
          <reference field="6" count="1" selected="0">
            <x v="71"/>
          </reference>
          <reference field="13" count="1" selected="0">
            <x v="2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86">
      <pivotArea dataOnly="0" labelOnly="1" outline="0" fieldPosition="0">
        <references count="25">
          <reference field="1" count="1" selected="0">
            <x v="1"/>
          </reference>
          <reference field="2" count="1" selected="0">
            <x v="70"/>
          </reference>
          <reference field="6" count="1" selected="0">
            <x v="28"/>
          </reference>
          <reference field="13" count="1" selected="0">
            <x v="7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85">
      <pivotArea dataOnly="0" labelOnly="1" outline="0" fieldPosition="0">
        <references count="25">
          <reference field="1" count="1" selected="0">
            <x v="1"/>
          </reference>
          <reference field="2" count="1" selected="0">
            <x v="71"/>
          </reference>
          <reference field="6" count="1" selected="0">
            <x v="78"/>
          </reference>
          <reference field="13" count="1" selected="0">
            <x v="5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84">
      <pivotArea dataOnly="0" labelOnly="1" outline="0" fieldPosition="0">
        <references count="25">
          <reference field="1" count="1" selected="0">
            <x v="1"/>
          </reference>
          <reference field="2" count="1" selected="0">
            <x v="72"/>
          </reference>
          <reference field="6" count="1" selected="0">
            <x v="79"/>
          </reference>
          <reference field="13" count="1" selected="0">
            <x v="5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83">
      <pivotArea dataOnly="0" labelOnly="1" outline="0" fieldPosition="0">
        <references count="25">
          <reference field="1" count="1" selected="0">
            <x v="1"/>
          </reference>
          <reference field="2" count="1" selected="0">
            <x v="73"/>
          </reference>
          <reference field="6" count="1" selected="0">
            <x v="26"/>
          </reference>
          <reference field="13" count="1" selected="0">
            <x v="10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82">
      <pivotArea dataOnly="0" labelOnly="1" outline="0" fieldPosition="0">
        <references count="25">
          <reference field="1" count="1" selected="0">
            <x v="1"/>
          </reference>
          <reference field="2" count="1" selected="0">
            <x v="74"/>
          </reference>
          <reference field="6" count="1" selected="0">
            <x v="48"/>
          </reference>
          <reference field="13" count="1" selected="0">
            <x v="9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81">
      <pivotArea dataOnly="0" labelOnly="1" outline="0" fieldPosition="0">
        <references count="25">
          <reference field="1" count="1" selected="0">
            <x v="1"/>
          </reference>
          <reference field="2" count="1" selected="0">
            <x v="75"/>
          </reference>
          <reference field="6" count="1" selected="0">
            <x v="27"/>
          </reference>
          <reference field="13" count="1" selected="0">
            <x v="10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80">
      <pivotArea dataOnly="0" labelOnly="1" outline="0" fieldPosition="0">
        <references count="25">
          <reference field="1" count="1" selected="0">
            <x v="1"/>
          </reference>
          <reference field="2" count="1" selected="0">
            <x v="76"/>
          </reference>
          <reference field="6" count="1" selected="0">
            <x v="49"/>
          </reference>
          <reference field="13" count="1" selected="0">
            <x v="9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79">
      <pivotArea dataOnly="0" labelOnly="1" outline="0" fieldPosition="0">
        <references count="25">
          <reference field="1" count="1" selected="0">
            <x v="1"/>
          </reference>
          <reference field="2" count="1" selected="0">
            <x v="77"/>
          </reference>
          <reference field="6" count="1" selected="0">
            <x v="97"/>
          </reference>
          <reference field="13" count="1" selected="0">
            <x v="6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78">
      <pivotArea dataOnly="0" labelOnly="1" outline="0" fieldPosition="0">
        <references count="25">
          <reference field="1" count="1" selected="0">
            <x v="1"/>
          </reference>
          <reference field="2" count="1" selected="0">
            <x v="78"/>
          </reference>
          <reference field="6" count="1" selected="0">
            <x v="98"/>
          </reference>
          <reference field="13" count="1" selected="0">
            <x v="4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77">
      <pivotArea dataOnly="0" labelOnly="1" outline="0" fieldPosition="0">
        <references count="25">
          <reference field="1" count="1" selected="0">
            <x v="1"/>
          </reference>
          <reference field="2" count="1" selected="0">
            <x v="79"/>
          </reference>
          <reference field="6" count="1" selected="0">
            <x v="95"/>
          </reference>
          <reference field="13" count="1" selected="0">
            <x v="6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76">
      <pivotArea dataOnly="0" labelOnly="1" outline="0" fieldPosition="0">
        <references count="25">
          <reference field="1" count="1" selected="0">
            <x v="1"/>
          </reference>
          <reference field="2" count="1" selected="0">
            <x v="80"/>
          </reference>
          <reference field="6" count="1" selected="0">
            <x v="96"/>
          </reference>
          <reference field="13" count="1" selected="0">
            <x v="4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75">
      <pivotArea dataOnly="0" labelOnly="1" outline="0" fieldPosition="0">
        <references count="25">
          <reference field="1" count="1" selected="0">
            <x v="2"/>
          </reference>
          <reference field="2" count="1" selected="0">
            <x v="81"/>
          </reference>
          <reference field="6" count="1" selected="0">
            <x v="46"/>
          </reference>
          <reference field="13" count="1" selected="0">
            <x v="10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74">
      <pivotArea dataOnly="0" labelOnly="1" outline="0" fieldPosition="0">
        <references count="25">
          <reference field="1" count="1" selected="0">
            <x v="2"/>
          </reference>
          <reference field="2" count="1" selected="0">
            <x v="82"/>
          </reference>
          <reference field="6" count="1" selected="0">
            <x v="50"/>
          </reference>
          <reference field="13" count="1" selected="0">
            <x v="5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73">
      <pivotArea dataOnly="0" labelOnly="1" outline="0" fieldPosition="0">
        <references count="25">
          <reference field="1" count="1" selected="0">
            <x v="2"/>
          </reference>
          <reference field="2" count="1" selected="0">
            <x v="83"/>
          </reference>
          <reference field="6" count="1" selected="0">
            <x v="51"/>
          </reference>
          <reference field="13" count="1" selected="0">
            <x v="5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72">
      <pivotArea dataOnly="0" labelOnly="1" outline="0" fieldPosition="0">
        <references count="25">
          <reference field="1" count="1" selected="0">
            <x v="2"/>
          </reference>
          <reference field="2" count="1" selected="0">
            <x v="84"/>
          </reference>
          <reference field="6" count="1" selected="0">
            <x v="52"/>
          </reference>
          <reference field="13" count="1" selected="0">
            <x v="5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71">
      <pivotArea dataOnly="0" labelOnly="1" outline="0" fieldPosition="0">
        <references count="25">
          <reference field="1" count="1" selected="0">
            <x v="2"/>
          </reference>
          <reference field="2" count="1" selected="0">
            <x v="85"/>
          </reference>
          <reference field="6" count="1" selected="0">
            <x v="53"/>
          </reference>
          <reference field="13" count="1" selected="0">
            <x v="5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70">
      <pivotArea dataOnly="0" labelOnly="1" outline="0" fieldPosition="0">
        <references count="25">
          <reference field="1" count="1" selected="0">
            <x v="2"/>
          </reference>
          <reference field="2" count="1" selected="0">
            <x v="86"/>
          </reference>
          <reference field="6" count="1" selected="0">
            <x v="2"/>
          </reference>
          <reference field="13" count="1" selected="0">
            <x v="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69">
      <pivotArea dataOnly="0" labelOnly="1" outline="0" fieldPosition="0">
        <references count="25">
          <reference field="1" count="1" selected="0">
            <x v="2"/>
          </reference>
          <reference field="2" count="1" selected="0">
            <x v="87"/>
          </reference>
          <reference field="6" count="1" selected="0">
            <x v="1"/>
          </reference>
          <reference field="13" count="1" selected="0">
            <x v="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68">
      <pivotArea dataOnly="0" labelOnly="1" outline="0" fieldPosition="0">
        <references count="25">
          <reference field="1" count="1" selected="0">
            <x v="2"/>
          </reference>
          <reference field="2" count="1" selected="0">
            <x v="88"/>
          </reference>
          <reference field="6" count="1" selected="0">
            <x v="103"/>
          </reference>
          <reference field="13" count="1" selected="0">
            <x v="9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67">
      <pivotArea dataOnly="0" labelOnly="1" outline="0" fieldPosition="0">
        <references count="25">
          <reference field="1" count="1" selected="0">
            <x v="2"/>
          </reference>
          <reference field="2" count="1" selected="0">
            <x v="89"/>
          </reference>
          <reference field="6" count="1" selected="0">
            <x v="120"/>
          </reference>
          <reference field="13" count="1" selected="0">
            <x v="9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66">
      <pivotArea dataOnly="0" labelOnly="1" outline="0" fieldPosition="0">
        <references count="25">
          <reference field="1" count="1" selected="0">
            <x v="2"/>
          </reference>
          <reference field="2" count="1" selected="0">
            <x v="90"/>
          </reference>
          <reference field="6" count="1" selected="0">
            <x v="18"/>
          </reference>
          <reference field="13" count="1" selected="0">
            <x v="1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65">
      <pivotArea dataOnly="0" labelOnly="1" outline="0" fieldPosition="0">
        <references count="25">
          <reference field="1" count="1" selected="0">
            <x v="2"/>
          </reference>
          <reference field="2" count="1" selected="0">
            <x v="91"/>
          </reference>
          <reference field="6" count="1" selected="0">
            <x v="119"/>
          </reference>
          <reference field="13" count="1" selected="0">
            <x v="9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64">
      <pivotArea dataOnly="0" labelOnly="1" outline="0" fieldPosition="0">
        <references count="25">
          <reference field="1" count="1" selected="0">
            <x v="2"/>
          </reference>
          <reference field="2" count="1" selected="0">
            <x v="92"/>
          </reference>
          <reference field="6" count="1" selected="0">
            <x v="36"/>
          </reference>
          <reference field="13" count="1" selected="0">
            <x v="9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63">
      <pivotArea dataOnly="0" labelOnly="1" outline="0" fieldPosition="0">
        <references count="25">
          <reference field="1" count="1" selected="0">
            <x v="2"/>
          </reference>
          <reference field="2" count="1" selected="0">
            <x v="93"/>
          </reference>
          <reference field="6" count="1" selected="0">
            <x v="20"/>
          </reference>
          <reference field="13" count="1" selected="0">
            <x v="5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62">
      <pivotArea dataOnly="0" labelOnly="1" outline="0" fieldPosition="0">
        <references count="25">
          <reference field="1" count="1" selected="0">
            <x v="2"/>
          </reference>
          <reference field="2" count="1" selected="0">
            <x v="94"/>
          </reference>
          <reference field="6" count="1" selected="0">
            <x v="34"/>
          </reference>
          <reference field="13" count="1" selected="0">
            <x v="6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61">
      <pivotArea dataOnly="0" labelOnly="1" outline="0" fieldPosition="0">
        <references count="25">
          <reference field="1" count="1" selected="0">
            <x v="2"/>
          </reference>
          <reference field="2" count="1" selected="0">
            <x v="95"/>
          </reference>
          <reference field="6" count="1" selected="0">
            <x v="33"/>
          </reference>
          <reference field="13" count="1" selected="0">
            <x v="5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60">
      <pivotArea dataOnly="0" labelOnly="1" outline="0" fieldPosition="0">
        <references count="25">
          <reference field="1" count="1" selected="0">
            <x v="2"/>
          </reference>
          <reference field="2" count="1" selected="0">
            <x v="96"/>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59">
      <pivotArea dataOnly="0" labelOnly="1" outline="0" fieldPosition="0">
        <references count="25">
          <reference field="1" count="1" selected="0">
            <x v="2"/>
          </reference>
          <reference field="2" count="1" selected="0">
            <x v="97"/>
          </reference>
          <reference field="6" count="1" selected="0">
            <x v="107"/>
          </reference>
          <reference field="13" count="1" selected="0">
            <x v="6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58">
      <pivotArea dataOnly="0" labelOnly="1" outline="0" fieldPosition="0">
        <references count="25">
          <reference field="1" count="1" selected="0">
            <x v="2"/>
          </reference>
          <reference field="2" count="1" selected="0">
            <x v="98"/>
          </reference>
          <reference field="6" count="1" selected="0">
            <x v="37"/>
          </reference>
          <reference field="13" count="1" selected="0">
            <x v="2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57">
      <pivotArea dataOnly="0" labelOnly="1" outline="0" fieldPosition="0">
        <references count="25">
          <reference field="1" count="1" selected="0">
            <x v="2"/>
          </reference>
          <reference field="2" count="1" selected="0">
            <x v="99"/>
          </reference>
          <reference field="6" count="1" selected="0">
            <x v="3"/>
          </reference>
          <reference field="13" count="1" selected="0">
            <x v="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56">
      <pivotArea dataOnly="0" labelOnly="1" outline="0" fieldPosition="0">
        <references count="25">
          <reference field="1" count="1" selected="0">
            <x v="2"/>
          </reference>
          <reference field="2" count="1" selected="0">
            <x v="100"/>
          </reference>
          <reference field="6" count="1" selected="0">
            <x v="5"/>
          </reference>
          <reference field="13" count="1" selected="0">
            <x v="1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55">
      <pivotArea dataOnly="0" labelOnly="1" outline="0" fieldPosition="0">
        <references count="25">
          <reference field="1" count="1" selected="0">
            <x v="2"/>
          </reference>
          <reference field="2" count="1" selected="0">
            <x v="101"/>
          </reference>
          <reference field="6" count="1" selected="0">
            <x v="4"/>
          </reference>
          <reference field="13" count="1" selected="0">
            <x v="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54">
      <pivotArea dataOnly="0" labelOnly="1" outline="0" fieldPosition="0">
        <references count="25">
          <reference field="1" count="1" selected="0">
            <x v="2"/>
          </reference>
          <reference field="2" count="1" selected="0">
            <x v="102"/>
          </reference>
          <reference field="6" count="1" selected="0">
            <x v="16"/>
          </reference>
          <reference field="13" count="1" selected="0">
            <x v="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53">
      <pivotArea dataOnly="0" labelOnly="1" outline="0" fieldPosition="0">
        <references count="25">
          <reference field="1" count="1" selected="0">
            <x v="2"/>
          </reference>
          <reference field="2" count="1" selected="0">
            <x v="103"/>
          </reference>
          <reference field="6" count="1" selected="0">
            <x v="102"/>
          </reference>
          <reference field="13" count="1" selected="0">
            <x v="5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52">
      <pivotArea dataOnly="0" labelOnly="1" outline="0" fieldPosition="0">
        <references count="25">
          <reference field="1" count="1" selected="0">
            <x v="2"/>
          </reference>
          <reference field="2" count="1" selected="0">
            <x v="104"/>
          </reference>
          <reference field="6" count="1" selected="0">
            <x v="55"/>
          </reference>
          <reference field="13" count="1" selected="0">
            <x v="2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51">
      <pivotArea dataOnly="0" labelOnly="1" outline="0" fieldPosition="0">
        <references count="25">
          <reference field="1" count="1" selected="0">
            <x v="2"/>
          </reference>
          <reference field="2" count="1" selected="0">
            <x v="105"/>
          </reference>
          <reference field="6" count="1" selected="0">
            <x v="74"/>
          </reference>
          <reference field="13" count="1" selected="0">
            <x v="3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50">
      <pivotArea dataOnly="0" labelOnly="1" outline="0" fieldPosition="0">
        <references count="25">
          <reference field="1" count="1" selected="0">
            <x v="2"/>
          </reference>
          <reference field="2" count="1" selected="0">
            <x v="106"/>
          </reference>
          <reference field="6" count="1" selected="0">
            <x v="87"/>
          </reference>
          <reference field="13" count="1" selected="0">
            <x v="10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49">
      <pivotArea dataOnly="0" labelOnly="1" outline="0" fieldPosition="0">
        <references count="25">
          <reference field="1" count="1" selected="0">
            <x v="2"/>
          </reference>
          <reference field="2" count="1" selected="0">
            <x v="107"/>
          </reference>
          <reference field="6" count="1" selected="0">
            <x v="76"/>
          </reference>
          <reference field="13" count="1" selected="0">
            <x v="4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48">
      <pivotArea dataOnly="0" labelOnly="1" outline="0" fieldPosition="0">
        <references count="25">
          <reference field="1" count="1" selected="0">
            <x v="2"/>
          </reference>
          <reference field="2" count="1" selected="0">
            <x v="108"/>
          </reference>
          <reference field="6" count="1" selected="0">
            <x v="0"/>
          </reference>
          <reference field="13" count="1" selected="0">
            <x v="1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47">
      <pivotArea dataOnly="0" labelOnly="1" outline="0" fieldPosition="0">
        <references count="25">
          <reference field="1" count="1" selected="0">
            <x v="2"/>
          </reference>
          <reference field="2" count="1" selected="0">
            <x v="109"/>
          </reference>
          <reference field="6" count="1" selected="0">
            <x v="32"/>
          </reference>
          <reference field="13" count="1" selected="0">
            <x v="1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46">
      <pivotArea dataOnly="0" labelOnly="1" outline="0" fieldPosition="0">
        <references count="25">
          <reference field="1" count="1" selected="0">
            <x v="2"/>
          </reference>
          <reference field="2" count="1" selected="0">
            <x v="110"/>
          </reference>
          <reference field="6" count="1" selected="0">
            <x v="32"/>
          </reference>
          <reference field="13" count="1" selected="0">
            <x v="19"/>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45">
      <pivotArea dataOnly="0" labelOnly="1" outline="0" fieldPosition="0">
        <references count="25">
          <reference field="1" count="1" selected="0">
            <x v="2"/>
          </reference>
          <reference field="2" count="1" selected="0">
            <x v="111"/>
          </reference>
          <reference field="6" count="1" selected="0">
            <x v="60"/>
          </reference>
          <reference field="13" count="1" selected="0">
            <x v="2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44">
      <pivotArea dataOnly="0" labelOnly="1" outline="0" fieldPosition="0">
        <references count="25">
          <reference field="1" count="1" selected="0">
            <x v="2"/>
          </reference>
          <reference field="2" count="1" selected="0">
            <x v="112"/>
          </reference>
          <reference field="6" count="1" selected="0">
            <x v="10"/>
          </reference>
          <reference field="13" count="1" selected="0">
            <x v="1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43">
      <pivotArea dataOnly="0" labelOnly="1" outline="0" fieldPosition="0">
        <references count="25">
          <reference field="1" count="1" selected="0">
            <x v="2"/>
          </reference>
          <reference field="2" count="1" selected="0">
            <x v="113"/>
          </reference>
          <reference field="6" count="1" selected="0">
            <x v="42"/>
          </reference>
          <reference field="13" count="1" selected="0">
            <x v="1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42">
      <pivotArea dataOnly="0" labelOnly="1" outline="0" fieldPosition="0">
        <references count="25">
          <reference field="1" count="1" selected="0">
            <x v="2"/>
          </reference>
          <reference field="2" count="1" selected="0">
            <x v="114"/>
          </reference>
          <reference field="6" count="1" selected="0">
            <x v="45"/>
          </reference>
          <reference field="13" count="1" selected="0">
            <x v="10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41">
      <pivotArea dataOnly="0" labelOnly="1" outline="0" fieldPosition="0">
        <references count="25">
          <reference field="1" count="1" selected="0">
            <x v="2"/>
          </reference>
          <reference field="2" count="1" selected="0">
            <x v="115"/>
          </reference>
          <reference field="6" count="1" selected="0">
            <x v="104"/>
          </reference>
          <reference field="13" count="1" selected="0">
            <x v="4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40">
      <pivotArea dataOnly="0" labelOnly="1" outline="0" fieldPosition="0">
        <references count="25">
          <reference field="1" count="1" selected="0">
            <x v="2"/>
          </reference>
          <reference field="2" count="1" selected="0">
            <x v="116"/>
          </reference>
          <reference field="6" count="1" selected="0">
            <x v="35"/>
          </reference>
          <reference field="13" count="1" selected="0">
            <x v="2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39">
      <pivotArea dataOnly="0" labelOnly="1" outline="0" fieldPosition="0">
        <references count="25">
          <reference field="1" count="1" selected="0">
            <x v="2"/>
          </reference>
          <reference field="2" count="1" selected="0">
            <x v="117"/>
          </reference>
          <reference field="6" count="1" selected="0">
            <x v="14"/>
          </reference>
          <reference field="13" count="1" selected="0">
            <x v="2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38">
      <pivotArea dataOnly="0" labelOnly="1" outline="0" fieldPosition="0">
        <references count="25">
          <reference field="1" count="1" selected="0">
            <x v="2"/>
          </reference>
          <reference field="2" count="1" selected="0">
            <x v="118"/>
          </reference>
          <reference field="6" count="1" selected="0">
            <x v="72"/>
          </reference>
          <reference field="13" count="1" selected="0">
            <x v="2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37">
      <pivotArea dataOnly="0" labelOnly="1" outline="0" fieldPosition="0">
        <references count="25">
          <reference field="1" count="1" selected="0">
            <x v="2"/>
          </reference>
          <reference field="2" count="1" selected="0">
            <x v="119"/>
          </reference>
          <reference field="6" count="1" selected="0">
            <x v="72"/>
          </reference>
          <reference field="13" count="1" selected="0">
            <x v="2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36">
      <pivotArea dataOnly="0" labelOnly="1" outline="0" fieldPosition="0">
        <references count="25">
          <reference field="1" count="1" selected="0">
            <x v="2"/>
          </reference>
          <reference field="2" count="1" selected="0">
            <x v="120"/>
          </reference>
          <reference field="6" count="1" selected="0">
            <x v="82"/>
          </reference>
          <reference field="13" count="1" selected="0">
            <x v="66"/>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35">
      <pivotArea dataOnly="0" labelOnly="1" outline="0" fieldPosition="0">
        <references count="25">
          <reference field="1" count="1" selected="0">
            <x v="2"/>
          </reference>
          <reference field="2" count="1" selected="0">
            <x v="121"/>
          </reference>
          <reference field="6" count="1" selected="0">
            <x v="39"/>
          </reference>
          <reference field="13" count="1" selected="0">
            <x v="6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34">
      <pivotArea dataOnly="0" labelOnly="1" outline="0" fieldPosition="0">
        <references count="25">
          <reference field="1" count="1" selected="0">
            <x v="2"/>
          </reference>
          <reference field="2" count="1" selected="0">
            <x v="122"/>
          </reference>
          <reference field="6" count="1" selected="0">
            <x v="38"/>
          </reference>
          <reference field="13" count="1" selected="0">
            <x v="2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33">
      <pivotArea dataOnly="0" labelOnly="1" outline="0" fieldPosition="0">
        <references count="25">
          <reference field="1" count="1" selected="0">
            <x v="2"/>
          </reference>
          <reference field="2" count="1" selected="0">
            <x v="123"/>
          </reference>
          <reference field="6" count="1" selected="0">
            <x v="81"/>
          </reference>
          <reference field="13" count="1" selected="0">
            <x v="9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32">
      <pivotArea dataOnly="0" labelOnly="1" outline="0" fieldPosition="0">
        <references count="25">
          <reference field="1" count="1" selected="0">
            <x v="2"/>
          </reference>
          <reference field="2" count="1" selected="0">
            <x v="124"/>
          </reference>
          <reference field="6" count="1" selected="0">
            <x v="30"/>
          </reference>
          <reference field="13" count="1" selected="0">
            <x v="91"/>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31">
      <pivotArea dataOnly="0" labelOnly="1" outline="0" fieldPosition="0">
        <references count="25">
          <reference field="1" count="1" selected="0">
            <x v="2"/>
          </reference>
          <reference field="2" count="1" selected="0">
            <x v="125"/>
          </reference>
          <reference field="6" count="1" selected="0">
            <x v="31"/>
          </reference>
          <reference field="13" count="1" selected="0">
            <x v="1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30">
      <pivotArea dataOnly="0" labelOnly="1" outline="0" fieldPosition="0">
        <references count="25">
          <reference field="1" count="1" selected="0">
            <x v="2"/>
          </reference>
          <reference field="2" count="1" selected="0">
            <x v="126"/>
          </reference>
          <reference field="6" count="1" selected="0">
            <x v="40"/>
          </reference>
          <reference field="13" count="1" selected="0">
            <x v="6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29">
      <pivotArea dataOnly="0" labelOnly="1" outline="0" fieldPosition="0">
        <references count="25">
          <reference field="1" count="1" selected="0">
            <x v="2"/>
          </reference>
          <reference field="2" count="1" selected="0">
            <x v="127"/>
          </reference>
          <reference field="6" count="1" selected="0">
            <x v="84"/>
          </reference>
          <reference field="13" count="1" selected="0">
            <x v="6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28">
      <pivotArea dataOnly="0" labelOnly="1" outline="0" fieldPosition="0">
        <references count="25">
          <reference field="1" count="1" selected="0">
            <x v="2"/>
          </reference>
          <reference field="2" count="1" selected="0">
            <x v="128"/>
          </reference>
          <reference field="6" count="1" selected="0">
            <x v="90"/>
          </reference>
          <reference field="13" count="1" selected="0">
            <x v="3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27">
      <pivotArea dataOnly="0" labelOnly="1" outline="0" fieldPosition="0">
        <references count="25">
          <reference field="1" count="1" selected="0">
            <x v="3"/>
          </reference>
          <reference field="2" count="1" selected="0">
            <x v="129"/>
          </reference>
          <reference field="6" count="1" selected="0">
            <x v="100"/>
          </reference>
          <reference field="13" count="1" selected="0">
            <x v="85"/>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26">
      <pivotArea dataOnly="0" labelOnly="1" outline="0" fieldPosition="0">
        <references count="25">
          <reference field="1" count="1" selected="0">
            <x v="3"/>
          </reference>
          <reference field="2" count="1" selected="0">
            <x v="130"/>
          </reference>
          <reference field="6" count="1" selected="0">
            <x v="101"/>
          </reference>
          <reference field="13" count="1" selected="0">
            <x v="30"/>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25">
      <pivotArea dataOnly="0" labelOnly="1" outline="0" fieldPosition="0">
        <references count="25">
          <reference field="1" count="1" selected="0">
            <x v="3"/>
          </reference>
          <reference field="2" count="1" selected="0">
            <x v="131"/>
          </reference>
          <reference field="6" count="1" selected="0">
            <x v="86"/>
          </reference>
          <reference field="13" count="1" selected="0">
            <x v="9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24">
      <pivotArea dataOnly="0" labelOnly="1" outline="0" fieldPosition="0">
        <references count="25">
          <reference field="1" count="1" selected="0">
            <x v="3"/>
          </reference>
          <reference field="2" count="1" selected="0">
            <x v="132"/>
          </reference>
          <reference field="6" count="1" selected="0">
            <x v="85"/>
          </reference>
          <reference field="13" count="1" selected="0">
            <x v="64"/>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23">
      <pivotArea dataOnly="0" labelOnly="1" outline="0" fieldPosition="0">
        <references count="25">
          <reference field="1" count="1" selected="0">
            <x v="4"/>
          </reference>
          <reference field="2" count="1" selected="0">
            <x v="7"/>
          </reference>
          <reference field="6" count="1" selected="0">
            <x v="23"/>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22">
      <pivotArea dataOnly="0" labelOnly="1" outline="0" fieldPosition="0">
        <references count="25">
          <reference field="1" count="1" selected="0">
            <x v="4"/>
          </reference>
          <reference field="2" count="1" selected="0">
            <x v="29"/>
          </reference>
          <reference field="6" count="1" selected="0">
            <x v="41"/>
          </reference>
          <reference field="13" count="1" selected="0">
            <x v="107"/>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21">
      <pivotArea dataOnly="0" labelOnly="1" outline="0" fieldPosition="0">
        <references count="25">
          <reference field="1" count="1" selected="0">
            <x v="4"/>
          </reference>
          <reference field="2" count="1" selected="0">
            <x v="30"/>
          </reference>
          <reference field="6" count="1" selected="0">
            <x v="43"/>
          </reference>
          <reference field="13" count="1" selected="0">
            <x v="23"/>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20">
      <pivotArea dataOnly="0" labelOnly="1" outline="0" fieldPosition="0">
        <references count="25">
          <reference field="1" count="1" selected="0">
            <x v="4"/>
          </reference>
          <reference field="2" count="1" selected="0">
            <x v="31"/>
          </reference>
          <reference field="6" count="1" selected="0">
            <x v="78"/>
          </reference>
          <reference field="13" count="1" selected="0">
            <x v="58"/>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19">
      <pivotArea dataOnly="0" labelOnly="1" outline="0" fieldPosition="0">
        <references count="25">
          <reference field="1" count="1" selected="0">
            <x v="4"/>
          </reference>
          <reference field="2" count="1" selected="0">
            <x v="51"/>
          </reference>
          <reference field="6" count="1" selected="0">
            <x v="99"/>
          </reference>
          <reference field="13" count="1" selected="0">
            <x v="112"/>
          </reference>
          <reference field="23" count="1" selected="0">
            <x v="1"/>
          </reference>
          <reference field="24" count="1" selected="0">
            <x v="1"/>
          </reference>
          <reference field="25" count="1" selected="0">
            <x v="1"/>
          </reference>
          <reference field="26" count="1" selected="0">
            <x v="1"/>
          </reference>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selected="0"/>
          <reference field="38" count="0" selected="0"/>
          <reference field="39" count="0" selected="0"/>
          <reference field="40" count="0" selected="0"/>
          <reference field="41" count="0" selected="0"/>
          <reference field="42" count="0" selected="0"/>
          <reference field="43" count="0"/>
        </references>
      </pivotArea>
    </format>
    <format dxfId="218">
      <pivotArea field="23" type="button" dataOnly="0" labelOnly="1" outline="0" axis="axisRow" fieldPosition="4"/>
    </format>
    <format dxfId="217">
      <pivotArea field="24" type="button" dataOnly="0" labelOnly="1" outline="0" axis="axisRow" fieldPosition="5"/>
    </format>
    <format dxfId="216">
      <pivotArea field="25" type="button" dataOnly="0" labelOnly="1" outline="0" axis="axisRow" fieldPosition="6"/>
    </format>
    <format dxfId="215">
      <pivotArea field="26" type="button" dataOnly="0" labelOnly="1" outline="0" axis="axisRow" fieldPosition="7"/>
    </format>
    <format dxfId="214">
      <pivotArea field="27" type="button" dataOnly="0" labelOnly="1" outline="0" axis="axisRow" fieldPosition="8"/>
    </format>
    <format dxfId="213">
      <pivotArea field="28" type="button" dataOnly="0" labelOnly="1" outline="0" axis="axisRow" fieldPosition="9"/>
    </format>
    <format dxfId="212">
      <pivotArea field="29" type="button" dataOnly="0" labelOnly="1" outline="0" axis="axisRow" fieldPosition="10"/>
    </format>
    <format dxfId="211">
      <pivotArea field="30" type="button" dataOnly="0" labelOnly="1" outline="0" axis="axisRow" fieldPosition="11"/>
    </format>
    <format dxfId="210">
      <pivotArea field="31" type="button" dataOnly="0" labelOnly="1" outline="0" axis="axisRow" fieldPosition="12"/>
    </format>
    <format dxfId="209">
      <pivotArea field="32" type="button" dataOnly="0" labelOnly="1" outline="0" axis="axisRow" fieldPosition="13"/>
    </format>
    <format dxfId="208">
      <pivotArea field="33" type="button" dataOnly="0" labelOnly="1" outline="0" axis="axisRow" fieldPosition="14"/>
    </format>
    <format dxfId="207">
      <pivotArea field="34" type="button" dataOnly="0" labelOnly="1" outline="0" axis="axisRow" fieldPosition="15"/>
    </format>
    <format dxfId="206">
      <pivotArea field="35" type="button" dataOnly="0" labelOnly="1" outline="0" axis="axisRow" fieldPosition="16"/>
    </format>
    <format dxfId="205">
      <pivotArea field="36" type="button" dataOnly="0" labelOnly="1" outline="0" axis="axisRow" fieldPosition="17"/>
    </format>
    <format dxfId="204">
      <pivotArea field="37" type="button" dataOnly="0" labelOnly="1" outline="0" axis="axisRow" fieldPosition="18"/>
    </format>
    <format dxfId="203">
      <pivotArea field="38" type="button" dataOnly="0" labelOnly="1" outline="0" axis="axisRow" fieldPosition="19"/>
    </format>
    <format dxfId="202">
      <pivotArea field="39" type="button" dataOnly="0" labelOnly="1" outline="0" axis="axisRow" fieldPosition="20"/>
    </format>
    <format dxfId="201">
      <pivotArea field="40" type="button" dataOnly="0" labelOnly="1" outline="0" axis="axisRow" fieldPosition="21"/>
    </format>
    <format dxfId="200">
      <pivotArea field="41" type="button" dataOnly="0" labelOnly="1" outline="0" axis="axisRow" fieldPosition="22"/>
    </format>
    <format dxfId="199">
      <pivotArea field="42" type="button" dataOnly="0" labelOnly="1" outline="0" axis="axisRow" fieldPosition="23"/>
    </format>
    <format dxfId="198">
      <pivotArea field="43" type="button" dataOnly="0" labelOnly="1" outline="0" axis="axisRow" fieldPosition="24"/>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30E1CE73-541F-449D-864F-002600DB101F}" name="Table180" displayName="Table180" ref="A1:B5" totalsRowShown="0">
  <autoFilter ref="A1:B5" xr:uid="{30E1CE73-541F-449D-864F-002600DB101F}"/>
  <tableColumns count="2">
    <tableColumn id="1" xr3:uid="{2F0E00D7-3E01-4602-8D21-332BEB110D3F}" name="Worksheet Name"/>
    <tableColumn id="2" xr3:uid="{6BC4DAF2-CE8C-440C-B029-4F4D5024B39F}" name="Usag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144815-185F-4B28-81FA-6FECC428B3AF}" name="Table1" displayName="Table1" ref="A2:BH160" totalsRowShown="0" headerRowDxfId="197" dataDxfId="195" headerRowBorderDxfId="196" tableBorderDxfId="194" totalsRowBorderDxfId="193">
  <tableColumns count="60">
    <tableColumn id="1" xr3:uid="{B25FEF56-B1DD-4BA2-8B53-426CEA7C1982}" name="Source Tab" dataDxfId="192"/>
    <tableColumn id="16" xr3:uid="{2FA0E169-5002-46FD-9072-40E4B6F830A0}" name="Primary Reviewer" dataDxfId="191"/>
    <tableColumn id="30" xr3:uid="{B4B73C9D-F0EC-4CA1-AB58-B8CDD6C51497}" name="Op Model Step" dataDxfId="190"/>
    <tableColumn id="48" xr3:uid="{A48E4CBE-51E8-472B-9726-2E146B62FF66}" name="1st Lifecycle Step Name" dataDxfId="189"/>
    <tableColumn id="49" xr3:uid="{8D5D0511-BE22-4F8E-BBEA-837AE094DD46}" name="Section Name" dataDxfId="188"/>
    <tableColumn id="50" xr3:uid="{6491C6D8-2654-4A34-9E17-9B369BD5FBB0}" name="Lifecycle Screen User Role" dataDxfId="187"/>
    <tableColumn id="2" xr3:uid="{22746B23-3DEE-437E-9EB3-4A7502C05DDC}" name="Lifecycle Stage" dataDxfId="186"/>
    <tableColumn id="46" xr3:uid="{A116A162-6860-4751-89D9-40971A824073}" name="Order" dataDxfId="185"/>
    <tableColumn id="3" xr3:uid="{DD6FF284-094D-4241-AA69-5C31B4646845}" name="Source Demand Type" dataDxfId="184"/>
    <tableColumn id="4" xr3:uid="{0FD60C8F-43FC-4929-9CAD-98E34BC16DEA}" name="Target Demand Type" dataDxfId="183"/>
    <tableColumn id="5" xr3:uid="{E4FB86A7-987B-44FE-BE26-125136BB1709}" name="Target Entity" dataDxfId="182"/>
    <tableColumn id="63" xr3:uid="{6E365A9F-1707-42AB-B232-A012B9548B38}" name="Entity|ID" dataDxfId="181">
      <calculatedColumnFormula>_xlfn.TEXTJOIN("|",FALSE,Table1[[#This Row],[Target Entity]],Table1[[#This Row],[Target DEV SB ID]])</calculatedColumnFormula>
    </tableColumn>
    <tableColumn id="6" xr3:uid="{4454BA65-91B1-4F8F-BE7A-447711A39C0F}" name="Target Field Name" dataDxfId="180"/>
    <tableColumn id="20" xr3:uid="{DA8E073E-0818-4979-AC39-9415619576FE}" name="Configuration Status" dataDxfId="179"/>
    <tableColumn id="21" xr3:uid="{C4652B7A-588C-4FF9-985F-8500AB32F4CB}" name="Change Control Comments" dataDxfId="178"/>
    <tableColumn id="51" xr3:uid="{621480F9-B36E-43B2-9F86-56B9E57E2D63}" name="Notes/Comments" dataDxfId="177"/>
    <tableColumn id="52" xr3:uid="{6A34395F-B1A6-41F7-BEF4-0C1A3388648C}" name="Current Attribute in FDXPROD?" dataDxfId="176"/>
    <tableColumn id="53" xr3:uid="{361855C8-CBC0-48DA-9003-D5FAC03C35E8}" name="Current Attribute in FDXSANDBOXA?" dataDxfId="175"/>
    <tableColumn id="8" xr3:uid="{A5427994-8FF3-4CFD-B46D-BBDE7E8E32DE}" name="Source PROD ID" dataDxfId="174"/>
    <tableColumn id="54" xr3:uid="{05A4421E-0FEF-4930-A739-9BF04548B8F3}" name="FDXSANDBOXA ID" dataDxfId="173"/>
    <tableColumn id="10" xr3:uid="{0B58DEC3-A3F6-420A-B0EA-709F5F0B3AFB}" name="Target DEV SB ID" dataDxfId="172"/>
    <tableColumn id="18" xr3:uid="{23BCD5A4-6AB0-420D-B1BE-6FDB283A7D48}" name="Data Migration Comments" dataDxfId="171"/>
    <tableColumn id="9" xr3:uid="{809CDD16-1577-4DBD-8EB8-7E8C74FF8FAF}" name="Prod Source field name" dataDxfId="170">
      <calculatedColumnFormula>_xlfn.XLOOKUP(Table1[[#This Row],[Source PROD ID]],Prod_fields[ID],Prod_fields[Attribute Name],"0-Not Found",0,1)</calculatedColumnFormula>
    </tableColumn>
    <tableColumn id="15" xr3:uid="{62384206-262D-4FA9-90DE-8E5E66BDCF2B}" name="New instance Target field name" dataDxfId="169">
      <calculatedColumnFormula>_xlfn.XLOOKUP(Table1[[#This Row],[Target DEV SB ID]],New_fields[ID],New_fields[Attribute Name],"0-Not Found",0,1)</calculatedColumnFormula>
    </tableColumn>
    <tableColumn id="17" xr3:uid="{8D52B862-A71B-4EBA-A34A-D7B674A22C38}" name="Field names Match (prod to new)?" dataDxfId="168">
      <calculatedColumnFormula>Table1[[#This Row],[Prod Source field name]]=Table1[[#This Row],[New instance Target field name]]</calculatedColumnFormula>
    </tableColumn>
    <tableColumn id="22" xr3:uid="{892CF9B2-0A1A-41B5-B44E-AA0FC0DFEF41}" name="Field names Match (Requirement to config)?" dataDxfId="167">
      <calculatedColumnFormula>Table1[[#This Row],[Target Field Name]]=Table1[[#This Row],[New instance Target field name]]</calculatedColumnFormula>
    </tableColumn>
    <tableColumn id="11" xr3:uid="{545BB2F7-746E-4A51-AF13-25CBA1A270A9}" name="Type" dataDxfId="166"/>
    <tableColumn id="55" xr3:uid="{9143B1EE-0019-4A1E-AFDE-36AAD82DE341}" name="Value Type" dataDxfId="165"/>
    <tableColumn id="12" xr3:uid="{1B2BE492-5996-48AB-89A6-4195C252C505}" name="Selection Type" dataDxfId="164"/>
    <tableColumn id="13" xr3:uid="{2F1030CC-E1FA-47AC-B6A3-10901C7D60E4}" name="Has Dropdown" dataDxfId="163"/>
    <tableColumn id="19" xr3:uid="{E2984B73-2E64-4D3C-AD52-756BF15DEEE0}" name="Values" dataDxfId="162"/>
    <tableColumn id="56" xr3:uid="{1A03DE46-11B6-44C1-9E43-3B6954BABAB8}" name="Hover Text or Static Text " dataDxfId="161"/>
    <tableColumn id="57" xr3:uid="{C9DF71B6-7C32-4CA7-B9C7-C6967E5F7A87}" name="Options (Req./RO/Opt.)" dataDxfId="160"/>
    <tableColumn id="58" xr3:uid="{A76C670D-FC7F-4646-ABDA-254942EB1A56}" name="Editable After Submission" dataDxfId="159"/>
    <tableColumn id="59" xr3:uid="{841FF0C6-6F24-44D1-8BA0-567AFF27D5FE}" name="Permission Options" dataDxfId="158"/>
    <tableColumn id="60" xr3:uid="{BEFF9933-915A-43F3-B256-F169F775A04C}" name="Restrict Permissions Forwarding" dataDxfId="157"/>
    <tableColumn id="61" xr3:uid="{99316924-996A-4558-A713-6F3DA32CA361}" name="Needed in Roadmaps?" dataDxfId="156"/>
    <tableColumn id="14" xr3:uid="{9BB0EE37-D760-46DA-ACAD-81AACA991B37}" name="Entity_Flag_Manual_Review" dataDxfId="155"/>
    <tableColumn id="23" xr3:uid="{CFADBE59-B67E-4C3F-9FE2-0A670E78B842}" name="Work - Add New" dataDxfId="154"/>
    <tableColumn id="24" xr3:uid="{917CC343-E942-40A9-8727-13A5E086EAC8}" name="Add New Request Information" dataDxfId="153"/>
    <tableColumn id="25" xr3:uid="{1EACE4AD-C098-4784-B546-9131F5E54AE5}" name="Business Continuity Assessment" dataDxfId="152"/>
    <tableColumn id="26" xr3:uid="{2BF1A4FB-1F4A-4965-935E-6B4EAEF9A721}" name="Problem Opportunity Statement" dataDxfId="151"/>
    <tableColumn id="27" xr3:uid="{3B8A0A39-5B98-4181-A450-EEE8E9BC2AD3}" name="Triage Validation" dataDxfId="150"/>
    <tableColumn id="28" xr3:uid="{BE0F980A-E3EE-429F-B2A5-5A327E914591}" name="Request Approval" dataDxfId="149"/>
    <tableColumn id="29" xr3:uid="{F664CE6F-B3C0-458E-822B-9CA87C01FE9C}" name="Move Work and Assign Roles and Responsibilities" dataDxfId="148"/>
    <tableColumn id="31" xr3:uid="{8BDBEE20-5FFA-461F-AFEC-7639142EB079}" name="Architecture Alignment" dataDxfId="147"/>
    <tableColumn id="32" xr3:uid="{DD50F00B-7BCD-40A8-B610-4FCC24087C6F}" name="Certified Business Case" dataDxfId="146"/>
    <tableColumn id="33" xr3:uid="{EF49C2E7-74D6-4B88-942E-131F2EEB2358}" name="SL3 EPG Approval" dataDxfId="145"/>
    <tableColumn id="34" xr3:uid="{232CE358-AC4D-4CF8-80B2-24C66A1D91C2}" name="SL3 Finance Approval" dataDxfId="144"/>
    <tableColumn id="35" xr3:uid="{6CACD392-564D-4AA3-946F-436E966795C2}" name="Demand Bundle Decomp and Conceptual Architecture" dataDxfId="143"/>
    <tableColumn id="36" xr3:uid="{87C44DD3-A763-4185-95B9-ACA15FF8F439}" name="Detailed Milestone Refinement" dataDxfId="142"/>
    <tableColumn id="37" xr3:uid="{9F385C2A-11F4-4285-A40C-923B6A255DF5}" name="EPM Quality Check 1" dataDxfId="141"/>
    <tableColumn id="38" xr3:uid="{46DDF0EE-EB88-4732-80DE-08E4F8A704FE}" name="Revised Implementation Plan/Sequence Delivery" dataDxfId="140"/>
    <tableColumn id="39" xr3:uid="{EAD90827-CAC1-4FEA-84A7-73E7C93041B8}" name="Epic Approval" dataDxfId="139"/>
    <tableColumn id="40" xr3:uid="{8785DC40-0FFC-46B4-A551-E5A2BFCC91E0}" name="L3 Epic Solutioning" dataDxfId="138"/>
    <tableColumn id="41" xr3:uid="{F3697AA3-4A94-4BAE-9407-17AA3702E5F2}" name="L3 D&amp;T Costing" dataDxfId="137"/>
    <tableColumn id="42" xr3:uid="{420B2D37-8131-4F5D-A891-CAFF808A601C}" name="EPM Quality Check 2" dataDxfId="136"/>
    <tableColumn id="43" xr3:uid="{A49E172A-FCFD-443B-BE23-06F8302CEC42}" name="L3: Execute and Release" dataDxfId="135"/>
    <tableColumn id="44" xr3:uid="{D6AE5052-7E9B-407F-8494-3E22364AF670}" name="SL4 Close Demand Bundle Business Finance Approval" dataDxfId="134"/>
    <tableColumn id="45" xr3:uid="{4B1CA93C-6605-4B90-A18F-1A113D5ABD67}" name="Evaluate Outcome Achievement" dataDxfId="13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51F71573-EE5D-4352-9706-500F4F7E0DC1}" name="VAL_Work_Type" displayName="VAL_Work_Type" ref="C3:C6" totalsRowShown="0">
  <autoFilter ref="C3:C6" xr:uid="{9343B851-E1D0-4194-9B5A-5A697D284E66}"/>
  <tableColumns count="1">
    <tableColumn id="1" xr3:uid="{FD8DA20E-FFD6-42F5-B5F0-E8C57E0F2436}" name="Work Typ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3F7F2335-DEAB-4C7A-9D2A-6DF91604D36C}" name="Map_Work_Type" displayName="Map_Work_Type" ref="E3:F6" totalsRowShown="0">
  <autoFilter ref="E3:F6" xr:uid="{25AB5131-477C-4A74-A2FE-5C65EF89D8AA}"/>
  <tableColumns count="2">
    <tableColumn id="1" xr3:uid="{226E9438-1E5C-4598-B1F3-33858AD222EE}" name="Work Type - Legacy"/>
    <tableColumn id="2" xr3:uid="{43C63349-89F0-4C32-BF4C-814A30137B1D}" name="Work Type - New"/>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A5D0C39D-E12E-4775-A577-224454777B99}" name="VAL_Strategic_Program" displayName="VAL_Strategic_Program" ref="H3:H6" totalsRowShown="0">
  <autoFilter ref="H3:H6" xr:uid="{943CC88C-3AD3-43C5-9899-8BECE73EA3D4}"/>
  <tableColumns count="1">
    <tableColumn id="1" xr3:uid="{7E4CF865-65D3-4111-A275-125E4DF29E8B}" name="Does this request support a DRIVE strategic program?"/>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A54A772-FEB1-4EAD-ADEB-82A5797E40DA}" name="VAL_Limited_Visibility" displayName="VAL_Limited_Visibility" ref="N3:N7" totalsRowShown="0">
  <autoFilter ref="N3:N7" xr:uid="{52BCB47D-42C5-4EAE-AF31-65FD7DCB1249}"/>
  <tableColumns count="1">
    <tableColumn id="1" xr3:uid="{0B9A5722-BD58-4592-ADE7-E61E6514E048}" name="Does this require Limited Visibility?"/>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5DD2C995-FCC2-44C3-A7F2-9B7C49ED8945}" name="Map_Limited_Visibility" displayName="Map_Limited_Visibility" ref="P3:Q6" totalsRowShown="0">
  <autoFilter ref="P3:Q6" xr:uid="{72F011F1-8681-4595-A2B4-69275CCDCE99}"/>
  <tableColumns count="2">
    <tableColumn id="1" xr3:uid="{AFDB34EA-ABE3-4C81-AFB4-505AF54E9609}" name="Is this confidential?"/>
    <tableColumn id="2" xr3:uid="{1413C1EE-C020-4C94-8FE1-3DC72B49B4B2}" name="Does this require Limited Visibility?"/>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78ECA76-22B4-4521-8945-72E8DD84ADF2}" name="VAL_Strategic_Program108" displayName="VAL_Strategic_Program108" ref="J3:L6" totalsRowShown="0">
  <autoFilter ref="J3:L6" xr:uid="{078ECA76-22B4-4521-8945-72E8DD84ADF2}"/>
  <tableColumns count="3">
    <tableColumn id="2" xr3:uid="{986FF2B0-1F85-4383-9D48-63934569FC44}" name="Source System??"/>
    <tableColumn id="3" xr3:uid="{74D20BE8-EA39-422D-B536-965FC3073FBB}" name="Other attribute???"/>
    <tableColumn id="1" xr3:uid="{9FC08E31-EA27-492C-BE1B-FBE037D9DA4E}" name="Does this request support a DRIVE strategic program?"/>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B04E4E7A-5E1D-4AFB-A9DB-C8E98F18C1CA}" name="VAL_Config_Status" displayName="VAL_Config_Status" ref="A3:A15" totalsRowShown="0">
  <autoFilter ref="A3:A15" xr:uid="{B04E4E7A-5E1D-4AFB-A9DB-C8E98F18C1CA}"/>
  <tableColumns count="1">
    <tableColumn id="1" xr3:uid="{3B6317E3-9C43-4D5E-82A9-A7B16F4135A6}" name="Config Statu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E9B76AA-C535-426A-83FB-C431514ED9E5}" name="VAL_Business_Demand" displayName="VAL_Business_Demand" ref="S3:S5" totalsRowShown="0">
  <autoFilter ref="S3:S5" xr:uid="{0E9B76AA-C535-426A-83FB-C431514ED9E5}"/>
  <tableColumns count="1">
    <tableColumn id="1" xr3:uid="{6202B3EC-9026-405F-9762-6C991D2BBCBF}" name="Is this demand Business Only?"/>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D9CB7697-4EE7-44CF-B5FF-41D96D0FAE12}" name="VAL_wbs147_d_t" displayName="VAL_wbs147_d_t" ref="U3:U5" totalsRowShown="0">
  <autoFilter ref="U3:U5" xr:uid="{D9CB7697-4EE7-44CF-B5FF-41D96D0FAE12}"/>
  <tableColumns count="1">
    <tableColumn id="1" xr3:uid="{7116DBB2-EBD4-4781-9B08-1037D6AE0B62}" name="Does this request support a D&amp;T Digital Transformation Strategy?"/>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7ECE283D-1DFA-4593-B07F-7E615ECFD9CB}" name="VAL_wbs148_intended_demand_manager" displayName="VAL_wbs148_intended_demand_manager" ref="W3:W5" totalsRowShown="0">
  <autoFilter ref="W3:W5" xr:uid="{7ECE283D-1DFA-4593-B07F-7E615ECFD9CB}"/>
  <tableColumns count="1">
    <tableColumn id="1" xr3:uid="{3E23D9EC-DB44-4ABC-BF3A-F1F210E32E20}" name="Intended Demand Manager"/>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E3A682AD-72B6-45D1-88C4-075F4E365DB7}" name="VAL_wbs149_VP_Sponsor" displayName="VAL_wbs149_VP_Sponsor" ref="Y3:Y5" totalsRowShown="0">
  <autoFilter ref="Y3:Y5" xr:uid="{E3A682AD-72B6-45D1-88C4-075F4E365DB7}"/>
  <tableColumns count="1">
    <tableColumn id="1" xr3:uid="{6DE7275B-568C-40E9-9FAB-54C561799592}" name="VP Sponsor Name"/>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DA1C1ABA-16D5-46B5-896D-0D10344797AB}" name="VAL_wbs144_Refresh" displayName="VAL_wbs144_Refresh" ref="AA3:AA5" totalsRowShown="0">
  <autoFilter ref="AA3:AA5" xr:uid="{DA1C1ABA-16D5-46B5-896D-0D10344797AB}"/>
  <tableColumns count="1">
    <tableColumn id="1" xr3:uid="{1B3AC2DE-2169-4FB3-B8A4-1C0901077E67}" name="Does this request support a planned application or infrastructure upgrade and/or a routine infrastructure refresh?"/>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AF38D085-6155-4F3A-B83E-63C84B9729EB}" name="VAL_wbs145_Risk_subtype" displayName="VAL_wbs145_Risk_subtype" ref="AC3:AC7" totalsRowShown="0">
  <autoFilter ref="AC3:AC7" xr:uid="{AF38D085-6155-4F3A-B83E-63C84B9729EB}"/>
  <tableColumns count="1">
    <tableColumn id="1" xr3:uid="{3D793733-D370-43BD-8BA7-C8898EBB3D63}" name="Risk Subtype"/>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48F4886-0C2A-4715-8ED5-8C7BB17733B4}" name="Map_Risk_Subtype" displayName="Map_Risk_Subtype" ref="AE3:AF7" totalsRowShown="0">
  <autoFilter ref="AE3:AF7" xr:uid="{D48F4886-0C2A-4715-8ED5-8C7BB17733B4}"/>
  <tableColumns count="2">
    <tableColumn id="1" xr3:uid="{409C8E2B-DB82-402C-8AA8-58CB267C2328}" name="Demand_SubType"/>
    <tableColumn id="2" xr3:uid="{436145C5-033D-4025-92DF-EBF003C95DAE}" name="Risk Subtype"/>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93C58789-A38C-4C71-ACB9-97EF247BCB56}" name="VAL_150_RiskType" displayName="VAL_150_RiskType" ref="AH3:AH7" totalsRowShown="0">
  <autoFilter ref="AH3:AH7" xr:uid="{93C58789-A38C-4C71-ACB9-97EF247BCB56}"/>
  <tableColumns count="1">
    <tableColumn id="1" xr3:uid="{2D4E17ED-919F-497D-A348-7C5CCE79BFAB}" name="Risk Type"/>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F81ED5DA-0873-4A1B-819E-E371CA312DA9}" name="Map_RiskType" displayName="Map_RiskType" ref="AJ3:AK8" totalsRowShown="0">
  <autoFilter ref="AJ3:AK8" xr:uid="{F81ED5DA-0873-4A1B-819E-E371CA312DA9}"/>
  <tableColumns count="2">
    <tableColumn id="1" xr3:uid="{9BE48DED-C97D-471E-891D-B901160F58C3}" name="What is the Type of risk?"/>
    <tableColumn id="2" xr3:uid="{805F1E4D-5BC3-4106-8E5B-A5EDBDCECC23}" name="Risk Type"/>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77DE183C-C793-407B-8F6E-FAA553446582}" name="VAL_wbs151_riskLevel" displayName="VAL_wbs151_riskLevel" ref="AM3:AM8" totalsRowShown="0">
  <autoFilter ref="AM3:AM8" xr:uid="{77DE183C-C793-407B-8F6E-FAA553446582}"/>
  <tableColumns count="1">
    <tableColumn id="1" xr3:uid="{00F02A6A-4356-4C83-B8EA-13FA1C27501D}" name="Risk Level"/>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2DB9C632-D291-4CD7-98EA-85C22AA943E4}" name="VAL_wbs152_manual" displayName="VAL_wbs152_manual" ref="AO3:AO5" totalsRowShown="0">
  <autoFilter ref="AO3:AO5" xr:uid="{2DB9C632-D291-4CD7-98EA-85C22AA943E4}"/>
  <tableColumns count="1">
    <tableColumn id="1" xr3:uid="{CF948B21-3E7A-41F8-9C61-AFD3DCD74271}" name="Manual Solution"/>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EB633CE0-F33B-461F-A913-0C0C008C2F57}" name="VAL_wbs153_time_Criticality" displayName="VAL_wbs153_time_Criticality" ref="AQ3:AQ9" totalsRowShown="0">
  <autoFilter ref="AQ3:AQ9" xr:uid="{EB633CE0-F33B-461F-A913-0C0C008C2F57}"/>
  <tableColumns count="1">
    <tableColumn id="1" xr3:uid="{AB86478A-1083-49B7-8CF8-D308C829A8FD}" name="What is the time criticality?"/>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20015EF5-2B39-47C3-B413-4FE9F77640C9}" name="VAL_str62_tsize" displayName="VAL_str62_tsize" ref="AT3:AT8" totalsRowShown="0">
  <autoFilter ref="AT3:AT8" xr:uid="{20015EF5-2B39-47C3-B413-4FE9F77640C9}"/>
  <tableColumns count="1">
    <tableColumn id="1" xr3:uid="{C8343AB5-33EB-434F-B469-4AEAE06863D1}" name="T-Size"/>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8BD4CD3-1DDF-4C7D-A0C2-55AC0CFD5A2E}" name="VAL_wr36_value_range" displayName="VAL_wr36_value_range" ref="AV3:AV7" totalsRowShown="0">
  <autoFilter ref="AV3:AV7" xr:uid="{88BD4CD3-1DDF-4C7D-A0C2-55AC0CFD5A2E}"/>
  <tableColumns count="1">
    <tableColumn id="1" xr3:uid="{649D6269-2389-4DAA-A6AA-D2FE082A90F8}" name="Estimated Value Range"/>
  </tableColumns>
  <tableStyleInfo name="TableStyleMedium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525BEAE1-445C-46ED-9045-FCECDDBF5EB3}" name="Map_WR36_value_range" displayName="Map_WR36_value_range" ref="AX3:AY7" totalsRowShown="0">
  <autoFilter ref="AX3:AY7" xr:uid="{525BEAE1-445C-46ED-9045-FCECDDBF5EB3}"/>
  <tableColumns count="2">
    <tableColumn id="1" xr3:uid="{646D9882-209A-44F8-8A47-3558FE82AFE6}" name="Estimated Value Range (Old)"/>
    <tableColumn id="2" xr3:uid="{F974D201-7423-4FBA-A544-9F146A3DCAA7}" name="Estimated Value Range (new)"/>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5CFFD7D6-5BEE-450F-AF17-1D4C1FB464C7}" name="VAL_str119_Value_type" displayName="VAL_str119_Value_type" ref="BA3:BA21" totalsRowShown="0">
  <autoFilter ref="BA3:BA21" xr:uid="{5CFFD7D6-5BEE-450F-AF17-1D4C1FB464C7}"/>
  <tableColumns count="1">
    <tableColumn id="1" xr3:uid="{FDC273A8-6A4E-448B-A465-979502EF3637}" name="Primary Type of Value"/>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93D31802-9606-46A0-A085-DE14B9B39C1C}" name="VAL_str128_value_impact" displayName="VAL_str128_value_impact" ref="BC3:BC6" totalsRowShown="0">
  <autoFilter ref="BC3:BC6" xr:uid="{93D31802-9606-46A0-A085-DE14B9B39C1C}"/>
  <tableColumns count="1">
    <tableColumn id="1" xr3:uid="{725BE146-0E4D-48C3-B6CA-0852464F25AB}" name="Value Impact"/>
  </tableColumns>
  <tableStyleInfo name="TableStyleMedium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175FE35B-C2BF-4629-8317-469B03CB26B5}" name="VAL_wbs155_portfolio" displayName="VAL_wbs155_portfolio" ref="BE3:BE7" totalsRowShown="0">
  <autoFilter ref="BE3:BE7" xr:uid="{175FE35B-C2BF-4629-8317-469B03CB26B5}"/>
  <tableColumns count="1">
    <tableColumn id="1" xr3:uid="{D21FAA47-EE81-4ADF-9779-46E76598FE88}" name="Primary Impacted Portfolio"/>
  </tableColumns>
  <tableStyleInfo name="TableStyleMedium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52147F03-163C-45A7-9A12-23DA789B0720}" name="MAP_Portfolio" displayName="MAP_Portfolio" ref="BG3:BH8" totalsRowShown="0">
  <autoFilter ref="BG3:BH8" xr:uid="{52147F03-163C-45A7-9A12-23DA789B0720}"/>
  <tableColumns count="2">
    <tableColumn id="2" xr3:uid="{46942928-2974-4159-8211-6087102B3E4B}" name="Home Portfolio"/>
    <tableColumn id="1" xr3:uid="{91526D30-DBCB-4898-85CF-2A1CAA36821B}" name="Primary Impacted Portfolio"/>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28925B7F-7B4A-4127-ADC5-84E68CC2EF01}" name="MAP_Portfolio_other" displayName="MAP_Portfolio_other" ref="BL3:BM8" totalsRowShown="0">
  <autoFilter ref="BL3:BM8" xr:uid="{28925B7F-7B4A-4127-ADC5-84E68CC2EF01}"/>
  <tableColumns count="2">
    <tableColumn id="2" xr3:uid="{F36113D9-9F23-40BD-BBA2-3A14D054F1EF}" name="Other Impacted Portfolio"/>
    <tableColumn id="1" xr3:uid="{B5294089-FF09-4085-A64D-A09C76C05E75}" name="Primary Impacted Portfolio"/>
  </tableColumns>
  <tableStyleInfo name="TableStyleMedium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AF959802-D411-4758-A6EB-CE6C806DF7E0}" name="VAL_wbs156_portfolio_other" displayName="VAL_wbs156_portfolio_other" ref="BJ3:BJ7" totalsRowShown="0">
  <autoFilter ref="BJ3:BJ7" xr:uid="{AF959802-D411-4758-A6EB-CE6C806DF7E0}"/>
  <tableColumns count="1">
    <tableColumn id="1" xr3:uid="{D1420DC8-E22F-4E2E-A69B-7D0F7201D296}" name="Primary Impacted Portfolio"/>
  </tableColumns>
  <tableStyleInfo name="TableStyleMedium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F14BFF1-221D-446C-89EF-4866653CA087}" name="VAL_wbs168_BU" displayName="VAL_wbs168_BU" ref="BO3:BO27" totalsRowShown="0">
  <autoFilter ref="BO3:BO27" xr:uid="{5F14BFF1-221D-446C-89EF-4866653CA087}"/>
  <sortState xmlns:xlrd2="http://schemas.microsoft.com/office/spreadsheetml/2017/richdata2" ref="BO4:BO27">
    <sortCondition ref="BO3:BO27"/>
  </sortState>
  <tableColumns count="1">
    <tableColumn id="1" xr3:uid="{BB6D1D30-FDEE-46F9-BE87-3290AE2B6524}" name="Business Unit"/>
  </tableColumns>
  <tableStyleInfo name="TableStyleMedium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1B1995FC-14B4-41D8-8EEE-3AEF6349062B}" name="Map_domain_BU" displayName="Map_domain_BU" ref="BQ3:BR28" totalsRowShown="0">
  <autoFilter ref="BQ3:BR28" xr:uid="{1B1995FC-14B4-41D8-8EEE-3AEF6349062B}"/>
  <sortState xmlns:xlrd2="http://schemas.microsoft.com/office/spreadsheetml/2017/richdata2" ref="BQ4:BR23">
    <sortCondition ref="BQ3:BQ23"/>
  </sortState>
  <tableColumns count="2">
    <tableColumn id="1" xr3:uid="{298337C1-43E9-43C1-9F41-9916B362E31D}" name="Demand Domain or Portfolio"/>
    <tableColumn id="2" xr3:uid="{F7E0B7CD-EC3D-41D1-AF1B-F8220AA44499}" name="Business Unit" dataDxfId="132"/>
  </tableColumns>
  <tableStyleInfo name="TableStyleMedium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D4E05304-3701-466D-80CA-06CA91B78B6E}" name="VAL_WR46_Triage" displayName="VAL_WR46_Triage" ref="BT3:BT4" totalsRowShown="0">
  <autoFilter ref="BT3:BT4" xr:uid="{D4E05304-3701-466D-80CA-06CA91B78B6E}"/>
  <tableColumns count="1">
    <tableColumn id="1" xr3:uid="{BD9F1E13-D3FC-4578-8D52-D5137DDAE432}" name="Submit to Triage"/>
  </tableColumns>
  <tableStyleInfo name="TableStyleMedium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AFC1064C-765B-43AD-A4D0-2886B785E3BB}" name="VAL_wbs160_vital" displayName="VAL_wbs160_vital" ref="BV3:BV5" totalsRowShown="0">
  <autoFilter ref="BV3:BV5" xr:uid="{AFC1064C-765B-43AD-A4D0-2886B785E3BB}"/>
  <tableColumns count="1">
    <tableColumn id="1" xr3:uid="{B18CFEE0-08D3-4CA2-AE68-D1E3714C2D86}" name="Is this non-discretionary demand vital to business continuity?"/>
  </tableColumns>
  <tableStyleInfo name="TableStyleMedium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8AF69855-12A5-4D49-9592-A69303F2A4BD}" name="VAL_wbs161_businesscase" displayName="VAL_wbs161_businesscase" ref="BX3:BX6" totalsRowShown="0">
  <autoFilter ref="BX3:BX6" xr:uid="{8AF69855-12A5-4D49-9592-A69303F2A4BD}"/>
  <tableColumns count="1">
    <tableColumn id="1" xr3:uid="{792B22EC-1629-4AFD-B640-545AF4B5BCBE}" name="Business Case Requirements "/>
  </tableColumns>
  <tableStyleInfo name="TableStyleMedium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A9599DA3-A39D-40C9-9768-4E531E933F58}" name="VAL_wbs162_architecturelevel" displayName="VAL_wbs162_architecturelevel" ref="BZ3:BZ6" totalsRowShown="0">
  <autoFilter ref="BZ3:BZ6" xr:uid="{A9599DA3-A39D-40C9-9768-4E531E933F58}"/>
  <tableColumns count="1">
    <tableColumn id="1" xr3:uid="{20BEFB4D-DA1C-4FB6-BA35-C300D394F494}" name="Level of Architecture"/>
  </tableColumns>
  <tableStyleInfo name="TableStyleMedium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9A1CF98-4514-4698-9CDB-D0BC2DF29677}" name="VAL_wr50_valueprop" displayName="VAL_wr50_valueprop" ref="CB3:CB5" totalsRowShown="0">
  <autoFilter ref="CB3:CB5" xr:uid="{09A1CF98-4514-4698-9CDB-D0BC2DF29677}"/>
  <tableColumns count="1">
    <tableColumn id="1" xr3:uid="{49C8DA74-5EF4-40A3-AD64-8036832F82DC}" name="Impacts Value Prop or Risk to Customer?"/>
  </tableColumns>
  <tableStyleInfo name="TableStyleMedium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25E6F0C5-5F86-4458-BAC7-CA961835FBDD}" name="VAL_wbs86_governancelevel" displayName="VAL_wbs86_governancelevel" ref="CD3:CD5" totalsRowShown="0">
  <autoFilter ref="CD3:CD5" xr:uid="{25E6F0C5-5F86-4458-BAC7-CA961835FBDD}"/>
  <tableColumns count="1">
    <tableColumn id="1" xr3:uid="{5DEFC66E-03B2-4665-B3A5-7D7892B83691}" name="Level of Governance"/>
  </tableColumns>
  <tableStyleInfo name="TableStyleMedium9"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0F3D3B1D-3228-4E37-8454-07CA510888C5}" name="MAP_wbs86_governancelevel" displayName="MAP_wbs86_governancelevel" ref="CF3:CG5" totalsRowShown="0">
  <autoFilter ref="CF3:CG5" xr:uid="{0F3D3B1D-3228-4E37-8454-07CA510888C5}"/>
  <tableColumns count="2">
    <tableColumn id="1" xr3:uid="{1656917D-0F72-43C2-BE36-CD209912B043}" name="Governance Level"/>
    <tableColumn id="2" xr3:uid="{0173D135-D8B0-4E6D-B3E3-CEEC798158CF}" name="Level of Governance"/>
  </tableColumns>
  <tableStyleInfo name="TableStyleMedium7"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49D8375B-A4C1-4410-A739-B10942F8772B}" name="VAL_wbs163_triage" displayName="VAL_wbs163_triage" ref="CI3:CI6" totalsRowShown="0">
  <autoFilter ref="CI3:CI6" xr:uid="{49D8375B-A4C1-4410-A739-B10942F8772B}"/>
  <tableColumns count="1">
    <tableColumn id="1" xr3:uid="{95CF0C12-5D84-4467-A022-87BE9B61D45D}" name="Triage Decision"/>
  </tableColumns>
  <tableStyleInfo name="TableStyleMedium9"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32BE8670-7550-44A4-A466-1DEE3E4DA785}" name="VAL_wbs164_requestapproved" displayName="VAL_wbs164_requestapproved" ref="CK3:CK6" totalsRowShown="0">
  <autoFilter ref="CK3:CK6" xr:uid="{32BE8670-7550-44A4-A466-1DEE3E4DA785}"/>
  <tableColumns count="1">
    <tableColumn id="1" xr3:uid="{08D88D2F-09DE-4B9C-B44E-B4B0F2ECDD06}" name="Request Approved?"/>
  </tableColumns>
  <tableStyleInfo name="TableStyleMedium9"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B86E5B9B-E298-4DEC-A6C0-1449E1364842}" name="VAL_wbs157_flowtype" displayName="VAL_wbs157_flowtype" ref="CM3:CM7" totalsRowShown="0">
  <autoFilter ref="CM3:CM7" xr:uid="{B86E5B9B-E298-4DEC-A6C0-1449E1364842}"/>
  <tableColumns count="1">
    <tableColumn id="1" xr3:uid="{AD9DAE7D-AFAE-4566-9D32-872BCAD139D9}" name="Flow Type"/>
  </tableColumns>
  <tableStyleInfo name="TableStyleMedium9"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FB3788F2-B845-48C6-819B-5698CE7CFD58}" name="VAL_str109_impacts" displayName="VAL_str109_impacts" ref="CO3:CO5" totalsRowShown="0">
  <autoFilter ref="CO3:CO5" xr:uid="{FB3788F2-B845-48C6-819B-5698CE7CFD58}"/>
  <tableColumns count="1">
    <tableColumn id="1" xr3:uid="{8871EAA4-6C6B-4FD2-AD31-BC985966D2B7}" name="Impacts Commercial Portfolio?"/>
  </tableColumns>
  <tableStyleInfo name="TableStyleMedium9"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5A67A2DA-4D3C-4B14-BA57-E7AA42E835A7}" name="VAL_str110_impacts" displayName="VAL_str110_impacts" ref="CQ3:CQ5" totalsRowShown="0">
  <autoFilter ref="CQ3:CQ5" xr:uid="{5A67A2DA-4D3C-4B14-BA57-E7AA42E835A7}"/>
  <tableColumns count="1">
    <tableColumn id="1" xr3:uid="{88522D89-F16C-46EC-A6B2-5CEFD23890B9}" name="Impacts Platforms Portfolio?"/>
  </tableColumns>
  <tableStyleInfo name="TableStyleMedium9"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1224CC05-7F43-4DC5-A95F-633D7CB47FA0}" name="VAL_str111_impacts" displayName="VAL_str111_impacts" ref="CS3:CS5" totalsRowShown="0">
  <autoFilter ref="CS3:CS5" xr:uid="{1224CC05-7F43-4DC5-A95F-633D7CB47FA0}"/>
  <tableColumns count="1">
    <tableColumn id="1" xr3:uid="{3E87ACF6-7EA5-451D-BCF5-0ABA4A2B2AFA}" name="Impacts Enterprise Services Portfolio?"/>
  </tableColumns>
  <tableStyleInfo name="TableStyleMedium9"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1E4C0D65-2C00-4ED8-B759-38BA6B6A9116}" name="VAL_str113_impacts" displayName="VAL_str113_impacts" ref="CU3:CU5" totalsRowShown="0">
  <autoFilter ref="CU3:CU5" xr:uid="{1E4C0D65-2C00-4ED8-B759-38BA6B6A9116}"/>
  <tableColumns count="1">
    <tableColumn id="1" xr3:uid="{EA4BC79A-E9FD-4D0A-868E-02E9B881E450}" name="Impacts Supply Chain Operations Portfolio?"/>
  </tableColumns>
  <tableStyleInfo name="TableStyleMedium9"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A13F0964-F8A4-4254-BF12-5F8AE75003AE}" name="VAL_WBS102_Ready" displayName="VAL_WBS102_Ready" ref="CW3:CW5" totalsRowShown="0">
  <autoFilter ref="CW3:CW5" xr:uid="{A13F0964-F8A4-4254-BF12-5F8AE75003AE}"/>
  <tableColumns count="1">
    <tableColumn id="1" xr3:uid="{544DBBD2-DC64-4022-BA2F-5D687DEEF37D}" name="Ready to Close"/>
  </tableColumns>
  <tableStyleInfo name="TableStyleMedium9"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591928AB-FD30-41C2-945F-5EB003303566}" name="VAL_wbs20_WorkStatus" displayName="VAL_wbs20_WorkStatus" ref="CY3:CY9" totalsRowShown="0">
  <autoFilter ref="CY3:CY9" xr:uid="{591928AB-FD30-41C2-945F-5EB003303566}"/>
  <tableColumns count="1">
    <tableColumn id="1" xr3:uid="{6DFCCC87-4FE3-40CC-BCB3-5880DD4AF767}" name="Work Status"/>
  </tableColumns>
  <tableStyleInfo name="TableStyleMedium9"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24FBA26-D621-41B7-BB8F-A60BDF2DD879}" name="VAL_str36_BusinessComplexity" displayName="VAL_str36_BusinessComplexity" ref="DG3:DG8" totalsRowShown="0">
  <autoFilter ref="DG3:DG8" xr:uid="{E24FBA26-D621-41B7-BB8F-A60BDF2DD879}"/>
  <tableColumns count="1">
    <tableColumn id="1" xr3:uid="{012E35DC-CE53-4122-AFF9-2796CD0828E4}" name="Business Complexity Estimate"/>
  </tableColumns>
  <tableStyleInfo name="TableStyleMedium9"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391F0EE6-268A-49CC-B222-305048849B27}" name="VAL_str33_FY" displayName="VAL_str33_FY" ref="DI3:DI8" totalsRowShown="0">
  <autoFilter ref="DI3:DI8" xr:uid="{391F0EE6-268A-49CC-B222-305048849B27}"/>
  <tableColumns count="1">
    <tableColumn id="1" xr3:uid="{13575B90-C33C-4373-848A-97B8ACCE5499}" name="Baseline Fiscal Year of Work Bundle"/>
  </tableColumns>
  <tableStyleInfo name="TableStyleMedium9"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B00E7B53-72F8-459D-9437-FC42C0E8EB72}" name="VAL_str134_KPI" displayName="VAL_str134_KPI" ref="DK3:DK82" totalsRowShown="0">
  <autoFilter ref="DK3:DK82" xr:uid="{B00E7B53-72F8-459D-9437-FC42C0E8EB72}"/>
  <tableColumns count="1">
    <tableColumn id="1" xr3:uid="{F2801B36-62A1-4CE4-AB04-04B5444FED19}" name="Enterprise KPIs"/>
  </tableColumns>
  <tableStyleInfo name="TableStyleMedium9"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4FE4E7DD-B5E5-4A53-9EC3-4B6D1ACCE0A5}" name="VAL_str119_TypeValue" displayName="VAL_str119_TypeValue" ref="DM3:DM21" totalsRowShown="0">
  <autoFilter ref="DM3:DM21" xr:uid="{4FE4E7DD-B5E5-4A53-9EC3-4B6D1ACCE0A5}"/>
  <tableColumns count="1">
    <tableColumn id="1" xr3:uid="{D6EE2584-116D-44B2-8884-010A8E2420D8}" name="Type of Value"/>
  </tableColumns>
  <tableStyleInfo name="TableStyleMedium9"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80231465-CD16-4BF5-93B3-DC1A9E474522}" name="VAL_wbs75" displayName="VAL_wbs75" ref="DO4:DO6" totalsRowShown="0">
  <autoFilter ref="DO4:DO6" xr:uid="{80231465-CD16-4BF5-93B3-DC1A9E474522}"/>
  <tableColumns count="1">
    <tableColumn id="1" xr3:uid="{9942A4E3-D794-4C79-9879-435754DDB44C}" name="Does this Work impact Customer Experience?"/>
  </tableColumns>
  <tableStyleInfo name="TableStyleMedium9"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451CF963-6BC4-4D12-A2EA-7B491FD76725}" name="VAL_wbs57" displayName="VAL_wbs57" ref="DQ4:DQ7" totalsRowShown="0">
  <autoFilter ref="DQ4:DQ7" xr:uid="{451CF963-6BC4-4D12-A2EA-7B491FD76725}"/>
  <tableColumns count="1">
    <tableColumn id="1" xr3:uid="{F1278B52-0215-4E4F-BD69-141E6CDA73C0}" name="If yes, indicate level of Customer Experience impact"/>
  </tableColumns>
  <tableStyleInfo name="TableStyleMedium9"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E648B76D-F9ED-42C6-BD63-367B52F227EA}" name="VAL_wbs76" displayName="VAL_wbs76" ref="DS4:DS6" totalsRowShown="0">
  <autoFilter ref="DS4:DS6" xr:uid="{E648B76D-F9ED-42C6-BD63-367B52F227EA}"/>
  <tableColumns count="1">
    <tableColumn id="1" xr3:uid="{5A44A1EE-AC8B-41C5-939B-EA41513D7F4E}" name="Does this Work impact Service?"/>
  </tableColumns>
  <tableStyleInfo name="TableStyleMedium9"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0E0A46B-9C40-4260-A318-65276B33C8F5}" name="VAL_wbs59" displayName="VAL_wbs59" ref="DU4:DU7" totalsRowShown="0">
  <autoFilter ref="DU4:DU7" xr:uid="{C0E0A46B-9C40-4260-A318-65276B33C8F5}"/>
  <tableColumns count="1">
    <tableColumn id="1" xr3:uid="{5D148D7D-F0FC-4EE3-B6EE-EEAA4EA8F87B}" name="If yes, indicate level of Service impact"/>
  </tableColumns>
  <tableStyleInfo name="TableStyleMedium9"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5D0DA4FB-2DD1-465D-8FAD-64C3597127ED}" name="VAL_wbs138" displayName="VAL_wbs138" ref="DW4:DW8" totalsRowShown="0">
  <autoFilter ref="DW4:DW8" xr:uid="{5D0DA4FB-2DD1-465D-8FAD-64C3597127ED}"/>
  <tableColumns count="1">
    <tableColumn id="1" xr3:uid="{EF0F61FC-F1F8-4592-B166-76C355D19B3D}" name="SL3 EPG Approval"/>
  </tableColumns>
  <tableStyleInfo name="TableStyleMedium9"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B88FE3B3-E70B-4A8C-9E68-361D94DFE96F}" name="VAL_wbs133" displayName="VAL_wbs133" ref="DY4:DY8" totalsRowShown="0">
  <autoFilter ref="DY4:DY8" xr:uid="{B88FE3B3-E70B-4A8C-9E68-361D94DFE96F}"/>
  <tableColumns count="1">
    <tableColumn id="1" xr3:uid="{93691A87-476F-4AC6-A97B-0A9DE1FA0A32}" name="SL3 Business Finance Approval"/>
  </tableColumns>
  <tableStyleInfo name="TableStyleMedium9"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E91DAECC-0459-43B7-90C8-90BA76986314}" name="VAL_wr43_home_Portfolio" displayName="VAL_wr43_home_Portfolio" ref="EA4:EA8" totalsRowShown="0">
  <autoFilter ref="EA4:EA8" xr:uid="{E91DAECC-0459-43B7-90C8-90BA76986314}"/>
  <tableColumns count="1">
    <tableColumn id="1" xr3:uid="{C170626C-73C5-4A8D-B3BF-94006643F678}" name="Home Portfolio"/>
  </tableColumns>
  <tableStyleInfo name="TableStyleMedium9"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1DD79EA3-5CCB-452B-8B83-A1E779EC1E14}" name="MAP_HomePortfolio" displayName="MAP_HomePortfolio" ref="EC4:ED9" totalsRowShown="0">
  <autoFilter ref="EC4:ED9" xr:uid="{1DD79EA3-5CCB-452B-8B83-A1E779EC1E14}"/>
  <tableColumns count="2">
    <tableColumn id="2" xr3:uid="{7804DD1F-E724-4B63-B8C8-97FA9B1BB6B9}" name="Home Portfolio"/>
    <tableColumn id="1" xr3:uid="{C292FF06-504D-49C3-B405-DF78E54C85C3}" name="Home Portfolio_new"/>
  </tableColumns>
  <tableStyleInfo name="TableStyleMedium7"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E534B242-E994-4894-9E18-45F2740A8262}" name="VAL_wbs28_stage" displayName="VAL_wbs28_stage" ref="EF4:EF11" totalsRowShown="0">
  <autoFilter ref="EF4:EF11" xr:uid="{E534B242-E994-4894-9E18-45F2740A8262}"/>
  <tableColumns count="1">
    <tableColumn id="1" xr3:uid="{DFC9823E-AC79-437A-8B12-FF5220EAE93A}" name="Stage"/>
  </tableColumns>
  <tableStyleInfo name="TableStyleMedium9"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5ABDD868-3F21-41D9-A696-33E3D986D449}" name="MAP_wbs28_stage" displayName="MAP_wbs28_stage" ref="EH4:EI15" totalsRowShown="0">
  <autoFilter ref="EH4:EI15" xr:uid="{5ABDD868-3F21-41D9-A696-33E3D986D449}"/>
  <tableColumns count="2">
    <tableColumn id="1" xr3:uid="{14C71754-D81C-4259-8BD0-487DBF266AD2}" name="Stage"/>
    <tableColumn id="2" xr3:uid="{8D59C88A-8194-402E-A8BE-01823AD3C4A3}" name="Stage-New"/>
  </tableColumns>
  <tableStyleInfo name="TableStyleMedium7"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36E4A250-5099-4AB3-9D80-E0011D09F88C}" name="VAL_wr53" displayName="VAL_wr53" ref="EK4:EK8" totalsRowShown="0">
  <autoFilter ref="EK4:EK8" xr:uid="{36E4A250-5099-4AB3-9D80-E0011D09F88C}"/>
  <tableColumns count="1">
    <tableColumn id="1" xr3:uid="{54C55599-B57D-466C-960F-F7BD8FCC9837}" name="Demand SubType"/>
  </tableColumns>
  <tableStyleInfo name="TableStyleMedium9"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47139F6F-4D34-41E9-B494-A980452571F5}" name="Map_Demand_Subtype" displayName="Map_Demand_Subtype" ref="EM4:EN8" totalsRowShown="0">
  <autoFilter ref="EM4:EN8" xr:uid="{47139F6F-4D34-41E9-B494-A980452571F5}"/>
  <tableColumns count="2">
    <tableColumn id="1" xr3:uid="{A066D518-27C1-4D2B-A4BE-4453554416BF}" name="Demand_SubType"/>
    <tableColumn id="2" xr3:uid="{513AADA1-93A3-40EC-BF5C-E87BB7C63BD3}" name="Demand Subtype_new"/>
  </tableColumns>
  <tableStyleInfo name="TableStyleMedium7"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21B81436-B6CD-4926-882C-684F832195A4}" name="MAP_wbs20_WorkStatus" displayName="MAP_wbs20_WorkStatus" ref="DA3:DB11" totalsRowShown="0">
  <autoFilter ref="DA3:DB11" xr:uid="{21B81436-B6CD-4926-882C-684F832195A4}"/>
  <tableColumns count="2">
    <tableColumn id="2" xr3:uid="{36C6135A-784A-4CEC-9B15-33847B7E72CC}" name="Work Status-old"/>
    <tableColumn id="1" xr3:uid="{927AAD56-D8A4-4BA6-B4D7-BC6632405AC3}" name="Work Status-New"/>
  </tableColumns>
  <tableStyleInfo name="TableStyleMedium7"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BCCCD835-1A9D-46B8-A648-A80F4C1EB463}" name="VAL_wbs94_regions" displayName="VAL_wbs94_regions" ref="EP4:EP10" totalsRowShown="0">
  <autoFilter ref="EP4:EP10" xr:uid="{BCCCD835-1A9D-46B8-A648-A80F4C1EB463}"/>
  <tableColumns count="1">
    <tableColumn id="1" xr3:uid="{0CF0E086-5C25-4FBC-AE8C-66061C12FB20}" name="Region(s) Impacted"/>
  </tableColumns>
  <tableStyleInfo name="TableStyleMedium9"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C15CD332-DDB1-45F3-B645-ED775BD77497}" name="VAL_Solutions" displayName="VAL_Solutions" ref="ER4:ER48" totalsRowShown="0">
  <autoFilter ref="ER4:ER48" xr:uid="{C15CD332-DDB1-45F3-B645-ED775BD77497}"/>
  <tableColumns count="1">
    <tableColumn id="1" xr3:uid="{AE959E52-DACC-43FC-AA88-C88D0B392039}" name="Solution"/>
  </tableColumns>
  <tableStyleInfo name="TableStyleMedium9"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4E1BDC3E-9866-4D4B-A1F8-004E026F5ACE}" name="VAL_wbs709_healthStatus" displayName="VAL_wbs709_healthStatus" ref="ET4:ET7" totalsRowShown="0">
  <autoFilter ref="ET4:ET7" xr:uid="{4E1BDC3E-9866-4D4B-A1F8-004E026F5ACE}"/>
  <tableColumns count="1">
    <tableColumn id="1" xr3:uid="{EFA77366-DC9E-43EF-B095-117798BC561B}" name="Health Status"/>
  </tableColumns>
  <tableStyleInfo name="TableStyleMedium9"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E79BBB1E-BEC3-492B-B855-1B20D3316311}" name="VAL_wbs135" displayName="VAL_wbs135" ref="EV4:EV6" totalsRowShown="0">
  <autoFilter ref="EV4:EV6" xr:uid="{E79BBB1E-BEC3-492B-B855-1B20D3316311}"/>
  <tableColumns count="1">
    <tableColumn id="1" xr3:uid="{D9FEAAB6-CB30-41C5-ABFB-1D4E805EB9CD}" name="Ready for L3 EPM Quality Check?"/>
  </tableColumns>
  <tableStyleInfo name="TableStyleMedium9"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158EC435-68D0-46DF-8573-9D5CB797346F}" name="VAL_wbs136" displayName="VAL_wbs136" ref="EX4:EX6" totalsRowShown="0">
  <autoFilter ref="EX4:EX6" xr:uid="{158EC435-68D0-46DF-8573-9D5CB797346F}"/>
  <tableColumns count="1">
    <tableColumn id="1" xr3:uid="{6D8FF457-B263-4C88-88D7-86DA6390414E}" name="L3 EPM Review 1"/>
  </tableColumns>
  <tableStyleInfo name="TableStyleMedium9"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77343910-E877-4311-8477-1E2071E0AC41}" name="VAL_wbs168" displayName="VAL_wbs168" ref="EZ4:EZ6" totalsRowShown="0">
  <autoFilter ref="EZ4:EZ6" xr:uid="{77343910-E877-4311-8477-1E2071E0AC41}"/>
  <tableColumns count="1">
    <tableColumn id="1" xr3:uid="{13C70955-585F-401A-91B9-E76CEB60AD3D}" name="Ready for L3 Epic Approval?"/>
  </tableColumns>
  <tableStyleInfo name="TableStyleMedium9"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541C4422-0432-4799-A69A-20730CE8A1DA}" name="VAL_wbs165" displayName="VAL_wbs165" ref="FB4:FB6" totalsRowShown="0">
  <autoFilter ref="FB4:FB6" xr:uid="{541C4422-0432-4799-A69A-20730CE8A1DA}"/>
  <tableColumns count="1">
    <tableColumn id="1" xr3:uid="{33E9AF32-B266-4A8C-906C-4E752D7FBFB5}" name="L3 Epic Approval"/>
  </tableColumns>
  <tableStyleInfo name="TableStyleMedium9"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F720A3BB-8673-4358-90E5-FC20C73B500A}" name="VAL_wbs137" displayName="VAL_wbs137" ref="FD4:FD6" totalsRowShown="0">
  <autoFilter ref="FD4:FD6" xr:uid="{F720A3BB-8673-4358-90E5-FC20C73B500A}"/>
  <tableColumns count="1">
    <tableColumn id="1" xr3:uid="{FDBEEFCE-A644-4833-AF86-C0145466A2D0}" name="L3 EPM Review 2"/>
  </tableColumns>
  <tableStyleInfo name="TableStyleMedium9"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B40464C7-868F-42B3-8B6F-EF4149327C7F}" name="VAL_wbs159" displayName="VAL_wbs159" ref="FF4:FF6" totalsRowShown="0">
  <autoFilter ref="FF4:FF6" xr:uid="{B40464C7-868F-42B3-8B6F-EF4149327C7F}"/>
  <tableColumns count="1">
    <tableColumn id="1" xr3:uid="{2022551D-69F9-4437-B0C0-8C40A15250FE}" name="SL4 Close Work Bundle - Business Finance Approva"/>
  </tableColumns>
  <tableStyleInfo name="TableStyleMedium9"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9A398501-32B1-4EEA-A769-E7D2617900FF}" name="VAL_wbs167" displayName="VAL_wbs167" ref="FH4:FH6" totalsRowShown="0">
  <autoFilter ref="FH4:FH6" xr:uid="{9A398501-32B1-4EEA-A769-E7D2617900FF}"/>
  <tableColumns count="1">
    <tableColumn id="1" xr3:uid="{CFBD36DC-8476-44F7-9EED-C71FAD92401B}" name="Ready to Close: Work Bundle Intent has been met?"/>
  </tableColumns>
  <tableStyleInfo name="TableStyleMedium9"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9B9E4208-BA4B-4871-B157-A947E1AADE29}" name="Table181" displayName="Table181" ref="DD3:DE9" totalsRowShown="0">
  <autoFilter ref="DD3:DE9" xr:uid="{9B9E4208-BA4B-4871-B157-A947E1AADE29}"/>
  <tableColumns count="2">
    <tableColumn id="1" xr3:uid="{256C4737-6AFD-4AEC-9C71-ED4A2460D53C}" name="Lifecycle Status"/>
    <tableColumn id="2" xr3:uid="{B9BA7495-EF73-4A06-894F-15C0FDAE5880}" name="Work Status"/>
  </tableColumns>
  <tableStyleInfo name="TableStyleMedium7"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8F196F96-63AF-47C3-AC35-CB9563A2F96C}" name="MAP_MilestoneType" displayName="MAP_MilestoneType" ref="FL4:FM12" totalsRowShown="0">
  <autoFilter ref="FL4:FM12" xr:uid="{8F196F96-63AF-47C3-AC35-CB9563A2F96C}"/>
  <tableColumns count="2">
    <tableColumn id="1" xr3:uid="{B1FE8E15-9100-4692-9400-931D7521AC38}" name="Milestone Type (Old)"/>
    <tableColumn id="2" xr3:uid="{3C697CD6-F4F3-41D8-A932-BAC8B33D1B29}" name="Task or Milestone Type"/>
  </tableColumns>
  <tableStyleInfo name="TableStyleMedium7"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25EFC670-5C94-4C6F-B8D7-880E80CF0F77}" name="VAL_wbs712_MilestoneType" displayName="VAL_wbs712_MilestoneType" ref="FJ4:FJ12" totalsRowShown="0">
  <autoFilter ref="FJ4:FJ12" xr:uid="{25EFC670-5C94-4C6F-B8D7-880E80CF0F77}"/>
  <tableColumns count="1">
    <tableColumn id="1" xr3:uid="{EB17D081-3C05-4275-AF08-BCC0FD0DF204}" name="Task or Milestone Type"/>
  </tableColumns>
  <tableStyleInfo name="TableStyleMedium9"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53096E-10A0-47FC-BD91-FAC0E3167CFB}" name="VAL_Drive_Domain" displayName="VAL_Drive_Domain" ref="Q5:X23" totalsRowShown="0">
  <autoFilter ref="Q5:X23" xr:uid="{972F4D8E-089C-4148-83CC-0AFED0D74656}"/>
  <sortState xmlns:xlrd2="http://schemas.microsoft.com/office/spreadsheetml/2017/richdata2" ref="Q6:X23">
    <sortCondition ref="R5:R23"/>
  </sortState>
  <tableColumns count="8">
    <tableColumn id="4" xr3:uid="{23B9443A-77D6-48AC-9880-7063F5862108}" name="OLD_Drive_Domain"/>
    <tableColumn id="1" xr3:uid="{FAA83338-97B2-49DF-985D-37238F928B71}" name="Drive_Domain"/>
    <tableColumn id="5" xr3:uid="{960F9899-3D31-4458-8469-E9B92A0D4B06}" name="Drive_Domain_Common_Name"/>
    <tableColumn id="6" xr3:uid="{5B03E433-E90D-49BA-8478-F415E2E088A6}" name="Drive_Domain_Sponsor"/>
    <tableColumn id="2" xr3:uid="{DB31D8AA-FB09-4B5F-B861-EA863C72C9FE}" name="Drive_Domain_Lead_Name"/>
    <tableColumn id="3" xr3:uid="{E76BB7E6-C488-478F-B2D2-544100C5AB50}" name="Drive_Domain_Financial_Stakeholder"/>
    <tableColumn id="7" xr3:uid="{C0281B74-29A7-466A-937A-88173255AFAA}" name="Drive_TO_Finance_Stakeholder"/>
    <tableColumn id="8" xr3:uid="{8B35C618-E1E1-4C8B-805F-C1F3741F8B3A}" name="Drive_SVP_Finance_Stakeholder"/>
  </tableColumns>
  <tableStyleInfo name="TableStyleMedium3"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6881E9-B926-481F-ACD5-5085AA3C9623}" name="VAL_Portfolio" displayName="VAL_Portfolio" ref="AJ5:AJ10" totalsRowShown="0">
  <autoFilter ref="AJ5:AJ10" xr:uid="{490B911F-DC0D-4A40-8D8F-F75AC330DA07}"/>
  <tableColumns count="1">
    <tableColumn id="1" xr3:uid="{374E3181-4A1C-4DBF-8158-3B833A25C0A8}" name="Portfolio (New)"/>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B05CD85-D487-43A2-BD9F-AEA5587600C1}" name="VAL_Solution" displayName="VAL_Solution" ref="AO5:AO29" totalsRowShown="0" headerRowDxfId="131" headerRowBorderDxfId="130" tableBorderDxfId="129" totalsRowBorderDxfId="128">
  <autoFilter ref="AO5:AO29" xr:uid="{4A5478D3-F046-4AF2-9190-AC49A4B2B0CB}"/>
  <tableColumns count="1">
    <tableColumn id="1" xr3:uid="{A18780DE-8334-4DA6-951A-8C8B2D2758C9}" name="Solution"/>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52298D-6687-4108-9423-74EE25D1CF67}" name="VAL_ART" displayName="VAL_ART" ref="AQ5:AQ157" totalsRowShown="0" headerRowDxfId="127" headerRowBorderDxfId="126" tableBorderDxfId="125" totalsRowBorderDxfId="124">
  <autoFilter ref="AQ5:AQ157" xr:uid="{4E33AF27-4725-4799-88F9-57C10E115D73}"/>
  <tableColumns count="1">
    <tableColumn id="1" xr3:uid="{B1077A46-312F-4FF8-A383-EA634A719EE8}" name="ART"/>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DD0451B-1FD7-48DD-AB57-24C4819F58C9}" name="VAL_POD" displayName="VAL_POD" ref="AB5:AC134" totalsRowShown="0">
  <autoFilter ref="AB5:AC134" xr:uid="{57E841B9-81B8-4A48-ACCA-0A2310DF0515}"/>
  <sortState xmlns:xlrd2="http://schemas.microsoft.com/office/spreadsheetml/2017/richdata2" ref="AB6:AC134">
    <sortCondition ref="AB5:AB134"/>
  </sortState>
  <tableColumns count="2">
    <tableColumn id="1" xr3:uid="{745E9A81-E46B-4E55-BC17-926D5A62514B}" name="Drive_Pod"/>
    <tableColumn id="2" xr3:uid="{94A0E10A-6353-48B6-8461-40FFC3D07530}" name="Drive_Pod_Lead_Name"/>
  </tableColumns>
  <tableStyleInfo name="TableStyleMedium3"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9B2969-85B4-4BD9-A279-E34CB7AEA162}" name="VAL_ValueFramework1" displayName="VAL_ValueFramework1" ref="AS5:AU13" totalsRowShown="0">
  <autoFilter ref="AS5:AU13" xr:uid="{EF16CF95-9619-40A8-A259-90FC68E51D6B}"/>
  <tableColumns count="3">
    <tableColumn id="1" xr3:uid="{EF65369E-2F4C-4EE8-BD40-26800012A1D8}" name="Value Driver"/>
    <tableColumn id="2" xr3:uid="{62C07D8A-58FB-4A89-AD82-F8D43B7EEEB4}" name="Score"/>
    <tableColumn id="3" xr3:uid="{DA32C5B7-5187-4330-833C-D92005997852}" name="L0 Score" dataDxfId="123">
      <calculatedColumnFormula>VAL_ValueFramework1[[#This Row],[Score]]*$AT$21</calculatedColumnFormula>
    </tableColumn>
  </tableColumns>
  <tableStyleInfo name="TableStyleMedium7"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315AA9-B026-4725-B8A8-5A121A31B1D3}" name="VAL_TimeCriticality" displayName="VAL_TimeCriticality" ref="BG5:BI10" totalsRowShown="0" dataDxfId="122">
  <autoFilter ref="BG5:BI10" xr:uid="{325267AE-2FBA-4CFB-9DF2-675D3CB522D3}"/>
  <tableColumns count="3">
    <tableColumn id="1" xr3:uid="{44D41F7A-317C-4A3F-9EAC-B0A702C4697E}" name="Time Criticality" dataDxfId="121"/>
    <tableColumn id="2" xr3:uid="{478CE1E6-804D-4E39-8823-B816F9E43097}" name="Score" dataDxfId="120"/>
    <tableColumn id="3" xr3:uid="{9E5C5231-C79C-4FE3-AB76-97E746E90604}" name="L0 Score" dataDxfId="119"/>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E1D2E3-CD97-4B51-9C3D-A379551EC5E1}" name="VAL_ValueType" displayName="VAL_ValueType" ref="BK5:BM15" totalsRowShown="0">
  <autoFilter ref="BK5:BM15" xr:uid="{18A6F3EE-9F1A-472C-8FBB-2BB6565061B4}"/>
  <tableColumns count="3">
    <tableColumn id="1" xr3:uid="{C1359210-3BBF-46DA-B990-591FB67FFE78}" name="Type of Value"/>
    <tableColumn id="2" xr3:uid="{6F85E233-2622-4385-9F67-D7F535ED1995}" name="Score" dataDxfId="118"/>
    <tableColumn id="3" xr3:uid="{2511DF89-313B-4156-97F1-D096AF160ED3}" name="L0 Score" dataDxfId="117"/>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B25A352-1381-4933-A79C-78FA50D47A4B}" name="VAL_ValueRange" displayName="VAL_ValueRange" ref="BO5:BQ11" totalsRowShown="0">
  <autoFilter ref="BO5:BQ11" xr:uid="{22957E76-A35D-43F7-99F4-FC5AAAE0F5A2}"/>
  <tableColumns count="3">
    <tableColumn id="1" xr3:uid="{D70F2902-343A-4D4E-96C1-176D87E7350D}" name="Estimated Annualized Value Range"/>
    <tableColumn id="2" xr3:uid="{CC57D234-2AFE-4BD3-B72D-6B1D6B011C6C}" name="Score" dataDxfId="116"/>
    <tableColumn id="3" xr3:uid="{68322139-9065-44EE-AE93-E37C247B0B2D}" name="L0 Score" dataDxfId="115"/>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9A608AE-B4F3-4BA1-8486-ACBB8592A159}" name="VAL_ESI" displayName="VAL_ESI" ref="AW5:AY19" totalsRowShown="0">
  <autoFilter ref="AW5:AY19" xr:uid="{43C8B26D-F31D-46E5-8443-020B8E333E24}"/>
  <tableColumns count="3">
    <tableColumn id="1" xr3:uid="{22CD187F-3EE0-4BCC-890E-4ACB786C75BB}" name="ESI"/>
    <tableColumn id="2" xr3:uid="{DF1C10D7-2D11-4CFA-8B59-AD32BC3DE86B}" name="Score" dataDxfId="114"/>
    <tableColumn id="3" xr3:uid="{9CF1B3DE-DC0C-417F-A47E-BC105F6EC834}" name="L0 Score" dataDxfId="113"/>
  </tableColumns>
  <tableStyleInfo name="TableStyleMedium7"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6B2F2A0-2E95-479D-B40C-37D42A3E3F64}" name="VAL_FinancialValueRange_Hard" displayName="VAL_FinancialValueRange_Hard" ref="BS5:BT8" totalsRowShown="0">
  <autoFilter ref="BS5:BT8" xr:uid="{92761655-F7E9-42BA-8B7B-C142EE0B2D95}"/>
  <tableColumns count="2">
    <tableColumn id="1" xr3:uid="{75B6F01B-D216-497E-99B6-11A58D104657}" name="Financial Value (NRB Hard) Range"/>
    <tableColumn id="2" xr3:uid="{62A9687C-28CF-49EA-BF6E-D672747775C2}" name="Score" dataDxfId="112"/>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A94E152-78FE-4FDD-95D1-2EFBE9D620B5}" name="VAL_FinancialValueRange_Soft" displayName="VAL_FinancialValueRange_Soft" ref="BV5:BW11" totalsRowShown="0">
  <autoFilter ref="BV5:BW11" xr:uid="{BBC9BEC5-3133-4AE8-A8B7-C73D0864E52C}"/>
  <tableColumns count="2">
    <tableColumn id="1" xr3:uid="{0108C69C-319F-4F78-8EBB-BAA6A633AB7B}" name="Financial Value (NRB Soft) Range"/>
    <tableColumn id="2" xr3:uid="{C1254306-DEBA-4EE2-84D6-4B053791DFAB}" name="Score" dataDxfId="111"/>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6F9CC23-AB75-4B78-B96A-221A18B5CE43}" name="VAL_RiskLevel" displayName="VAL_RiskLevel" ref="CB5:CC10" totalsRowShown="0" dataDxfId="110">
  <autoFilter ref="CB5:CC10" xr:uid="{9BFC10EE-7015-4072-A77D-65E8C04CB2BA}"/>
  <tableColumns count="2">
    <tableColumn id="1" xr3:uid="{B771D249-88A7-469C-ABA9-E425BABEF506}" name="Defered Risk" dataDxfId="109"/>
    <tableColumn id="2" xr3:uid="{CE1CC1F3-FD86-4E6E-84E6-93845B17AE9C}" name="Score" dataDxfId="108"/>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E023638-C540-4D60-8791-5B4D1B2AF2BA}" name="VAL_Complexity" displayName="VAL_Complexity" ref="CE5:CF10" totalsRowShown="0">
  <autoFilter ref="CE5:CF10" xr:uid="{1259EFCE-7BB3-439D-9845-A4F23659B1B5}"/>
  <tableColumns count="2">
    <tableColumn id="1" xr3:uid="{67481461-3F5A-477C-BB78-B0FD42B369BB}" name="Complexity"/>
    <tableColumn id="2" xr3:uid="{C89338FC-D578-4F96-B6BC-32A8D9C4B92E}" name="Score" dataDxfId="107"/>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1E7C881-47D6-4EF2-9817-090D1D758E28}" name="VAL_Effort" displayName="VAL_Effort" ref="CH5:CI10" totalsRowShown="0">
  <autoFilter ref="CH5:CI10" xr:uid="{BFC39DB1-C167-41F2-865E-362805A83C57}"/>
  <tableColumns count="2">
    <tableColumn id="1" xr3:uid="{6273F09D-788B-4956-A50C-D552A5B4F2BD}" name="Effort"/>
    <tableColumn id="2" xr3:uid="{A836C1EF-609C-4A06-A89D-B7A1977426A6}" name="Score" dataDxfId="106"/>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76242F6-3AD8-46C8-968E-03ACCFF6D45C}" name="VAL_TimetoValue" displayName="VAL_TimetoValue" ref="CK5:CL10" totalsRowShown="0">
  <autoFilter ref="CK5:CL10" xr:uid="{D3F12AC3-E3EE-4346-ACB1-CCBFB1FE98EF}"/>
  <tableColumns count="2">
    <tableColumn id="1" xr3:uid="{A178CA5E-AAC0-4BB2-B010-CDCAAFDED43C}" name="Time to Value " dataDxfId="105"/>
    <tableColumn id="2" xr3:uid="{7B6630B3-03B0-4BBB-A0EB-A8352FEE4C33}" name="Score" dataDxfId="104"/>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764CDB-DEF0-4F5A-8D6E-2C9DED6F0CF6}" name="VAL_CostRange" displayName="VAL_CostRange" ref="CN5:CO10" totalsRowShown="0">
  <autoFilter ref="CN5:CO10" xr:uid="{E746751A-266B-407C-B87A-920A1AB6463A}"/>
  <tableColumns count="2">
    <tableColumn id="1" xr3:uid="{31BCAB2E-3A3E-475E-953E-ADE12E7EED90}" name="Cost Range"/>
    <tableColumn id="2" xr3:uid="{E3E72B49-9CCB-453E-8763-DEAC1A15480F}" name="Score" dataDxfId="103" dataCellStyle="Currency"/>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0E21005-9FF1-44F8-B91F-79739212A773}" name="VAL_Mapping_Portfolio_Solution_ART" displayName="VAL_Mapping_Portfolio_Solution_ART" ref="AF5:AH157" totalsRowShown="0">
  <autoFilter ref="AF5:AH157" xr:uid="{15044538-BC68-472B-A992-BF6FC8A46A73}"/>
  <tableColumns count="3">
    <tableColumn id="1" xr3:uid="{77BFEBA8-B3E0-4B6D-9A6F-9AACB1BBC825}" name="Portfolio"/>
    <tableColumn id="2" xr3:uid="{5EA8A708-4CA9-4A05-A948-E26D1E793D9E}" name="Solution"/>
    <tableColumn id="3" xr3:uid="{EDE13331-A4F4-4F21-98D3-2C32130C7E86}" name="ART"/>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5984260-31EE-4556-8610-969FD37DFB2E}" name="VAL_Mapping_Domain_Pod" displayName="VAL_Mapping_Domain_Pod" ref="A5:C135" totalsRowShown="0">
  <autoFilter ref="A5:C135" xr:uid="{6E44D3EF-F695-4DCD-A5D1-2A6CD046974A}"/>
  <tableColumns count="3">
    <tableColumn id="3" xr3:uid="{8E183F1F-D616-465D-AD34-844C9A81FB57}" name="DRIVE_Meta_Domain" dataDxfId="102"/>
    <tableColumn id="1" xr3:uid="{9E35AA60-AB07-41B5-A039-FE296C2BD53C}" name="Drive_Domain" dataDxfId="101"/>
    <tableColumn id="2" xr3:uid="{B1CC017C-2529-4B4E-BBB8-8C67FF31363E}" name="Drive_Pod" dataDxfId="100"/>
  </tableColumns>
  <tableStyleInfo name="TableStyleMedium3"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D628C83-6D25-4F8E-8CF8-0F347DBBAB34}" name="Table5" displayName="Table5" ref="CQ5:CQ8" totalsRowShown="0">
  <autoFilter ref="CQ5:CQ8" xr:uid="{8155DE9E-7F28-4CD9-BC6F-0FB26F291B53}"/>
  <tableColumns count="1">
    <tableColumn id="1" xr3:uid="{1FA3EDE2-C0D5-46C3-9BF1-449E9BA718C2}" name="Field Type"/>
  </tableColumns>
  <tableStyleInfo name="TableStyleMedium2"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4ED8544-A803-4D3D-B601-AF4B94836424}" name="VAL_Request_Type" displayName="VAL_Request_Type" ref="BA5:BA12" totalsRowShown="0">
  <autoFilter ref="BA5:BA12" xr:uid="{0479A702-2FA0-4C9C-A381-B0AE4153CD1B}"/>
  <tableColumns count="1">
    <tableColumn id="1" xr3:uid="{7BAD36B5-8F50-4464-8E8C-FA20B4AB8768}" name="Request Type"/>
  </tableColumns>
  <tableStyleInfo name="TableStyleMedium7"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97115D3-CD36-47C3-A54D-F8AC372F6413}" name="VAL_Meta_Drive_Domain" displayName="VAL_Meta_Drive_Domain" ref="M5:N9" totalsRowShown="0">
  <autoFilter ref="M5:N9" xr:uid="{58D97119-FA9D-4D22-A16A-EA9AC60C725A}"/>
  <tableColumns count="2">
    <tableColumn id="1" xr3:uid="{3305725A-310E-4734-BBD0-54D5F3B61B2D}" name="Meta_Domain"/>
    <tableColumn id="2" xr3:uid="{E7E0B256-1908-4C90-8AFD-EB12B20353E6}" name="Meta_Domain_Lead_Name"/>
  </tableColumns>
  <tableStyleInfo name="TableStyleMedium3"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74432B1-812B-403D-979F-BA5EF0077B58}" name="VAL_BackOffice" displayName="VAL_BackOffice" ref="CS5:CS19" totalsRowShown="0" headerRowDxfId="99" dataDxfId="98">
  <autoFilter ref="CS5:CS19" xr:uid="{4EFF85F9-CE44-494F-AE6D-0BF5E17201DF}"/>
  <tableColumns count="1">
    <tableColumn id="1" xr3:uid="{76F9BD85-9DD8-4350-B9A9-A39DD56CC8A2}" name="Do you have cross functional resource dependencies" dataDxfId="97"/>
  </tableColumns>
  <tableStyleInfo name="TableStyleMedium2"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61C49A9-2EC5-4D1E-9109-CE5A33F98D9C}" name="VAL_StructuralvsVolume" displayName="VAL_StructuralvsVolume" ref="CU5:CU11" totalsRowShown="0">
  <autoFilter ref="CU5:CU11" xr:uid="{E0288BA6-A8CD-4651-99D0-47421A68A75E}"/>
  <tableColumns count="1">
    <tableColumn id="1" xr3:uid="{008620ED-9C66-48B4-BD23-0D5CD17CEDC6}" name="Structural vs Volume"/>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C8A6679-F202-44BB-91E9-190370170FF2}" name="VAL_CCH_Collagues_Impacted" displayName="VAL_CCH_Collagues_Impacted" ref="CW5:CW11" totalsRowShown="0">
  <autoFilter ref="CW5:CW11" xr:uid="{697C8B8D-8678-4C94-9430-E55AC03F884A}"/>
  <tableColumns count="1">
    <tableColumn id="1" xr3:uid="{0938BBF8-2630-4FEA-B120-D39802FE58A1}" name="How many colleagues are affected by the change?"/>
  </tableColumns>
  <tableStyleInfo name="TableStyleMedium2"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9C9050F-3ECE-4135-AEE4-D4D4632013E0}" name="VAL_Change_Impact" displayName="VAL_Change_Impact" ref="CY5:CY8" totalsRowShown="0">
  <autoFilter ref="CY5:CY8" xr:uid="{7A0517DF-9EF3-4AE6-9025-13FA1F575CBD}"/>
  <tableColumns count="1">
    <tableColumn id="1" xr3:uid="{39136E85-B9F3-4DA2-825B-5ACC11AC4216}" name="How significant will the change be for the colleagues who are affected?"/>
  </tableColumns>
  <tableStyleInfo name="TableStyleMedium2"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286F94A-6F23-47B9-8916-EDBD58AB5FBA}" name="VAL_Change_Willingness" displayName="VAL_Change_Willingness" ref="DA5:DA8" totalsRowShown="0">
  <autoFilter ref="DA5:DA8" xr:uid="{44A9812F-D2B9-4346-A58F-B0071816E434}"/>
  <tableColumns count="1">
    <tableColumn id="1" xr3:uid="{8FE3D1FC-4D50-4CC2-905C-A1B880514026}" name="To what extent are the people who are affected by this change, (likely to be) willing and able to make the change?"/>
  </tableColumns>
  <tableStyleInfo name="TableStyleMedium2"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C3C9F1D-B2D5-4237-9782-CC25B3115E5A}" name="Table37" displayName="Table37" ref="Z5:Z134" totalsRowShown="0">
  <autoFilter ref="Z5:Z134" xr:uid="{2A7AE04D-4458-4958-A742-49FE930DF761}"/>
  <tableColumns count="1">
    <tableColumn id="1" xr3:uid="{6F84B834-82C9-449F-896F-63CA3C4BB071}" name="Pod (precisely what's in Wave today)"/>
  </tableColumns>
  <tableStyleInfo name="TableStyleLight8"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76E84B3-A147-4437-B1C6-75281A080D47}" name="VAL_Regions" displayName="VAL_Regions" ref="DG5:DG11" totalsRowShown="0">
  <autoFilter ref="DG5:DG11" xr:uid="{4F46D702-BCE6-48CA-85D3-64E08303D8B5}"/>
  <tableColumns count="1">
    <tableColumn id="1" xr3:uid="{814B0FFF-C22F-4241-987C-654087F252EF}" name="Regions"/>
  </tableColumns>
  <tableStyleInfo name="TableStyleMedium2"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BAFC1BB-1A2F-4382-A6D8-89236E75ADF4}" name="VAL_CoA_Mapping" displayName="VAL_CoA_Mapping" ref="DI5:DL115" totalsRowShown="0">
  <autoFilter ref="DI5:DL115" xr:uid="{341FE21B-3FB6-49BC-8E56-57B555531A06}"/>
  <tableColumns count="4">
    <tableColumn id="4" xr3:uid="{CD26E7A6-9B3F-4BB9-B646-26B04F85AE56}" name="Account Parent"/>
    <tableColumn id="5" xr3:uid="{1D81EE11-C7C2-4348-B9BD-17490A8231D6}" name="Account"/>
    <tableColumn id="1" xr3:uid="{2E5F4E13-C1BB-40C9-9B63-05DABB3135C9}" name="CoA (level1)"/>
    <tableColumn id="2" xr3:uid="{C68F2C8B-DCC8-40AF-A2DC-D63F93F785F4}" name="CoA (level2) Current"/>
  </tableColumns>
  <tableStyleInfo name="TableStyleMedium2"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BDF0AE9-FF7E-4A26-8C32-957E913E221D}" name="VAL_CoA_Level1" displayName="VAL_CoA_Level1" ref="DZ5:DZ22" totalsRowShown="0" headerRowDxfId="96" dataDxfId="95">
  <autoFilter ref="DZ5:DZ22" xr:uid="{D993BA85-6984-449B-9886-4C0C6998C9EA}"/>
  <tableColumns count="1">
    <tableColumn id="1" xr3:uid="{8FD5943B-2A0A-45D2-A2F6-09DA8320527B}" name="CoA (level1)" dataDxfId="94"/>
  </tableColumns>
  <tableStyleInfo name="TableStyleMedium2"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BEC2210-9EDC-42FC-9590-EA94DCDCC3A3}" name="VAL_CoA_Level2" displayName="VAL_CoA_Level2" ref="EB5:EC124" totalsRowShown="0" headerRowDxfId="93">
  <autoFilter ref="EB5:EC124" xr:uid="{35C26435-B87E-429A-98B5-F426E761A1CE}"/>
  <tableColumns count="2">
    <tableColumn id="1" xr3:uid="{DADE27F0-12BB-4CD8-BD1E-F906BFF1E9BA}" name="CoA (level2) (Current)"/>
    <tableColumn id="2" xr3:uid="{48060CD7-9725-4222-9551-EDBC024DFB42}" name="CoA (level2) (New)"/>
  </tableColumns>
  <tableStyleInfo name="TableStyleMedium2"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F9A9741-7E3C-415E-AAE6-DB67227D2433}" name="VAL_Legacy_OpCo" displayName="VAL_Legacy_OpCo" ref="EE5:EE14" totalsRowShown="0">
  <autoFilter ref="EE5:EE14" xr:uid="{570E2D07-63AD-4B58-8C4E-6A21FD562340}"/>
  <sortState xmlns:xlrd2="http://schemas.microsoft.com/office/spreadsheetml/2017/richdata2" ref="EE6:EE14">
    <sortCondition ref="EE5:EE14"/>
  </sortState>
  <tableColumns count="1">
    <tableColumn id="1" xr3:uid="{7318A763-5152-461F-8594-54189D2B07D0}" name="Legacy Opco"/>
  </tableColumns>
  <tableStyleInfo name="TableStyleMedium2"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45010E1-E600-41D6-B33D-6115CDFA52E9}" name="VAL_New_PandL" displayName="VAL_New_PandL" ref="EG5:EG14" totalsRowShown="0">
  <autoFilter ref="EG5:EG14" xr:uid="{C9FD49B1-282B-4BDB-96D0-E61F0AC15FE3}"/>
  <sortState xmlns:xlrd2="http://schemas.microsoft.com/office/spreadsheetml/2017/richdata2" ref="EG6:EG14">
    <sortCondition ref="EG5:EG14"/>
  </sortState>
  <tableColumns count="1">
    <tableColumn id="1" xr3:uid="{3F9F518B-1033-40E4-8629-811F29A4A94D}" name="new P&amp;L"/>
  </tableColumns>
  <tableStyleInfo name="TableStyleMedium2"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849E3-178C-4D80-8D9C-8133F929DE30}" name="VAL_FrequencyandDirection_Benefits" displayName="VAL_FrequencyandDirection_Benefits" ref="EI5:EI7" totalsRowShown="0">
  <autoFilter ref="EI5:EI7" xr:uid="{FA69B70A-25E7-4CC2-8B09-200EC0E01A4E}"/>
  <tableColumns count="1">
    <tableColumn id="1" xr3:uid="{02C753F1-E105-451F-861A-26DF69F916B1}" name="Frequency &amp; Direction:"/>
  </tableColumns>
  <tableStyleInfo name="TableStyleMedium2"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CDD0C8F-7EC6-4ECB-9CAC-A38A534AA338}" name="VAL_Version" displayName="VAL_Version" ref="EM5:EM9" totalsRowShown="0">
  <autoFilter ref="EM5:EM9" xr:uid="{55E9D19E-09DF-411B-9FDF-C8EF1A58F80D}"/>
  <tableColumns count="1">
    <tableColumn id="1" xr3:uid="{DB922CE2-FE32-4D3A-AE19-A2016B92EA28}" name="Version"/>
  </tableColumns>
  <tableStyleInfo name="TableStyleMedium2"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D5E9466-2BB0-410A-838D-A4E434594AE2}" name="VAL_Milestone_Type" displayName="VAL_Milestone_Type" ref="EO5:EO13" totalsRowShown="0">
  <autoFilter ref="EO5:EO13" xr:uid="{F6AE73EE-9D4A-49E4-AE3D-15614108852A}"/>
  <sortState xmlns:xlrd2="http://schemas.microsoft.com/office/spreadsheetml/2017/richdata2" ref="EO6:EO13">
    <sortCondition ref="EO5:EO13"/>
  </sortState>
  <tableColumns count="1">
    <tableColumn id="1" xr3:uid="{98F4FD46-B754-4EC1-BF0B-CF934D3F6FE4}" name="Milestone Type"/>
  </tableColumns>
  <tableStyleInfo name="TableStyleMedium2"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17E0920-3669-4AC9-B277-291E5D077D54}" name="VAL_Milestone_Status" displayName="VAL_Milestone_Status" ref="ES5:ES10" totalsRowShown="0">
  <autoFilter ref="ES5:ES10" xr:uid="{E4DAE9ED-A754-4FDD-80E0-8E8394681A84}"/>
  <tableColumns count="1">
    <tableColumn id="1" xr3:uid="{CCE6EF1D-7620-444F-B325-B9F54D742DEC}" name="Milestone Status"/>
  </tableColumns>
  <tableStyleInfo name="TableStyleMedium2"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385B8DC-56C0-4C56-97F7-6CC16C084A27}" name="VAL_Milestone_Progress" displayName="VAL_Milestone_Progress" ref="EU5:EU9" totalsRowShown="0">
  <autoFilter ref="EU5:EU9" xr:uid="{FC0FF999-7A63-49B5-957A-EBE793643019}"/>
  <tableColumns count="1">
    <tableColumn id="1" xr3:uid="{E7FAEDD4-C1A7-4E46-ADF6-AD9BB18CB116}" name="Milestone Progress"/>
  </tableColumns>
  <tableStyleInfo name="TableStyleMedium2"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FB637F5D-4D44-4094-BCE3-74D1BF71FD07}" name="VAL_Milestone_Priority" displayName="VAL_Milestone_Priority" ref="EW5:EW8" totalsRowShown="0">
  <autoFilter ref="EW5:EW8" xr:uid="{E3F46F2A-1261-4301-AE94-B954B0425C73}"/>
  <tableColumns count="1">
    <tableColumn id="1" xr3:uid="{A27FB22C-AEC8-41A1-B00D-CD717EA31FCD}" name="Milestone Priority"/>
  </tableColumns>
  <tableStyleInfo name="TableStyleMedium2"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752162F-1B91-4782-A38A-DD0B96D21EC2}" name="Table62" displayName="Table62" ref="EZ5:EZ8" totalsRowShown="0">
  <autoFilter ref="EZ5:EZ8" xr:uid="{08BA8FD8-C229-4958-9E2D-DA1E16FBBD16}"/>
  <tableColumns count="1">
    <tableColumn id="1" xr3:uid="{90694582-ACBB-4EC6-8836-115D7984532A}" name="PV Field Type"/>
  </tableColumns>
  <tableStyleInfo name="TableStyleMedium2"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F20AE72-BF5F-482C-826A-041E6A7D897B}" name="VAL_Impact_on_Field_Ops" displayName="VAL_Impact_on_Field_Ops" ref="FB5:FB18" totalsRowShown="0">
  <autoFilter ref="FB5:FB18" xr:uid="{DBD58BCF-6D39-4DE3-851D-74BB8D22EEA0}"/>
  <tableColumns count="1">
    <tableColumn id="1" xr3:uid="{2DE27332-78CA-40C9-9E3A-B475DC8FA0B5}" name="Impact on field operation activities"/>
  </tableColumns>
  <tableStyleInfo name="TableStyleMedium2"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A87D632-2D88-4D9D-B4EA-F055C5157491}" name="VAL_Laws" displayName="VAL_Laws" ref="FD5:FD8" totalsRowShown="0">
  <autoFilter ref="FD5:FD8" xr:uid="{1BB12024-ABF8-4560-B287-F0300726AAD9}"/>
  <tableColumns count="1">
    <tableColumn id="1" xr3:uid="{DC9FA31F-24C0-4C3C-91BB-834A0F67CA3C}" name="Impact on any laws or regulation compliance"/>
  </tableColumns>
  <tableStyleInfo name="TableStyleMedium2"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E97C3660-2C65-41D4-B68B-C659260CC7F4}" name="VAL_Epic_Size" displayName="VAL_Epic_Size" ref="FF5:FF10" totalsRowShown="0">
  <autoFilter ref="FF5:FF10" xr:uid="{8EBD88E4-BE05-4033-9276-698682D3D1EF}"/>
  <tableColumns count="1">
    <tableColumn id="1" xr3:uid="{9BF7F288-0492-4263-86C0-2A94DDA6AE3E}" name="Epic T-Size"/>
  </tableColumns>
  <tableStyleInfo name="TableStyleMedium2"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F227192-49A3-4256-B6CA-9F86CBF7C5B7}" name="VAL_ConfidenceLevel" displayName="VAL_ConfidenceLevel" ref="BY5:BZ10" totalsRowShown="0" dataDxfId="92">
  <autoFilter ref="BY5:BZ10" xr:uid="{27D6436D-79B4-4715-AC29-EFE105D313F9}"/>
  <tableColumns count="2">
    <tableColumn id="1" xr3:uid="{24AF8B08-C6C2-4A40-ABDB-70F6C26737D0}" name="Confidence Level" dataDxfId="91"/>
    <tableColumn id="2" xr3:uid="{8BCC86B8-58E6-451B-A761-C3DA4C6E19B1}" name="Score" dataDxfId="90"/>
  </tableColumns>
  <tableStyleInfo name="TableStyleMedium2"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ADA18BB5-128E-49DF-AB19-2D7541FA5CA1}" name="VAL_Strategic_Themes" displayName="VAL_Strategic_Themes" ref="BC5:BE8" totalsRowShown="0" tableBorderDxfId="89">
  <autoFilter ref="BC5:BE8" xr:uid="{EE100890-B517-4DCF-95C1-7D40D56E7B97}"/>
  <tableColumns count="3">
    <tableColumn id="1" xr3:uid="{569D1F7C-43CE-451E-9390-D02FEB4643F2}" name="Strategic Themes"/>
    <tableColumn id="2" xr3:uid="{77595F17-D0F7-4346-BF21-B847F4781D32}" name="Score"/>
    <tableColumn id="3" xr3:uid="{651B7476-DE5F-43E8-B58F-D41033AB7CFB}" name="L0 Score"/>
  </tableColumns>
  <tableStyleInfo name="TableStyleMedium2"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6684DC4-DE3C-4577-B90C-3F207E242DFE}" name="VAL_Reporting_Approach" displayName="VAL_Reporting_Approach" ref="FH5:FH12" totalsRowShown="0">
  <autoFilter ref="FH5:FH12" xr:uid="{10077184-E32E-4E99-88D6-A3F53B4BEF93}"/>
  <tableColumns count="1">
    <tableColumn id="1" xr3:uid="{427473EC-09C2-431A-9819-F0DD727D8CF6}" name="Reporting Approach"/>
  </tableColumns>
  <tableStyleInfo name="TableStyleMedium2"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82C27FEC-0325-4659-8906-670E2205A91D}" name="VAL_VP_Sponsor" displayName="VAL_VP_Sponsor" ref="FJ5:FJ646" totalsRowShown="0">
  <autoFilter ref="FJ5:FJ646" xr:uid="{D37F1108-BE8E-46CF-97DF-D1F103A3E34F}"/>
  <tableColumns count="1">
    <tableColumn id="1" xr3:uid="{633106FC-9D0E-41CB-ABC1-6B53ED9D0D7F}" name="VP Sponsor"/>
  </tableColumns>
  <tableStyleInfo name="TableStyleMedium2"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0E9D70C-D786-491F-859C-30F9F6472A31}" name="VAL_Request_Status" displayName="VAL_Request_Status" ref="FL5:FL12" totalsRowShown="0">
  <autoFilter ref="FL5:FL12" xr:uid="{C941FA8F-0255-4938-8F92-F140593C0D4A}"/>
  <tableColumns count="1">
    <tableColumn id="1" xr3:uid="{3FC091AC-4B20-44FD-B516-5AADA1228242}" name="Request_Status"/>
  </tableColumns>
  <tableStyleInfo name="TableStyleMedium2"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1661875-0D0E-40E7-B373-17D8E0AF5E60}" name="VAL_Stage" displayName="VAL_Stage" ref="FN5:FN16" totalsRowShown="0">
  <autoFilter ref="FN5:FN16" xr:uid="{BDB9EBC7-0A59-424D-B59D-E886902C918D}"/>
  <tableColumns count="1">
    <tableColumn id="1" xr3:uid="{BFBC2C49-98A1-464D-BBD0-D425CE46F021}" name="Stage"/>
  </tableColumns>
  <tableStyleInfo name="TableStyleMedium2"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90FAC84F-B5BC-4752-B5C3-7C0BC0780CE2}" name="VAL_Demand_Type" displayName="VAL_Demand_Type" ref="FP5:FP10" totalsRowShown="0">
  <autoFilter ref="FP5:FP10" xr:uid="{20309450-1B65-4BEF-BED8-3DDF1832375F}"/>
  <tableColumns count="1">
    <tableColumn id="1" xr3:uid="{5EFDE329-8EBF-4D8F-91A0-1482B4B2B415}" name="Demand_Type"/>
  </tableColumns>
  <tableStyleInfo name="TableStyleMedium2"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EAADDC8-D668-4ACD-A906-A6C08AFB3D91}" name="VAL_Ready_for_SL1" displayName="VAL_Ready_for_SL1" ref="FT5:FT7" totalsRowShown="0">
  <autoFilter ref="FT5:FT7" xr:uid="{97AEF438-5DE2-4DB9-BD06-4A606464E0AB}"/>
  <tableColumns count="1">
    <tableColumn id="1" xr3:uid="{677922E4-EB48-4F9F-A6F0-BB6AFAF406C1}" name="Ready for SL1?"/>
  </tableColumns>
  <tableStyleInfo name="TableStyleMedium2"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269E5F0-C366-44FF-98C1-7F9A28DE9283}" name="VAL_Approval_Approvers" displayName="VAL_Approval_Approvers" ref="FV5:FV8" totalsRowShown="0">
  <autoFilter ref="FV5:FV8" xr:uid="{4131034D-7A5D-410D-909F-A91AAD85D2FF}"/>
  <tableColumns count="1">
    <tableColumn id="1" xr3:uid="{AAE264D1-CC9A-4916-9AE2-B5694D42B433}" name="Approval Options-Approvers (SL3 and earlier"/>
  </tableColumns>
  <tableStyleInfo name="TableStyleMedium2"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83AE96B-3D8A-46CF-A856-710EAF15B7AC}" name="VAL_L1_Sequencing_Priority" displayName="VAL_L1_Sequencing_Priority" ref="GD5:GD9" totalsRowShown="0">
  <autoFilter ref="GD5:GD9" xr:uid="{6A7A5522-E237-4DFE-B92B-D9823BD4D3EC}"/>
  <tableColumns count="1">
    <tableColumn id="1" xr3:uid="{4CB31C7E-14E4-4B90-89D2-450CA1A3470F}" name="L1 Sequencing Priority"/>
  </tableColumns>
  <tableStyleInfo name="TableStyleMedium2"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81382018-1D97-44D0-825A-B337F785C6E4}" name="VAL_Lifecycle_Status" displayName="VAL_Lifecycle_Status" ref="GF5:GF9" totalsRowShown="0">
  <autoFilter ref="GF5:GF9" xr:uid="{A27984BB-591A-4510-97E9-5CACB1F70E3C}"/>
  <tableColumns count="1">
    <tableColumn id="1" xr3:uid="{F47140FA-6998-4289-8223-2A58B7ECFB72}" name="Lifecycle_Status"/>
  </tableColumns>
  <tableStyleInfo name="TableStyleMedium2"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8D89E7-EEA0-45B6-8D17-EAD4649DD80E}" name="VAL_Health_Status" displayName="VAL_Health_Status" ref="GH5:GH8" totalsRowShown="0">
  <autoFilter ref="GH5:GH8" xr:uid="{BD3F4AFE-42BE-4562-9F63-C7428DDF9C4B}"/>
  <tableColumns count="1">
    <tableColumn id="1" xr3:uid="{D46121DC-C739-4A70-B76F-E5A5EFAD2A8B}" name="Health_Status"/>
  </tableColumns>
  <tableStyleInfo name="TableStyleMedium2"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E5BD85A8-575E-451F-9FB5-64C9DD9754C6}" name="Lookup_Change_L4_Forecasted_Date" displayName="Lookup_Change_L4_Forecasted_Date" ref="GJ5:GL11" totalsRowShown="0">
  <autoFilter ref="GJ5:GL11" xr:uid="{E3351A37-2E8B-49FC-BD7A-09A972027D0F}"/>
  <tableColumns count="3">
    <tableColumn id="1" xr3:uid="{13A55115-A4FC-4F3C-B426-03E3687AA06C}" name="Criteria 1 (Days)"/>
    <tableColumn id="3" xr3:uid="{F56AE3BB-9B0E-4948-82CD-9687B6CEB63A}" name="Criteria 2 (Stage)"/>
    <tableColumn id="2" xr3:uid="{FDF8E4DF-4D84-4C3C-A411-EA882A85F94F}" name="Output"/>
  </tableColumns>
  <tableStyleInfo name="TableStyleMedium2"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D87D555-3F50-470C-8582-5CC68425F94E}" name="VAL_FY" displayName="VAL_FY" ref="GN5:GN10" totalsRowShown="0">
  <autoFilter ref="GN5:GN10" xr:uid="{3CB0077E-7C07-4159-82E2-BBCF1F3D8236}"/>
  <tableColumns count="1">
    <tableColumn id="1" xr3:uid="{B4D77EE9-ABDA-4BFA-BA44-0699D1143D30}" name="FY"/>
  </tableColumns>
  <tableStyleInfo name="TableStyleMedium2"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3F8EAD37-6894-478B-B4D3-45755B10CCD5}" name="VAL_Demand_SubType" displayName="VAL_Demand_SubType" ref="FR5:FR9" totalsRowShown="0">
  <autoFilter ref="FR5:FR9" xr:uid="{59BD98CD-CE78-4B9A-9AB8-FBFF53D200B2}"/>
  <tableColumns count="1">
    <tableColumn id="1" xr3:uid="{69E7D575-2EE3-4926-A117-0BA4FE456AF2}" name="Demand_SubType"/>
  </tableColumns>
  <tableStyleInfo name="TableStyleMedium2"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CFAEC815-D54A-4FD7-A4E2-2A903A81CCDF}" name="VAL_CCH_Quoted_ServiceLevel" displayName="VAL_CCH_Quoted_ServiceLevel" ref="DC5:DC8" totalsRowShown="0">
  <autoFilter ref="DC5:DC8" xr:uid="{84CEAD7B-FAD0-4B04-974B-0215A5067E9C}"/>
  <tableColumns count="1">
    <tableColumn id="1" xr3:uid="{963E0F3D-52C6-40D1-AD9B-E7FDF97DE323}" name="CCH_Quoted_ServiceLevel"/>
  </tableColumns>
  <tableStyleInfo name="TableStyleMedium2"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B92BF4F1-56A9-4C9D-B272-57330F33AB8B}" name="VAL_Special_Projects" displayName="VAL_Special_Projects" ref="GP5:GP14" totalsRowShown="0">
  <autoFilter ref="GP5:GP14" xr:uid="{AAB24FE6-DA7B-43C3-910B-33E7DB76B267}"/>
  <sortState xmlns:xlrd2="http://schemas.microsoft.com/office/spreadsheetml/2017/richdata2" ref="GP6:GP14">
    <sortCondition ref="GP5:GP14"/>
  </sortState>
  <tableColumns count="1">
    <tableColumn id="1" xr3:uid="{6E953963-BD98-4E50-8B21-B98356F4BAF0}" name="Special_Projects"/>
  </tableColumns>
  <tableStyleInfo name="TableStyleMedium2"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8BC72C7D-8006-4F65-8030-92767E6BE96A}" name="VAL_Leadership_Review" displayName="VAL_Leadership_Review" ref="GR5:GR8" totalsRowShown="0">
  <autoFilter ref="GR5:GR8" xr:uid="{F55BF84C-8A60-44C9-B8BB-D8BAE8C07F74}"/>
  <tableColumns count="1">
    <tableColumn id="1" xr3:uid="{6D474095-846E-4066-B300-98E15921523F}" name="Leadership_Review"/>
  </tableColumns>
  <tableStyleInfo name="TableStyleMedium2"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500589D2-D894-4316-9DF3-F559A3254BC7}" name="Lookup_Range" displayName="Lookup_Range" ref="GT5:GU18" totalsRowShown="0">
  <autoFilter ref="GT5:GU18" xr:uid="{E23A131A-21F7-4CAA-B45B-B1CBB0EB2E30}"/>
  <tableColumns count="2">
    <tableColumn id="1" xr3:uid="{D4AE3049-9E20-4AD3-B6CF-8404AA3DA47E}" name="NPV" dataDxfId="88" dataCellStyle="Currency"/>
    <tableColumn id="2" xr3:uid="{43078DC1-EC11-4E8C-8432-74B69042AC69}" name="NPV Range"/>
  </tableColumns>
  <tableStyleInfo name="TableStyleMedium2"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927ABEF-8567-4893-85D6-535DE339DB7D}" name="VAL_GAAP" displayName="VAL_GAAP" ref="GW5:GW16" totalsRowShown="0">
  <autoFilter ref="GW5:GW16" xr:uid="{45C3E52B-E67B-4574-A09E-30D5D7DE6401}"/>
  <sortState xmlns:xlrd2="http://schemas.microsoft.com/office/spreadsheetml/2017/richdata2" ref="GW6:GW16">
    <sortCondition ref="GW5:GW16"/>
  </sortState>
  <tableColumns count="1">
    <tableColumn id="1" xr3:uid="{BA69FE18-FE93-46A4-88D0-F910A751309F}" name="Gaap vs nongaap"/>
  </tableColumns>
  <tableStyleInfo name="TableStyleMedium2"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2D1A9AF2-1093-4C23-B7F5-414276A299AF}" name="Lookup_SL1_Prioritization" displayName="Lookup_SL1_Prioritization" ref="GY5:GZ8" totalsRowShown="0">
  <autoFilter ref="GY5:GZ8" xr:uid="{88A4DB3B-C153-49A4-BB24-1B93F6D9FE3C}"/>
  <tableColumns count="2">
    <tableColumn id="1" xr3:uid="{1D52B541-2037-4F39-97F3-D108EB916B1F}" name="SL1 Prioritization Score"/>
    <tableColumn id="2" xr3:uid="{320F3258-C8F4-443D-91FF-5C979A101D04}" name="SL1 Prioritization Score Bin"/>
  </tableColumns>
  <tableStyleInfo name="TableStyleMedium2"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C183E07-9877-4128-9270-F17084DC4031}" name="VAL_Latest_Month_Actual" displayName="VAL_Latest_Month_Actual" ref="HD5:HE37" totalsRowShown="0">
  <autoFilter ref="HD5:HE37" xr:uid="{2516CE6B-3439-4A3F-BA1A-27C95A43C3E8}"/>
  <tableColumns count="2">
    <tableColumn id="1" xr3:uid="{11689675-9847-44E8-91DC-9ADF8FA7D763}" name="Latest Month Actuals Completed"/>
    <tableColumn id="2" xr3:uid="{E35BA852-D272-42B9-8AA5-D9C81718F216}" name="Text" dataDxfId="87">
      <calculatedColumnFormula>TEXT(VAL_Latest_Month_Actual[[#This Row],[Latest Month Actuals Completed]],"[$-en-US]mmm 'yy;@")</calculatedColumnFormula>
    </tableColumn>
  </tableColumns>
  <tableStyleInfo name="TableStyleMedium2"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7782834-8786-452B-A2C1-22FBFB06A5A7}" name="VAL_LStage" displayName="VAL_LStage" ref="HH5:HH27" totalsRowShown="0">
  <autoFilter ref="HH5:HH27" xr:uid="{1565DC3B-A630-4C7D-A182-EDF65399F4D2}"/>
  <tableColumns count="1">
    <tableColumn id="1" xr3:uid="{EA064128-FF02-4139-BE2C-9553E0B0A58C}" name="L Stage"/>
  </tableColumns>
  <tableStyleInfo name="TableStyleMedium2"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D93D57D3-6F37-4A64-92D9-B2862B5D1E85}" name="VAL_Measure_and_Unit" displayName="VAL_Measure_and_Unit" ref="HJ5:HJ72" totalsRowShown="0">
  <autoFilter ref="HJ5:HJ72" xr:uid="{47AF39EB-6A44-47F0-AF39-B6965013F5E4}"/>
  <sortState xmlns:xlrd2="http://schemas.microsoft.com/office/spreadsheetml/2017/richdata2" ref="HJ6:HJ72">
    <sortCondition ref="HJ5:HJ72"/>
  </sortState>
  <tableColumns count="1">
    <tableColumn id="1" xr3:uid="{549398F6-6495-43FF-8459-0B78F8235231}" name="Measure and Unit"/>
  </tableColumns>
  <tableStyleInfo name="TableStyleMedium2"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7E9A88FF-511E-46F3-97AA-A555C49547E1}" name="VAL_Aggregation_Mode" displayName="VAL_Aggregation_Mode" ref="HL5:HL10" totalsRowShown="0">
  <autoFilter ref="HL5:HL10" xr:uid="{0443BB3C-E20C-427C-B051-35AD87C44E9A}"/>
  <tableColumns count="1">
    <tableColumn id="1" xr3:uid="{9CA36E29-9D02-4B13-BAC1-B7C9142AFE99}" name="Aggregation_Mode"/>
  </tableColumns>
  <tableStyleInfo name="TableStyleMedium2"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84116E67-5826-465F-9903-5A0AE687EC8F}" name="VAL_KPI_Type" displayName="VAL_KPI_Type" ref="HN5:HN10" totalsRowShown="0">
  <autoFilter ref="HN5:HN10" xr:uid="{5FD41176-FE2D-4A35-9F57-34FCAEBE57FD}"/>
  <sortState xmlns:xlrd2="http://schemas.microsoft.com/office/spreadsheetml/2017/richdata2" ref="HN6:HN10">
    <sortCondition ref="HN5:HN10"/>
  </sortState>
  <tableColumns count="1">
    <tableColumn id="1" xr3:uid="{EFF4EFD5-752F-4EAE-A305-3F0FCB3B26FD}" name="KPI_Type"/>
  </tableColumns>
  <tableStyleInfo name="TableStyleMedium2"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2C1276A-517E-4762-BFF4-C5FD539B41B0}" name="VAL_Risk_Type" displayName="VAL_Risk_Type" ref="HP5:HP14" totalsRowShown="0">
  <autoFilter ref="HP5:HP14" xr:uid="{54834A8F-32A1-43E5-A4D4-76D609D08A23}"/>
  <tableColumns count="1">
    <tableColumn id="1" xr3:uid="{9460F5A6-2E95-462A-9FE5-A0112AC09113}" name="Risk_Type"/>
  </tableColumns>
  <tableStyleInfo name="TableStyleMedium2"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EAA70C20-0C10-4609-9AD0-64E8592833F2}" name="VAL_Value_Drivers" displayName="VAL_Value_Drivers" ref="HR5:HR14" totalsRowShown="0">
  <autoFilter ref="HR5:HR14" xr:uid="{9B845EFF-F1B1-412F-8AB4-59F4DA4FA278}"/>
  <tableColumns count="1">
    <tableColumn id="1" xr3:uid="{5BBD870E-3584-4245-9D87-60A9EA6E4C5B}" name="Value Drivers"/>
  </tableColumns>
  <tableStyleInfo name="TableStyleMedium2"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D701E1C-BDED-4BA2-8E3C-20B4E69F26A8}" name="VAL_Approval_EPM_Triage" displayName="VAL_Approval_EPM_Triage" ref="GB5:GB7" totalsRowShown="0">
  <autoFilter ref="GB5:GB7" xr:uid="{0D1DF4AB-4ECA-4012-91AA-8C8D1815431E}"/>
  <tableColumns count="1">
    <tableColumn id="1" xr3:uid="{D4A6DC2D-8573-40D2-A666-94F23FB9DE4C}" name="Approval Options-EPM/Tiage"/>
  </tableColumns>
  <tableStyleInfo name="TableStyleMedium2"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75CFE40-1542-4EC9-A542-76713F5D6CDB}" name="VAL_Approval_ApproversSL4_SL5" displayName="VAL_Approval_ApproversSL4_SL5" ref="FX5:FX7" totalsRowShown="0">
  <autoFilter ref="FX5:FX7" xr:uid="{E398C93F-B1BF-46CC-826E-7459044E7BCF}"/>
  <tableColumns count="1">
    <tableColumn id="1" xr3:uid="{FF87F755-8565-45F8-BF3E-053A84A27ADF}" name="Approval Options-Approvers (SL4 &amp; SL5)"/>
  </tableColumns>
  <tableStyleInfo name="TableStyleMedium2"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7E5CA655-0F82-4DB4-BEDD-498B41283455}" name="VAL_Account_Parent" displayName="VAL_Account_Parent" ref="DX5:DX10" totalsRowShown="0" headerRowDxfId="86">
  <autoFilter ref="DX5:DX10" xr:uid="{2E742F55-0BBA-49B2-9A6D-4B4860E4F33A}"/>
  <tableColumns count="1">
    <tableColumn id="1" xr3:uid="{49AB50DF-7EA6-4E00-8056-FCBDEBD488F9}" name="Account Parent"/>
  </tableColumns>
  <tableStyleInfo name="TableStyleMedium2"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A6B6C989-0E86-454D-8F23-841CA4B5C1A0}" name="VAL_Impact_Type_Revenue" displayName="VAL_Impact_Type_Revenue" ref="DT5:DT20" totalsRowShown="0">
  <autoFilter ref="DT5:DT20" xr:uid="{C5D2397A-C0DE-4595-BB20-869E0B627340}"/>
  <tableColumns count="1">
    <tableColumn id="1" xr3:uid="{8E92E82F-A04A-4C5F-B09A-9981A031ACCD}" name="Revenue"/>
  </tableColumns>
  <tableStyleInfo name="TableStyleMedium2"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E560771E-9B54-4D97-B720-4CDE02913E52}" name="VAL_Risk_Probability" displayName="VAL_Risk_Probability" ref="HT5:HT10" totalsRowShown="0">
  <autoFilter ref="HT5:HT10" xr:uid="{47B1FC43-9C94-445B-90B7-FA28FB8EA9CE}"/>
  <tableColumns count="1">
    <tableColumn id="1" xr3:uid="{C60FB1CD-8352-4417-9201-5D11BA86219D}" name="Risk Probability"/>
  </tableColumns>
  <tableStyleInfo name="TableStyleMedium2"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2DE2C1DB-B8A6-4B3A-BC8F-72C65DAD5E13}" name="VAL_Risk_Impact" displayName="VAL_Risk_Impact" ref="HV5:HV10" totalsRowShown="0">
  <autoFilter ref="HV5:HV10" xr:uid="{7F462A71-9AD4-4FB5-87BC-0B6555E796C3}"/>
  <tableColumns count="1">
    <tableColumn id="1" xr3:uid="{4258D0D4-1182-45EE-92BA-8E2B5108EBF4}" name="Risk Impact"/>
  </tableColumns>
  <tableStyleInfo name="TableStyleMedium2"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28115344-BBC8-4F68-AC0F-E5863ACD2802}" name="VAL_Financial_Version_Name" displayName="VAL_Financial_Version_Name" ref="HX5:HX9" totalsRowShown="0">
  <autoFilter ref="HX5:HX9" xr:uid="{A75AC68A-8CB0-4DFB-962A-85115438DFD4}"/>
  <tableColumns count="1">
    <tableColumn id="1" xr3:uid="{D900E710-F989-4380-A686-4357D0EC36A4}" name="Financial Version Name"/>
  </tableColumns>
  <tableStyleInfo name="TableStyleMedium2"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A224A66-462F-49E9-8ED7-2091B0A946A6}" name="VAL_Risk_Status" displayName="VAL_Risk_Status" ref="HZ5:HZ10" totalsRowShown="0">
  <autoFilter ref="HZ5:HZ10" xr:uid="{7C40AEE1-86AF-433E-9B7D-21A398369EF9}"/>
  <tableColumns count="1">
    <tableColumn id="1" xr3:uid="{FF4B16FD-05DA-4466-B456-A0A798854801}" name="Risk Status"/>
  </tableColumns>
  <tableStyleInfo name="TableStyleMedium2"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69A99702-69A2-437A-B085-8E5A50A7CAE8}" name="Lookup_MilestoneProgress" displayName="Lookup_MilestoneProgress" ref="IB5:ID13" totalsRowShown="0">
  <autoFilter ref="IB5:ID13" xr:uid="{634FD4EB-A2B7-483D-883E-A016D626FC42}"/>
  <tableColumns count="3">
    <tableColumn id="1" xr3:uid="{C0B7DB96-B3B9-49CD-9DD2-C2284C1DA518}" name="Milestone Status (Current Field)"/>
    <tableColumn id="2" xr3:uid="{187C29CA-1D03-48CD-88CC-5D2EAC7F7B97}" name="Current Logic in Wave"/>
    <tableColumn id="3" xr3:uid="{7BA1EAFF-367D-4D3B-B726-35A3A4D1A7A5}" name="Mapping to Milestone Progress"/>
  </tableColumns>
  <tableStyleInfo name="TableStyleMedium2"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A88D4D35-4656-4EED-BAE7-C88F1FF7162D}" name="VAL_Cost_Impact_Type" displayName="VAL_Cost_Impact_Type" ref="DN5:DO88" totalsRowShown="0">
  <autoFilter ref="DN5:DO88" xr:uid="{3FCD2ACD-7BEA-4A38-B291-40CE55753C1D}"/>
  <tableColumns count="2">
    <tableColumn id="1" xr3:uid="{B6F0AD5D-AAA3-4D93-8AF5-434056E0C83A}" name="Cost Impact Type (level 1)"/>
    <tableColumn id="2" xr3:uid="{AF460DF1-A5A1-4ADB-92B6-E4ADC0A0F067}" name="Cost Impact Type (level 2)"/>
  </tableColumns>
  <tableStyleInfo name="TableStyleMedium2"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3B5703EF-1449-4392-887A-C6563192DE3A}" name="VAL_Entry_Type" displayName="VAL_Entry_Type" ref="DV5:DV7" totalsRowShown="0">
  <autoFilter ref="DV5:DV7" xr:uid="{336FF689-FD00-4584-9450-011C88A31268}"/>
  <tableColumns count="1">
    <tableColumn id="1" xr3:uid="{33259A97-3995-4CA8-979E-33BA74BE5A35}" name="Entry Type"/>
  </tableColumns>
  <tableStyleInfo name="TableStyleMedium2"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65F214E7-33B3-4559-A501-1D76B2978C9F}" name="VAL_Portfolio_Mapping" displayName="VAL_Portfolio_Mapping" ref="AL5:AM23" totalsRowShown="0">
  <autoFilter ref="AL5:AM23" xr:uid="{A7D3125B-F541-4088-8A00-734E12A3E794}"/>
  <tableColumns count="2">
    <tableColumn id="1" xr3:uid="{673015E9-A832-49CE-8E49-6EB80D6AA5E1}" name="Portfolio (New)"/>
    <tableColumn id="3" xr3:uid="{C5BA6DC5-B927-41E6-B999-4B3864BCBED4}" name="Portfolio (Old)"/>
  </tableColumns>
  <tableStyleInfo name="TableStyleMedium2"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493F5F53-FF70-4E5D-A5C0-BDF91529F155}" name="VAL_FrequencyandDirection_Costs" displayName="VAL_FrequencyandDirection_Costs" ref="EK5:EK8" totalsRowShown="0">
  <autoFilter ref="EK5:EK8" xr:uid="{129F9E20-568A-4288-AFF3-1DF70EF5AB43}"/>
  <tableColumns count="1">
    <tableColumn id="1" xr3:uid="{665F5BE5-4FE7-413B-AD3A-0CFDB9813A24}" name="Frequency &amp; Direction:"/>
  </tableColumns>
  <tableStyleInfo name="TableStyleMedium2"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64310DB1-B060-41BB-9769-837022BC8F90}" name="VAL_Azure_Subscription_List" displayName="VAL_Azure_Subscription_List" ref="IF5:IF39" totalsRowShown="0">
  <autoFilter ref="IF5:IF39" xr:uid="{F21A1D92-3A9A-44FF-82DD-ACBEC678C5CB}"/>
  <tableColumns count="1">
    <tableColumn id="1" xr3:uid="{64455451-29C6-4F4A-96B5-F0F627AACA9C}" name="Azure Subscription List"/>
  </tableColumns>
  <tableStyleInfo name="TableStyleMedium2"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A6650BF4-C848-46AB-B3CA-1D0ACACC5FDE}" name="VAL_MS_Azure_Usage_Size" displayName="VAL_MS_Azure_Usage_Size" ref="IH5:IH10" totalsRowShown="0">
  <autoFilter ref="IH5:IH10" xr:uid="{349C7A6E-95F5-42AD-8D05-B2D3F65ECE14}"/>
  <tableColumns count="1">
    <tableColumn id="1" xr3:uid="{12C5F510-69F9-47B1-A8D5-83B34B9DB77A}" name="MS Azure Usage Size"/>
  </tableColumns>
  <tableStyleInfo name="TableStyleMedium2"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515F342-1D38-45D9-AEB8-D0D0C08D9BA5}" name="VAL_Purpose" displayName="VAL_Purpose" ref="IJ5:IJ8" totalsRowShown="0">
  <autoFilter ref="IJ5:IJ8" xr:uid="{8277EDD0-71EB-4B95-869B-F1D35AE227A5}"/>
  <tableColumns count="1">
    <tableColumn id="1" xr3:uid="{C41E4CE3-1BB0-4194-B942-F35B022DE30A}" name="Purpose"/>
  </tableColumns>
  <tableStyleInfo name="TableStyleMedium2"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866FEB92-7873-4000-86BF-365317B34736}" name="VAL_Approval_ApproversCCH" displayName="VAL_Approval_ApproversCCH" ref="FZ5:FZ8" totalsRowShown="0">
  <autoFilter ref="FZ5:FZ8" xr:uid="{233D6657-F6ED-419E-9133-050CB370BD38}"/>
  <tableColumns count="1">
    <tableColumn id="1" xr3:uid="{31248ABE-C94F-4C18-834F-341FD5E414DE}" name="Approval Options-Approvers (SL4 &amp; SL5)"/>
  </tableColumns>
  <tableStyleInfo name="TableStyleMedium2"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289BBB6F-02C7-4E2F-8A44-8D16F095E7FF}" name="VAL_CAPEX_Impact_Type" displayName="VAL_CAPEX_Impact_Type" ref="DQ5:DR15" totalsRowShown="0" headerRowDxfId="85" headerRowBorderDxfId="84" tableBorderDxfId="83" totalsRowBorderDxfId="82">
  <autoFilter ref="DQ5:DR15" xr:uid="{4D064C26-A63D-4D0C-9918-41912575147E}"/>
  <tableColumns count="2">
    <tableColumn id="1" xr3:uid="{1FB856BA-A21F-44F3-A5F9-77EAC600E129}" name="CAPEX Impact Type (level 1)"/>
    <tableColumn id="2" xr3:uid="{73A2368C-075B-498D-963C-BB5DCD825B3F}" name="CAPEX Impact Type (level 2)"/>
  </tableColumns>
  <tableStyleInfo name="TableStyleMedium2"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4913C1C9-4D54-4B27-BF4A-67F20EAFD791}" name="Table95" displayName="Table95" ref="E5:F261" totalsRowShown="0">
  <autoFilter ref="E5:F261" xr:uid="{13F4FE5E-5427-4B91-A0F9-5397B8E565DE}"/>
  <tableColumns count="2">
    <tableColumn id="1" xr3:uid="{1251FD0C-E3CA-4EEC-B0EA-14B4BA2521E8}" name="Drive_Pod"/>
    <tableColumn id="2" xr3:uid="{DB8E662F-C19E-4DBF-97CB-21953A8B3CE2}" name="Pod Father Key"/>
  </tableColumns>
  <tableStyleInfo name="TableStyleMedium2"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8568741D-A669-4020-BCA9-D44D02ECACD5}" name="VAL_SubPod" displayName="VAL_SubPod" ref="K5:K65" totalsRowShown="0">
  <autoFilter ref="K5:K65" xr:uid="{942DEDEF-5F7C-4E31-8A43-EB871B1C4B14}"/>
  <sortState xmlns:xlrd2="http://schemas.microsoft.com/office/spreadsheetml/2017/richdata2" ref="K6:K65">
    <sortCondition ref="K5:K65"/>
  </sortState>
  <tableColumns count="1">
    <tableColumn id="1" xr3:uid="{81C8EF51-C43B-4305-87EE-511D59741384}" name="Sub Pod"/>
  </tableColumns>
  <tableStyleInfo name="TableStyleMedium2"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E8D566E7-A4FB-4D41-AA6F-7A7E9EB2378C}" name="VAL_Portfolio_Greenlight" displayName="VAL_Portfolio_Greenlight" ref="IL5:IL9" totalsRowShown="0">
  <autoFilter ref="IL5:IL9" xr:uid="{78C64799-B4F3-42AA-AD91-D849D3E20401}"/>
  <tableColumns count="1">
    <tableColumn id="1" xr3:uid="{420CA9E3-3B44-4543-BDB3-8261C05115D2}" name="Portfolio Greenlight"/>
  </tableColumns>
  <tableStyleInfo name="TableStyleMedium2"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F88F6A7B-7A3F-47BD-B63D-BE04D4410CFC}" name="Table98" displayName="Table98" ref="H5:I37" totalsRowShown="0">
  <autoFilter ref="H5:I37" xr:uid="{50C8E65B-7FB4-443E-B70F-4720522A8C2F}"/>
  <tableColumns count="2">
    <tableColumn id="1" xr3:uid="{350F5C2B-982E-43B3-A595-DBD986F2EB57}" name="Drive_Domain"/>
    <tableColumn id="2" xr3:uid="{9D8DB2C2-BBB9-4256-81A0-8AF80218F7C7}" name="structure_code"/>
  </tableColumns>
  <tableStyleInfo name="TableStyleMedium2"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2627AB35-8AA9-446B-8EF2-6FB1CF5ADF2F}" name="VAL_External_Spend" displayName="VAL_External_Spend" ref="IO5:IO21" totalsRowShown="0">
  <autoFilter ref="IO5:IO21" xr:uid="{006C1CC8-7966-4038-BBCD-45EEA7B25F7C}"/>
  <sortState xmlns:xlrd2="http://schemas.microsoft.com/office/spreadsheetml/2017/richdata2" ref="IO6:IO21">
    <sortCondition ref="IO5:IO21"/>
  </sortState>
  <tableColumns count="1">
    <tableColumn id="1" xr3:uid="{2505033D-45C8-4DCD-9614-D51D8D21C9F9}" name="External Spend Category"/>
  </tableColumns>
  <tableStyleInfo name="TableStyleMedium2"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A3D35905-8EB7-4A7E-BB1B-2185D37C7345}" name="Table56" displayName="Table56" ref="E264:F268" totalsRowShown="0" tableBorderDxfId="81">
  <autoFilter ref="E264:F268" xr:uid="{DB96F90A-5374-466A-8E3D-6428B2C89DE0}"/>
  <tableColumns count="2">
    <tableColumn id="1" xr3:uid="{D5B4C79F-EC20-40A5-BB45-F01CC8815C8B}" name="Archived Pods"/>
    <tableColumn id="2" xr3:uid="{9995636A-002B-4CA4-9D8B-0B41E0CA9D0B}" name="Old code" dataDxfId="80"/>
  </tableColumns>
  <tableStyleInfo name="TableStyleMedium2"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D5A7143D-BF37-45EC-AE52-1C4189A36A4D}" name="Table100" displayName="Table100" ref="EQ5:EQ18" totalsRowShown="0">
  <autoFilter ref="EQ5:EQ18" xr:uid="{311E9838-9CAF-4BEF-9BE4-A13DAC8E8BD5}"/>
  <sortState xmlns:xlrd2="http://schemas.microsoft.com/office/spreadsheetml/2017/richdata2" ref="EQ6:EQ18">
    <sortCondition ref="EQ5:EQ18"/>
  </sortState>
  <tableColumns count="1">
    <tableColumn id="1" xr3:uid="{5E346A33-69AA-41B2-AFCB-040CCCCDBEB1}" name="Milestone Type_FDW"/>
  </tableColumns>
  <tableStyleInfo name="TableStyleMedium2"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A5B0646-AA24-4509-9188-9FB93CF5A647}" name="VAL_CoA_Mapping103" displayName="VAL_CoA_Mapping103" ref="DI119:DL229" totalsRowShown="0">
  <autoFilter ref="DI119:DL229" xr:uid="{9A20E69A-D6DC-46A0-BFB8-BD3DDB3FDC40}"/>
  <tableColumns count="4">
    <tableColumn id="4" xr3:uid="{4AE000D5-3B3D-4E59-83D3-F9A3E6141A2F}" name="Account Parent"/>
    <tableColumn id="5" xr3:uid="{E9CBCE89-0122-4808-8A7F-321B4274366D}" name="Account"/>
    <tableColumn id="1" xr3:uid="{CE15FF92-7BCE-4B5C-8820-C7BBEBC837BD}" name="CoA (level1)"/>
    <tableColumn id="2" xr3:uid="{A71DAAB1-8CB3-4C69-9A0A-167D96757EE1}" name="CoA (level2) Current"/>
  </tableColumns>
  <tableStyleInfo name="TableStyleMedium2" showFirstColumn="0"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ACEB4ED-3EEC-4267-8423-4D9A5C5302F3}" name="TEMP_ref_tech" displayName="TEMP_ref_tech" ref="A1:AB128" totalsRowShown="0" headerRowDxfId="79" dataDxfId="77" headerRowBorderDxfId="78" tableBorderDxfId="76" totalsRowBorderDxfId="75">
  <autoFilter ref="A1:AB128" xr:uid="{2ACEB4ED-3EEC-4267-8423-4D9A5C5302F3}"/>
  <tableColumns count="28">
    <tableColumn id="1" xr3:uid="{3A37B9F6-C1B5-4C40-A64A-AC356436E7B7}" name="Source Tab" dataDxfId="74"/>
    <tableColumn id="2" xr3:uid="{473E9736-0FFF-4DDA-8EE9-787D603921F1}" name="Lifecycle Stage" dataDxfId="73"/>
    <tableColumn id="3" xr3:uid="{D22C95EC-60B8-49AD-9672-AEB09B2440C0}" name="Op Model Step" dataDxfId="72"/>
    <tableColumn id="4" xr3:uid="{A0261E2F-D77B-46C1-8C75-98599816AC84}" name="Lifecycle Step Name" dataDxfId="71"/>
    <tableColumn id="5" xr3:uid="{0D480D69-6904-4393-8D98-DFF32918C73E}" name="Section Name" dataDxfId="70"/>
    <tableColumn id="6" xr3:uid="{984C7F46-60DB-44E5-8BAD-C59399854E4C}" name="Lifecycle Screen User Role" dataDxfId="69"/>
    <tableColumn id="7" xr3:uid="{F2356A62-B807-4DCD-8B6D-F770BBD6C02C}" name="Target Entity" dataDxfId="68"/>
    <tableColumn id="8" xr3:uid="{1B8A593A-178B-497B-876B-51334176274B}" name="Target Field Name" dataDxfId="67"/>
    <tableColumn id="9" xr3:uid="{31065270-C140-4B2C-B405-5908A21C494D}" name="Source PROD ID" dataDxfId="66"/>
    <tableColumn id="10" xr3:uid="{FE513BCE-0267-475C-920A-3A092AF173EB}" name="Target DEV SB ID" dataDxfId="65"/>
    <tableColumn id="11" xr3:uid="{E0338D40-CE1E-454F-9941-E38E5BB48AC8}" name="Type" dataDxfId="64"/>
    <tableColumn id="12" xr3:uid="{6E7BEB12-85B0-45C3-A248-BC7A2EB1E635}" name="Value Type" dataDxfId="63"/>
    <tableColumn id="13" xr3:uid="{A521171E-4C61-4C17-841D-89832636CBC6}" name="Selection Type" dataDxfId="62"/>
    <tableColumn id="14" xr3:uid="{EAC29CDB-111C-4E98-A889-ABEE24BED96C}" name="Values" dataDxfId="61"/>
    <tableColumn id="15" xr3:uid="{B08F177D-DD74-464A-B4F7-5EE54FA8F817}" name="Options (Req./RO/Opt.)" dataDxfId="60"/>
    <tableColumn id="16" xr3:uid="{3682613B-B160-4EA5-87F5-3A217E2B4E6D}" name="Editable After Submission" dataDxfId="59"/>
    <tableColumn id="17" xr3:uid="{CFD5A238-A601-40C8-A2BB-FAC9662F66A3}" name="Hover Text or Static Text" dataDxfId="58"/>
    <tableColumn id="18" xr3:uid="{85DE2999-C834-48FF-8276-0A1976603178}" name="Notes/Comments" dataDxfId="57"/>
    <tableColumn id="19" xr3:uid="{0D5C58F3-36B9-4210-82BF-F0EFD5EB3D2E}" name="Current Attribute in FDXPROD?" dataDxfId="56"/>
    <tableColumn id="20" xr3:uid="{413F1AFD-8912-46D2-A71D-04986235970F}" name="Current Attribute in FDXSANDBOXA?" dataDxfId="55"/>
    <tableColumn id="21" xr3:uid="{66589DB7-708A-4A01-B7F3-AA06D30173F0}" name="Needed in Roadmaps?" dataDxfId="54"/>
    <tableColumn id="22" xr3:uid="{C54E243C-84B1-4313-9D9B-6C7DC3D8F4B1}" name="Primary Reviewer" dataDxfId="53"/>
    <tableColumn id="23" xr3:uid="{2BCA9B41-C00D-44B7-B7AA-DA9EF0E935D2}" name="Entity_Flag_Manual_Review" dataDxfId="52"/>
    <tableColumn id="24" xr3:uid="{BA92C7DD-CE46-4AA2-938E-362E15BFFA39}" name="Lifecycle Stage2" dataDxfId="51"/>
    <tableColumn id="25" xr3:uid="{7A4BB5C9-AC53-4320-97DF-0053F60E35F0}" name="Source Demand Type" dataDxfId="50"/>
    <tableColumn id="26" xr3:uid="{F83B33A3-376F-4989-9BC9-78B5BEA911A8}" name="Target Demand Type" dataDxfId="49"/>
    <tableColumn id="27" xr3:uid="{B18204F1-8637-41F5-8971-6EECC93BC761}" name="Required" dataDxfId="48"/>
    <tableColumn id="28" xr3:uid="{519D6A07-D7ED-4CBA-A553-82DD0635679F}" name="Has Dropdown" dataDxfId="47"/>
  </tableColumns>
  <tableStyleInfo name="TableStyleMedium9"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0FBE948D-FB74-46A3-8C4A-991804582842}" name="Goldcopy_cons" displayName="Goldcopy_cons" ref="A1:X161" totalsRowShown="0">
  <autoFilter ref="A1:X161" xr:uid="{0FBE948D-FB74-46A3-8C4A-991804582842}"/>
  <tableColumns count="24">
    <tableColumn id="1" xr3:uid="{5814A463-E16D-4BEC-938A-5BBBC721D924}" name="Primary Reviewer"/>
    <tableColumn id="2" xr3:uid="{7CE5A446-3913-4EE5-90E5-7EBE38E571EC}" name="Op Model Step"/>
    <tableColumn id="3" xr3:uid="{514673BA-C722-493C-950F-0E1ECDBBD67D}" name="Lifecycle Step Name"/>
    <tableColumn id="4" xr3:uid="{9FBB0092-BF11-4AE0-88DC-DC7123EB23B1}" name="Section Name"/>
    <tableColumn id="5" xr3:uid="{0B2CD75F-2E52-4590-997B-76C730471B6A}" name="Lifecycle Screen User Role"/>
    <tableColumn id="6" xr3:uid="{B9B3B99A-312D-4CB0-BE08-A5C08E690E87}" name="Entity"/>
    <tableColumn id="24" xr3:uid="{B5ECE4F6-D5EC-4573-95D5-51D3560F6656}" name="Entity|ID" dataDxfId="46">
      <calculatedColumnFormula>_xlfn.TEXTJOIN("|",FALSE,Goldcopy_cons[[#This Row],[Entity]],Goldcopy_cons[[#This Row],[DEV SB ID]])</calculatedColumnFormula>
    </tableColumn>
    <tableColumn id="7" xr3:uid="{BED6CA41-1CFA-4641-AF5A-7AA393055A6A}" name="Notes/Comments"/>
    <tableColumn id="8" xr3:uid="{B24C3D3F-3285-498C-86EC-51974BC1C063}" name="Current Attribute in FDXPROD?"/>
    <tableColumn id="9" xr3:uid="{E10B7DAB-4DE6-49B6-BBAB-A5180A27989C}" name="Current Attribute in FDXSANDBOXA?"/>
    <tableColumn id="10" xr3:uid="{C3C9591B-2D87-4F0F-9209-7857A3E4544A}" name="Field Name"/>
    <tableColumn id="11" xr3:uid="{63843F10-5218-447F-9766-64F397F940B6}" name="PROD ID"/>
    <tableColumn id="12" xr3:uid="{3376E136-CE89-45E1-8B14-51CA81D48D32}" name="FDXSANDBOXA ID"/>
    <tableColumn id="13" xr3:uid="{B95EB85E-DD8C-494F-9AC3-4645EC6D21BB}" name="DEV SB ID"/>
    <tableColumn id="14" xr3:uid="{6FE6BD17-1AE9-4A24-BBF8-9DDCF4D69B63}" name="Type"/>
    <tableColumn id="15" xr3:uid="{3B00CB76-B1F4-44B2-B6E9-3BBF74A68A30}" name="Value Type"/>
    <tableColumn id="16" xr3:uid="{B4DB7196-0921-45C6-A2BC-2ECAE6883B39}" name="Selection Type"/>
    <tableColumn id="17" xr3:uid="{929B1F8A-789A-4905-B30C-8B47DC78065E}" name="Values"/>
    <tableColumn id="18" xr3:uid="{DB24EF91-A528-4184-B6D3-8A3DF06157F8}" name="Hover Text or Static Text "/>
    <tableColumn id="19" xr3:uid="{F4B4678B-52C7-42A6-9113-E50DA43721BE}" name="Options (Req./RO/Opt.)"/>
    <tableColumn id="20" xr3:uid="{97B73B23-1546-4507-94C0-9A733D19F8D2}" name="Editable After Submission"/>
    <tableColumn id="21" xr3:uid="{DFD10837-6BB1-439C-A3F9-B19BE14FA023}" name="Permission Options"/>
    <tableColumn id="22" xr3:uid="{AD25794B-E839-4F05-B124-46B7833B3438}" name="Restrict Permissions Forwarding"/>
    <tableColumn id="23" xr3:uid="{C2FB31B7-6F1D-410C-957B-07C8161B2679}" name="Needed in Roadmaps?"/>
  </tableColumns>
  <tableStyleInfo name="TableStyleMedium9" showFirstColumn="0" showLastColumn="0"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A71B74-B16D-4C56-99C8-08EB7F8CAEA3}" name="Prod_fields" displayName="Prod_fields" ref="A1:N1447" totalsRowShown="0" headerRowDxfId="45" headerRowBorderDxfId="44" tableBorderDxfId="43">
  <autoFilter ref="A1:N1447" xr:uid="{3901970A-8BC4-47BC-8A91-BE0D572128E8}">
    <filterColumn colId="0">
      <filters>
        <filter val="Enable LifeCycle Flag"/>
        <filter val="L3 Epic Lifecycle Step"/>
        <filter val="Lifecycle Administrator"/>
        <filter val="Lifecycle Model"/>
        <filter val="Lifecycle Status"/>
        <filter val="Outcome Lifecycle Stage"/>
      </filters>
    </filterColumn>
  </autoFilter>
  <tableColumns count="14">
    <tableColumn id="1" xr3:uid="{D8C727C4-7E71-4575-8D60-AA38E720E7AB}" name="Attribute Name" dataDxfId="42"/>
    <tableColumn id="13" xr3:uid="{025B080F-6F10-4CC6-8BDB-BE53AD3148C2}" name="Used?" dataDxfId="41"/>
    <tableColumn id="14" xr3:uid="{47017F42-1E62-4052-AD4C-3F5467F7E93A}" name="Migrate?" dataDxfId="40"/>
    <tableColumn id="2" xr3:uid="{5B531987-1D5F-46E1-A682-6203AD9B0C0D}" name="ID" dataDxfId="39"/>
    <tableColumn id="3" xr3:uid="{4668A465-9122-4E37-AB5A-4DA2052975C3}" name="Primary Structure" dataDxfId="38"/>
    <tableColumn id="4" xr3:uid="{19E6B225-62E0-4560-8159-E3E879B6A9E2}" name="Attribute Type" dataDxfId="37"/>
    <tableColumn id="5" xr3:uid="{60713611-7B28-4875-9C1A-1A8F6A40F7A8}" name="Value Type" dataDxfId="36"/>
    <tableColumn id="6" xr3:uid="{C7A127C5-292D-4920-8ED2-C92C9A3EE672}" name="Expression Type" dataDxfId="35"/>
    <tableColumn id="7" xr3:uid="{3E261F00-678D-4EE6-8AD8-CDB3EFD151B1}" name="Usage" dataDxfId="34"/>
    <tableColumn id="8" xr3:uid="{3191596E-3D4C-47C5-A46F-AC0F164106E2}" name="Enabled" dataDxfId="33"/>
    <tableColumn id="9" xr3:uid="{1C736056-31D3-44F8-943F-858B6D31C847}" name="Required" dataDxfId="32"/>
    <tableColumn id="10" xr3:uid="{5FA92B78-012D-4638-A197-383F0BD287DA}" name="Selection Type" dataDxfId="31"/>
    <tableColumn id="11" xr3:uid="{A62276A5-5D06-4BBB-A8A8-770F6E2A0CB9}" name="Default Selection" dataDxfId="30"/>
    <tableColumn id="12" xr3:uid="{7A5849BE-9EA8-4230-8C5B-D951449C9C0B}" name="Planview Structure" dataDxfId="29"/>
  </tableColumns>
  <tableStyleInfo name="TableStyleMedium2" showFirstColumn="0" showLastColumn="0"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EF6439-40C1-49ED-AB33-29304F37BD28}" name="New_fields" displayName="New_fields" ref="A1:L1519" totalsRowShown="0" headerRowDxfId="28" headerRowBorderDxfId="27" tableBorderDxfId="26" headerRowCellStyle="Normal 3" dataCellStyle="Normal 3">
  <autoFilter ref="A1:L1519" xr:uid="{93EF6439-40C1-49ED-AB33-29304F37BD28}"/>
  <tableColumns count="12">
    <tableColumn id="1" xr3:uid="{16EA9B49-E3E8-4790-8600-545B879BB5ED}" name="Attribute Name" dataDxfId="25" dataCellStyle="Normal 3"/>
    <tableColumn id="2" xr3:uid="{0E55CF4B-731B-49F4-ADC4-064A1F63BEF6}" name="ID" dataDxfId="24" dataCellStyle="Normal 3"/>
    <tableColumn id="3" xr3:uid="{20B8FACC-5E6D-43BB-A9EF-10B4F92C237D}" name="Primary Structure" dataDxfId="23" dataCellStyle="Normal 3"/>
    <tableColumn id="4" xr3:uid="{32FBFBD9-5CF7-43F3-94F3-55687AD81D6C}" name="Attribute Type" dataDxfId="22" dataCellStyle="Normal 3"/>
    <tableColumn id="5" xr3:uid="{4FE289E4-B708-4977-96CD-B7C075A9C18C}" name="Value Type" dataDxfId="21" dataCellStyle="Normal 3"/>
    <tableColumn id="6" xr3:uid="{4443DDFE-2654-4327-B590-F52328701B01}" name="Expression Type" dataDxfId="20" dataCellStyle="Normal 3"/>
    <tableColumn id="7" xr3:uid="{CD4765CF-1304-4D95-8601-22F9C0EA7DA8}" name="Usage" dataDxfId="19" dataCellStyle="Normal 3"/>
    <tableColumn id="8" xr3:uid="{81A19608-D5CE-4762-9FF9-5D2BCD8701CC}" name="Enabled" dataDxfId="18" dataCellStyle="Normal 3"/>
    <tableColumn id="9" xr3:uid="{98379267-EB23-4024-8366-BBB0E43BC314}" name="Required" dataDxfId="17" dataCellStyle="Normal 3"/>
    <tableColumn id="10" xr3:uid="{A1B1A478-ED70-492E-A643-42089C9777AF}" name="Selection Type" dataDxfId="16" dataCellStyle="Normal 3"/>
    <tableColumn id="11" xr3:uid="{E0E8ADB5-2EF5-4E3E-B3A2-C39771E1088C}" name="Default Selection" dataDxfId="15" dataCellStyle="Normal 3"/>
    <tableColumn id="12" xr3:uid="{889737A9-656A-4A28-A784-D3F491099018}" name="Planview Structure" dataDxfId="14" dataCellStyle="Normal 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V8" dT="2026-05-01T20:32:30.20" personId="{7704C7F9-0F29-492D-BFCE-F8B33141E02C}" id="{76107E25-F3EE-4165-BC19-DFC68E7167A7}">
    <text>@BIBHUSHA KUNWAR  Why is wbs156 crossed out in your golden copy? Note it has been configured in new instance</text>
    <mentions>
      <mention mentionpersonId="{2AC805F3-EE31-4E55-819A-9A2753DAC94C}" mentionId="{813717EC-11FE-40EF-8058-1A7A404717C4}" startIndex="0" length="16"/>
    </mentions>
  </threadedComment>
  <threadedComment ref="V8" dT="2026-05-01T22:02:40.86" personId="{DC8B7470-E28D-4717-B1E4-ED7DC0E5226A}" id="{6B3835E2-D0C4-4400-BCF2-284DBC962B3D}" parentId="{76107E25-F3EE-4165-BC19-DFC68E7167A7}">
    <text>It was removed later to be replaced by a different question. I will ask Cynthia to start adding zz to these kind of fields. These are very recent changes (like 2 days ago).</text>
  </threadedComment>
  <threadedComment ref="O11" dT="2026-05-04T16:28:13.68" personId="{DC8B7470-E28D-4717-B1E4-ED7DC0E5226A}" id="{43F5FEBC-7AE2-440D-BC2C-DDDA26778077}">
    <text>@Max Weiss (OSV) I confirm it was removed to be replaced by “Does this work support either of these type of Programs?”. This attribute was in the gold copy file (which I had added the day I sent the email to Padma copying you last week._ Before this consolidated file was ready. I don’t see that attribute on this file.</text>
    <mentions>
      <mention mentionpersonId="{D772DA1F-40CC-48A8-890F-B169C3B89B70}" mentionId="{79020E16-015A-4125-A187-D23B088B9371}" startIndex="0" length="16"/>
    </mentions>
  </threadedComment>
  <threadedComment ref="O11" dT="2026-05-04T16:48:00.22" personId="{7704C7F9-0F29-492D-BFCE-F8B33141E02C}" id="{E6872B26-537C-4342-8B57-C5FCB1D095CB}" parentId="{43F5FEBC-7AE2-440D-BC2C-DDDA26778077}">
    <text>@BIBHUSHA KUNWAR Sorry to ask, but can you add that field back to this consolidated file. Just add a new row. I apologize for the miss. Hopefully we can avoid those things moving forward now that we’re on a one working file</text>
    <mentions>
      <mention mentionpersonId="{2AC805F3-EE31-4E55-819A-9A2753DAC94C}" mentionId="{8BFA3F0F-6996-4CFF-9348-2DEA4CD404D9}" startIndex="0" length="16"/>
    </mentions>
  </threadedComment>
  <threadedComment ref="O25" dT="2026-05-02T00:31:03.98" personId="{7704C7F9-0F29-492D-BFCE-F8B33141E02C}" id="{68142293-26C0-4D8F-8D6E-5A31E86DD2D4}">
    <text>@Cynthia Propst (OSV) Can you please review for the correct field name</text>
    <mentions>
      <mention mentionpersonId="{36E0E0F2-881A-49D3-87CD-56AD70A42973}" mentionId="{A4064C19-1EE7-4BC0-BD4F-9BAE0FA98E62}" startIndex="0" length="21"/>
    </mentions>
  </threadedComment>
  <threadedComment ref="O25" dT="2026-05-04T16:10:54.83" personId="{DC8B7470-E28D-4717-B1E4-ED7DC0E5226A}" id="{A6E2C5BF-9756-4B98-AA36-3024CF239214}" parentId="{68142293-26C0-4D8F-8D6E-5A31E86DD2D4}">
    <text>Done</text>
  </threadedComment>
  <threadedComment ref="O25" dT="2026-05-04T16:17:17.07" personId="{7704C7F9-0F29-492D-BFCE-F8B33141E02C}" id="{EB3A8951-CC8A-4D78-ACC1-917FBE2C4BF4}" parentId="{68142293-26C0-4D8F-8D6E-5A31E86DD2D4}">
    <text>@BIBHUSHA KUNWAR and @Cynthia Propst (OSV) - I will change the configuration status to “Attribute Created”. The target field name in this file will be updated to a match next time I do a download</text>
    <mentions>
      <mention mentionpersonId="{2AC805F3-EE31-4E55-819A-9A2753DAC94C}" mentionId="{911C7CAC-C498-4089-84FE-36A2B9A23128}" startIndex="0" length="16"/>
      <mention mentionpersonId="{36E0E0F2-881A-49D3-87CD-56AD70A42973}" mentionId="{653D267C-75C6-457B-8C08-616FB0225275}" startIndex="21" length="21"/>
    </mentions>
  </threadedComment>
  <threadedComment ref="S26" dT="2026-05-02T00:36:05.60" personId="{7704C7F9-0F29-492D-BFCE-F8B33141E02C}" id="{337015FA-0D54-48D2-8E62-5695A7657647}">
    <text>@BIBHUSHA KUNWAR and @Cynthia Propst (OSV)  Is it okay to remove this W2 mapping? For all intensive purposes, WR2 data cannot map. Only the name of the field presides</text>
    <mentions>
      <mention mentionpersonId="{2AC805F3-EE31-4E55-819A-9A2753DAC94C}" mentionId="{347730E6-8924-4AF7-A7FA-7F31EA32BCED}" startIndex="0" length="16"/>
      <mention mentionpersonId="{36E0E0F2-881A-49D3-87CD-56AD70A42973}" mentionId="{0DDDF1F1-3595-49BA-97E3-FFB8B96A885F}" startIndex="21" length="21"/>
    </mentions>
  </threadedComment>
  <threadedComment ref="S26" dT="2026-05-04T13:49:36.99" personId="{F800DAFE-6B17-4BB0-8DAD-9B0D5E9678B1}" id="{CDD423C8-08AC-432A-AE7F-33893DC0E2A7}" parentId="{337015FA-0D54-48D2-8E62-5695A7657647}">
    <text>@Max Weiss (OSV) This would need to be checked by Jill as well. This attributed is already well embedded in the Server3 DEV SB config.
@Jill Bourgeois (OSV)  Please advise.</text>
    <mentions>
      <mention mentionpersonId="{D772DA1F-40CC-48A8-890F-B169C3B89B70}" mentionId="{E2471B9D-3D45-45F1-8538-9719127338D1}" startIndex="0" length="16"/>
      <mention mentionpersonId="{AA4C8533-0F44-416F-8DF9-823F12E74E92}" mentionId="{391A53F1-0E69-4F38-AF9C-3124802BDEE2}" startIndex="135" length="21"/>
    </mentions>
  </threadedComment>
  <threadedComment ref="S26" dT="2026-05-04T14:14:23.00" personId="{DC8B7470-E28D-4717-B1E4-ED7DC0E5226A}" id="{161FAA68-FD9D-45C7-BCAD-CD039DE5CF97}" parentId="{337015FA-0D54-48D2-8E62-5695A7657647}">
    <text>@Max Weiss (OSV) I agree that the new Demand Type values are completely different. But the old Demand Type attribute is part of the logic defining the new demand type values, in addition to other attributes like ESI, etc. So it is up to you how you want to show the mapping.</text>
    <mentions>
      <mention mentionpersonId="{D772DA1F-40CC-48A8-890F-B169C3B89B70}" mentionId="{565B748B-25CB-4E89-8306-776DD5DEC878}" startIndex="0" length="16"/>
    </mentions>
  </threadedComment>
  <threadedComment ref="S26" dT="2026-05-04T15:08:11.15" personId="{7704C7F9-0F29-492D-BFCE-F8B33141E02C}" id="{0E1173D8-74E9-4C46-B25C-879E2F1E44DA}" parentId="{337015FA-0D54-48D2-8E62-5695A7657647}">
    <text>@BIBHUSHA KUNWAR covered my question well. I’m going to suggest that I add a text to it to indicate that WR2 is not a direct map, so that we don’t use automation to cause an issue. Thank you for the responses.
@Cynthia Propst (OSV) I was only thinking about the data migration. The intent is to use this source prod ID as a data migration mechanism, not a attribute requirements mechanism.</text>
    <mentions>
      <mention mentionpersonId="{2AC805F3-EE31-4E55-819A-9A2753DAC94C}" mentionId="{BF383672-ED60-4D84-9A84-BC3CF9C3BD3C}" startIndex="0" length="16"/>
      <mention mentionpersonId="{36E0E0F2-881A-49D3-87CD-56AD70A42973}" mentionId="{85FC48E0-9692-45DB-AE75-453FE98EA8DA}" startIndex="211" length="21"/>
    </mentions>
  </threadedComment>
  <threadedComment ref="V27" dT="2026-05-02T00:44:57.46" personId="{7704C7F9-0F29-492D-BFCE-F8B33141E02C}" id="{0CE71956-26E0-4EF0-BCC7-0A690307A175}">
    <text>@Padma Andhe  Please review why this row was deleted in your version vs the golden copy</text>
    <mentions>
      <mention mentionpersonId="{79C91504-34A1-482B-A432-DBCC80CA4F97}" mentionId="{C933B408-E9E0-4436-8E98-5439186159AB}" startIndex="0" length="12"/>
    </mentions>
  </threadedComment>
  <threadedComment ref="O33" dT="2026-05-02T00:45:31.50" personId="{7704C7F9-0F29-492D-BFCE-F8B33141E02C}" id="{EAF1C009-35F3-496B-A3D9-19125D36C4B2}">
    <text>@Padma Andhe Please review why this was removed from your version but was in the golden copy without strikethrough</text>
    <mentions>
      <mention mentionpersonId="{79C91504-34A1-482B-A432-DBCC80CA4F97}" mentionId="{06CAFA08-B931-42D3-B91F-759F6FA40D0F}" startIndex="0" length="12"/>
    </mentions>
  </threadedComment>
  <threadedComment ref="O33" dT="2026-05-02T01:03:32.02" personId="{7704C7F9-0F29-492D-BFCE-F8B33141E02C}" id="{ED9A131D-123F-4C7D-B339-CA5C8076F945}" parentId="{EAF1C009-35F3-496B-A3D9-19125D36C4B2}">
    <text>@Cynthia Propst (OSV) Why is unknown crossed out but still configured? Also keep in mind that orphans the data from prod</text>
    <mentions>
      <mention mentionpersonId="{36E0E0F2-881A-49D3-87CD-56AD70A42973}" mentionId="{FE24CB18-C2DF-4A79-B346-A76E743C0A51}" startIndex="0" length="21"/>
    </mentions>
  </threadedComment>
  <threadedComment ref="O33" dT="2026-05-04T13:51:25.42" personId="{F800DAFE-6B17-4BB0-8DAD-9B0D5E9678B1}" id="{8A17E499-D226-4257-836A-774023FB83EE}" parentId="{EAF1C009-35F3-496B-A3D9-19125D36C4B2}">
    <text>@Max Weiss (OSV)  Please know that the gold copies when on SharePoint were still being changed by committee without notification. This is resulting in some of your findings. I will review and adjust as needed.</text>
    <mentions>
      <mention mentionpersonId="{D772DA1F-40CC-48A8-890F-B169C3B89B70}" mentionId="{DFD06098-D9D6-48C3-B145-589CA947EDB6}" startIndex="0" length="16"/>
    </mentions>
  </threadedComment>
  <threadedComment ref="O33" dT="2026-05-04T15:04:23.29" personId="{7704C7F9-0F29-492D-BFCE-F8B33141E02C}" id="{B1A604C6-E9E2-49A5-AFCC-5AC5C457A028}" parentId="{EAF1C009-35F3-496B-A3D9-19125D36C4B2}">
    <text>@Cynthia Propst (OSV)  Understood. This is why hopefully the new methodology for marking the configuration status then also updating comments here and then also adding in the validation tabs will be much more transparent</text>
    <mentions>
      <mention mentionpersonId="{36E0E0F2-881A-49D3-87CD-56AD70A42973}" mentionId="{B4F745D1-39B6-4183-9584-1D07F03A6DD5}" startIndex="0" length="21"/>
    </mentions>
  </threadedComment>
  <threadedComment ref="O33" dT="2026-05-04T16:29:52.02" personId="{DC8B7470-E28D-4717-B1E4-ED7DC0E5226A}" id="{086CD9AB-25CA-4365-BE3C-0A058304B565}" parentId="{EAF1C009-35F3-496B-A3D9-19125D36C4B2}">
    <text>I removed the Unknown option from dev environment.</text>
  </threadedComment>
  <threadedComment ref="O33" dT="2026-05-04T17:19:10.15" personId="{7704C7F9-0F29-492D-BFCE-F8B33141E02C}" id="{CAE3B904-7B31-4E7F-92B7-A8242719DCFA}" parentId="{EAF1C009-35F3-496B-A3D9-19125D36C4B2}">
    <text>@BIBHUSHA KUNWAR Our approach to this field is to nullify any instance of “1: Unknown” during the migration based on this guidance. Should this not be correct, please notify me. Else no need to respond</text>
    <mentions>
      <mention mentionpersonId="{2AC805F3-EE31-4E55-819A-9A2753DAC94C}" mentionId="{F7CB2916-9B43-4E9F-9A9E-C1AE1582DE4D}" startIndex="0" length="16"/>
    </mentions>
  </threadedComment>
  <threadedComment ref="O33" dT="2026-05-04T19:37:47.29" personId="{DC8B7470-E28D-4717-B1E4-ED7DC0E5226A}" id="{F200F127-4183-47D5-8F03-8C00D5298F8F}" parentId="{EAF1C009-35F3-496B-A3D9-19125D36C4B2}">
    <text>@Max Weiss (OSV) - we updated the dropdown values to the following. I was going to update it in column AE but you have formulas there so I didn’t want to mess it up.
1: Low = &lt; $1M
2: Medium = $1M &lt; Value &lt; $10M
3: High = &gt; $10M</text>
    <mentions>
      <mention mentionpersonId="{D772DA1F-40CC-48A8-890F-B169C3B89B70}" mentionId="{4AA497A5-B6A3-453B-B80E-CC7C1AB551F1}" startIndex="0" length="16"/>
    </mentions>
  </threadedComment>
  <threadedComment ref="O33" dT="2026-05-04T21:29:41.38" personId="{7704C7F9-0F29-492D-BFCE-F8B33141E02C}" id="{5C7C0412-4048-4D16-9FB6-BD3AB11B777D}" parentId="{EAF1C009-35F3-496B-A3D9-19125D36C4B2}">
    <text>@BIBHUSHA KUNWAR  This is a perfect opportunity to explain how this works. Your intuition is correct… never override a formula.
Step 1: In Change Control Comments, write “Values are changing. It should be easy enough for you to do a mapping. I have directly updated the entries in the worksheet “VALUES_DropDowns_Mappings_2026” for this field. In addition, I have updated the mapping columns which were next to it. Note, this field is very important for your data migration, so I suggest you add a comment on the data migration tab”</text>
    <mentions>
      <mention mentionpersonId="{2AC805F3-EE31-4E55-819A-9A2753DAC94C}" mentionId="{46A5C787-6843-4EDE-A990-128AFC60F5A6}" startIndex="0" length="16"/>
    </mentions>
  </threadedComment>
  <threadedComment ref="O33" dT="2026-05-04T21:31:44.96" personId="{7704C7F9-0F29-492D-BFCE-F8B33141E02C}" id="{454480A0-D1F8-40B5-91FE-35B5A41B07EE}" parentId="{EAF1C009-35F3-496B-A3D9-19125D36C4B2}">
    <text>Step 2: Go to columns AV-AY (I like to search for the code in row 2 for navigation) and directly update the values. Blue tables are the validation options. Orange are the mapping. You’ll need to update both</text>
  </threadedComment>
  <threadedComment ref="O33" dT="2026-05-04T21:33:23.40" personId="{7704C7F9-0F29-492D-BFCE-F8B33141E02C}" id="{4AEFC1C4-815C-4C39-AF00-B63EC4715D32}" parentId="{EAF1C009-35F3-496B-A3D9-19125D36C4B2}">
    <text>As you can see in AV-AY, Unknown was removed from the drop down options, but the numbering is offset by 1. Can you please correct it? I also suggest you add a comment to let us know it changed.</text>
  </threadedComment>
  <threadedComment ref="O34" dT="2026-05-02T00:45:31.50" personId="{7704C7F9-0F29-492D-BFCE-F8B33141E02C}" id="{9483B36C-3184-4CED-B477-E9BC4CDB4E96}">
    <text>@Padma Andhe Please review why this was removed from your version but was in the golden copy without strikethrough</text>
    <mentions>
      <mention mentionpersonId="{79C91504-34A1-482B-A432-DBCC80CA4F97}" mentionId="{829F9269-62DE-4268-A9F7-862AEC49F3A1}" startIndex="0" length="12"/>
    </mentions>
  </threadedComment>
  <threadedComment ref="O35" dT="2026-05-02T00:45:31.50" personId="{7704C7F9-0F29-492D-BFCE-F8B33141E02C}" id="{E29E22F2-9420-41FC-9CCE-045E5521C495}">
    <text>@Padma Andhe Please review why this was removed from your version but was in the golden copy without strikethrough</text>
    <mentions>
      <mention mentionpersonId="{79C91504-34A1-482B-A432-DBCC80CA4F97}" mentionId="{535D474F-1D23-451B-8600-92CA0B828D5A}" startIndex="0" length="12"/>
    </mentions>
  </threadedComment>
  <threadedComment ref="O36" dT="2026-05-02T01:11:30.10" personId="{7704C7F9-0F29-492D-BFCE-F8B33141E02C}" id="{144EEE66-1E03-4F9E-AE20-6F6338AE1C9F}" done="1">
    <text>@Cynthia Propst (OSV) Please review comments</text>
    <mentions>
      <mention mentionpersonId="{36E0E0F2-881A-49D3-87CD-56AD70A42973}" mentionId="{97EB8920-5E3F-4DEA-87B6-E7BBDF2E4A23}" startIndex="0" length="21"/>
    </mentions>
  </threadedComment>
  <threadedComment ref="O36" dT="2026-05-04T16:32:29.53" personId="{DC8B7470-E28D-4717-B1E4-ED7DC0E5226A}" id="{5DE54D64-D9DC-40AB-BDBA-B9ED9F6E5F37}" parentId="{144EEE66-1E03-4F9E-AE20-6F6338AE1C9F}">
    <text>The field name should be the way it is configured - just “Primary Type of Value Impact”</text>
  </threadedComment>
  <threadedComment ref="O36" dT="2026-05-04T17:13:38.91" personId="{7704C7F9-0F29-492D-BFCE-F8B33141E02C}" id="{1BF4EC09-E1F5-4B70-8542-96C23DD50A52}" parentId="{144EEE66-1E03-4F9E-AE20-6F6338AE1C9F}">
    <text>@BIBHUSHA KUNWAR Feel free to change the field name in column M then the Status in Column N. I updated this time</text>
    <mentions>
      <mention mentionpersonId="{2AC805F3-EE31-4E55-819A-9A2753DAC94C}" mentionId="{DD04953F-CADA-4DAF-9A31-A4D707E4F3F1}" startIndex="0" length="16"/>
    </mentions>
  </threadedComment>
  <threadedComment ref="V37" dT="2026-04-30T21:15:51.23" personId="{6C004C08-5981-42C8-9E0B-FCF289EB2D5D}" id="{5457EC7A-0F1B-48C5-AF86-9C74FA7CDC0E}">
    <text>Maybe source from “Home Domain/Portfolio”</text>
  </threadedComment>
  <threadedComment ref="O40" dT="2026-05-02T02:20:13.53" personId="{7704C7F9-0F29-492D-BFCE-F8B33141E02C}" id="{6E9A33AD-DBDF-4E36-8C77-7A7CE719BC5C}">
    <text>@Cynthia Propst (OSV) Please review the expected field name</text>
    <mentions>
      <mention mentionpersonId="{36E0E0F2-881A-49D3-87CD-56AD70A42973}" mentionId="{39479BFE-B752-4D15-8E8B-474D23AC6E83}" startIndex="0" length="21"/>
    </mentions>
  </threadedComment>
  <threadedComment ref="O40" dT="2026-05-04T16:33:27.15" personId="{DC8B7470-E28D-4717-B1E4-ED7DC0E5226A}" id="{193DB1EA-864D-45A7-9280-713FA5F0C10D}" parentId="{6E9A33AD-DBDF-4E36-8C77-7A7CE719BC5C}">
    <text>I removed the ? here</text>
  </threadedComment>
  <threadedComment ref="O40" dT="2026-05-04T17:15:54.63" personId="{7704C7F9-0F29-492D-BFCE-F8B33141E02C}" id="{E776EC68-4301-45D0-8274-CD0129037278}" parentId="{6E9A33AD-DBDF-4E36-8C77-7A7CE719BC5C}">
    <text>@BIBHUSHA KUNWAR  There in addition to the ?, one says Submit To Triage and the other is Submit for Triage. Can you resolve in the requirements or the config? Once done, just update columns M and N as needed. Leave Column X alone, it will get resolved if we choose to make a config change</text>
    <mentions>
      <mention mentionpersonId="{2AC805F3-EE31-4E55-819A-9A2753DAC94C}" mentionId="{880B738C-F0F3-4D07-BCCB-BFDE71DDF75B}" startIndex="0" length="16"/>
    </mentions>
  </threadedComment>
  <threadedComment ref="O44" dT="2026-05-02T02:20:13.53" personId="{7704C7F9-0F29-492D-BFCE-F8B33141E02C}" id="{4199F04A-1C9F-4DB1-AF54-8C9496DC389F}">
    <text>@Cynthia Propst (OSV) Please review the expected field name</text>
    <mentions>
      <mention mentionpersonId="{36E0E0F2-881A-49D3-87CD-56AD70A42973}" mentionId="{0F10D7E1-F1DD-4D95-93A6-897CA8D34730}" startIndex="0" length="21"/>
    </mentions>
  </threadedComment>
  <threadedComment ref="O49" dT="2026-05-02T15:06:55.53" personId="{7704C7F9-0F29-492D-BFCE-F8B33141E02C}" id="{4A5FCD30-18CA-4676-B427-7D8018AF5213}">
    <text>@Cynthia Propst (OSV) Please review</text>
    <mentions>
      <mention mentionpersonId="{36E0E0F2-881A-49D3-87CD-56AD70A42973}" mentionId="{BB08DFB3-CB6A-4560-ABAA-BCE85D1B0AD3}" startIndex="0" length="21"/>
    </mentions>
  </threadedComment>
  <threadedComment ref="O50" dT="2026-05-02T15:06:55.53" personId="{7704C7F9-0F29-492D-BFCE-F8B33141E02C}" id="{8388F3E4-1BD6-4C94-82D7-A3D95FD3BECB}">
    <text>@Cynthia Propst (OSV) Please review</text>
    <mentions>
      <mention mentionpersonId="{36E0E0F2-881A-49D3-87CD-56AD70A42973}" mentionId="{A860B721-8021-4578-9FCE-D7FBA4015A43}" startIndex="0" length="21"/>
    </mentions>
  </threadedComment>
  <threadedComment ref="O57" dT="2026-05-02T15:06:55.53" personId="{7704C7F9-0F29-492D-BFCE-F8B33141E02C}" id="{40EEC0D9-043C-4751-A532-40DE94BE80E6}">
    <text>@Cynthia Propst (OSV) Please review</text>
    <mentions>
      <mention mentionpersonId="{36E0E0F2-881A-49D3-87CD-56AD70A42973}" mentionId="{FFCBA57B-6F6F-49CE-9D43-2FEC64BE05C4}" startIndex="0" length="21"/>
    </mentions>
  </threadedComment>
  <threadedComment ref="O66" dT="2026-05-02T21:31:17.22" personId="{7704C7F9-0F29-492D-BFCE-F8B33141E02C}" id="{1A64C916-286A-4331-9CC4-B68850021753}">
    <text>@Cynthia Propst (OSV)  Please determine if we need to copy the row</text>
    <mentions>
      <mention mentionpersonId="{36E0E0F2-881A-49D3-87CD-56AD70A42973}" mentionId="{DB9E0DCB-63BF-45C6-9B50-C18E73EDCBE6}" startIndex="0" length="21"/>
    </mentions>
  </threadedComment>
  <threadedComment ref="O67" dT="2026-05-02T21:31:17.22" personId="{7704C7F9-0F29-492D-BFCE-F8B33141E02C}" id="{EB371DB5-69C9-4F4D-A2A1-F852E2C725FF}">
    <text>@Cynthia Propst (OSV)  Please determine if we need to copy the row</text>
    <mentions>
      <mention mentionpersonId="{36E0E0F2-881A-49D3-87CD-56AD70A42973}" mentionId="{0BE10C7E-E06A-46A6-81CD-C1E813FD9523}" startIndex="0" length="21"/>
    </mentions>
  </threadedComment>
  <threadedComment ref="O68" dT="2026-05-02T21:31:17.22" personId="{7704C7F9-0F29-492D-BFCE-F8B33141E02C}" id="{860A62C9-60BF-4A07-8BEA-B0F82309504F}">
    <text>@Cynthia Propst (OSV)  Please determine if we need to copy the row</text>
    <mentions>
      <mention mentionpersonId="{36E0E0F2-881A-49D3-87CD-56AD70A42973}" mentionId="{71C7EE0D-174E-463C-BBE4-6A86DAEDA026}" startIndex="0" length="21"/>
    </mentions>
  </threadedComment>
  <threadedComment ref="O69" dT="2026-05-02T21:31:17.22" personId="{7704C7F9-0F29-492D-BFCE-F8B33141E02C}" id="{3C7B7F9D-3309-47FD-92B5-487CA3899A95}">
    <text>@Cynthia Propst (OSV)  Please determine if we need to copy the row</text>
    <mentions>
      <mention mentionpersonId="{36E0E0F2-881A-49D3-87CD-56AD70A42973}" mentionId="{9224DD10-13E7-47EE-9F65-884A782578D3}" startIndex="0" length="21"/>
    </mentions>
  </threadedComment>
  <threadedComment ref="O71" dT="2026-05-02T21:31:17.22" personId="{7704C7F9-0F29-492D-BFCE-F8B33141E02C}" id="{56630D11-050C-485C-9CD1-D242ACC724D7}">
    <text>@Cynthia Propst (OSV)  Please determine if we need to copy the row</text>
    <mentions>
      <mention mentionpersonId="{36E0E0F2-881A-49D3-87CD-56AD70A42973}" mentionId="{2160E27A-E248-44E6-B67D-801967C48C96}" startIndex="0" length="21"/>
    </mentions>
  </threadedComment>
  <threadedComment ref="O75" dT="2026-05-02T01:11:30.10" personId="{7704C7F9-0F29-492D-BFCE-F8B33141E02C}" id="{C8C3F258-CD46-4D7A-9139-EAD6F6C448F0}">
    <text>@Cynthia Propst (OSV) Please review comments</text>
    <mentions>
      <mention mentionpersonId="{36E0E0F2-881A-49D3-87CD-56AD70A42973}" mentionId="{E353C559-D972-4792-ABC4-95C4528CAFCC}" startIndex="0" length="21"/>
    </mentions>
  </threadedComment>
  <threadedComment ref="O93" dT="2026-05-03T20:07:20.21" personId="{7704C7F9-0F29-492D-BFCE-F8B33141E02C}" id="{01A1EAA8-3FEA-4688-976C-FB0BBBE19184}">
    <text>@Cynthia Propst (OSV) Please review, likely no action</text>
    <mentions>
      <mention mentionpersonId="{36E0E0F2-881A-49D3-87CD-56AD70A42973}" mentionId="{9B2E6AB1-E657-4DDA-B99C-EE65F00DD0C6}" startIndex="0" length="21"/>
    </mentions>
  </threadedComment>
  <threadedComment ref="O97" dT="2026-05-03T20:36:50.48" personId="{7704C7F9-0F29-492D-BFCE-F8B33141E02C}" id="{3358B61C-2257-4E51-A46E-667A347831EA}">
    <text>@Cynthia Propst (OSV) Please provide advice</text>
    <mentions>
      <mention mentionpersonId="{36E0E0F2-881A-49D3-87CD-56AD70A42973}" mentionId="{FE464027-1EC3-4DFB-B3C2-A30EDFBAC6A1}" startIndex="0" length="21"/>
    </mentions>
  </threadedComment>
  <threadedComment ref="V106" dT="2026-05-03T21:06:28.99" personId="{7704C7F9-0F29-492D-BFCE-F8B33141E02C}" id="{E5A6ADFC-A9E3-4124-A146-38EF107D8314}">
    <text>@Bert Jansen (OSV) I’ll need some advice on our approach to migrating the product structure as well</text>
    <mentions>
      <mention mentionpersonId="{F3414B5C-9DC2-4805-BF18-C5F397D2357E}" mentionId="{8BB5C89E-58E6-472B-985A-09D509604A02}" startIndex="0" length="18"/>
    </mentions>
  </threadedComment>
  <threadedComment ref="O130" dT="2026-05-03T21:34:53.58" personId="{7704C7F9-0F29-492D-BFCE-F8B33141E02C}" id="{735DC4BB-47B4-49AB-B200-A980ABEF71C7}">
    <text xml:space="preserve">@Padma Andhe </text>
    <mentions>
      <mention mentionpersonId="{79C91504-34A1-482B-A432-DBCC80CA4F97}" mentionId="{E6B17A1F-9B4A-4CBB-A5D4-81FE5C25B6C0}" startIndex="0" length="12"/>
    </mentions>
  </threadedComment>
  <threadedComment ref="O131" dT="2026-05-03T21:34:53.58" personId="{7704C7F9-0F29-492D-BFCE-F8B33141E02C}" id="{845B82CE-016A-4494-8671-F7E5C09E4811}">
    <text xml:space="preserve">@Padma Andhe </text>
    <mentions>
      <mention mentionpersonId="{79C91504-34A1-482B-A432-DBCC80CA4F97}" mentionId="{A897F8A5-C5A1-47A4-B7F3-6D4554E484F3}" startIndex="0" length="12"/>
    </mentions>
  </threadedComment>
  <threadedComment ref="O133" dT="2026-05-03T21:34:53.58" personId="{7704C7F9-0F29-492D-BFCE-F8B33141E02C}" id="{27F7B144-B22C-4B53-B295-C3E58942BE8A}">
    <text xml:space="preserve">@Padma Andhe </text>
    <mentions>
      <mention mentionpersonId="{79C91504-34A1-482B-A432-DBCC80CA4F97}" mentionId="{F06F16B0-0116-490F-BEF0-8E27E8C90EB1}" startIndex="0" length="12"/>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6-05-01T19:50:23.28" personId="{7704C7F9-0F29-492D-BFCE-F8B33141E02C}" id="{149BD5AF-20D4-4819-8DAF-302FC2E04C97}">
    <text>@Padma Andhe  Is this just part of the business rules tab? There’s no one field to fill in the new work type?</text>
    <mentions>
      <mention mentionpersonId="{79C91504-34A1-482B-A432-DBCC80CA4F97}" mentionId="{5CA18D99-FD8A-4FA6-BF5D-2471C485539D}" startIndex="0" length="12"/>
    </mentions>
  </threadedComment>
  <threadedComment ref="J4" dT="2026-05-01T20:26:22.79" personId="{7704C7F9-0F29-492D-BFCE-F8B33141E02C}" id="{1AE70875-F211-45A9-84FA-DB17BAAF37EE}">
    <text>@Padma Andhe Is this part of the business logic? What would be the criteria?</text>
    <mentions>
      <mention mentionpersonId="{79C91504-34A1-482B-A432-DBCC80CA4F97}" mentionId="{FD3F3FB7-CE93-45F0-9274-6A1B03673F83}" startIndex="0" length="12"/>
    </mentions>
  </threadedComment>
  <threadedComment ref="ED9" dT="2026-05-02T01:28:21.86" personId="{7704C7F9-0F29-492D-BFCE-F8B33141E02C}" id="{E9DEAB02-16FE-4851-907B-2947E145D30B}">
    <text>@Cynthia Propst (OSV)  Why is Data &amp; AI no longer a valid home portfolio</text>
    <mentions>
      <mention mentionpersonId="{36E0E0F2-881A-49D3-87CD-56AD70A42973}" mentionId="{E8EEE572-F455-43B8-9E58-8507B88ABDCB}" startIndex="0" length="2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R5" dT="2024-06-18T17:17:38.01" personId="{2EF07366-E232-4C81-A4F3-2253B5EC44B0}" id="{9237BEF4-86F9-4D0A-9CEA-0152AB319836}">
    <text>@Diana Zemo @Teresa Holt  - If there are new names for Drive Domains, can you update it here</text>
    <mentions>
      <mention mentionpersonId="{C7C7AFF7-679A-47DC-AE34-5FA447C41F6A}" mentionId="{E2A34A08-830B-421B-8B72-61F0F9B38357}" startIndex="0" length="11"/>
      <mention mentionpersonId="{6F76A5E4-3FE3-4751-A6C1-CBC869344E48}" mentionId="{F6EE3108-BB2B-48FC-909D-578426B1C5A0}" startIndex="12" length="12"/>
    </mentions>
  </threadedComment>
  <threadedComment ref="R5" dT="2024-06-18T17:20:21.33" personId="{CEBBA612-91FB-4A2D-B97F-615DA9AB6D77}" id="{1FA2A4AC-E991-4FFB-9779-1368F363F1D7}" parentId="{9237BEF4-86F9-4D0A-9CEA-0152AB319836}">
    <text>To be clear, do you need the precise domain names from Wave or do you need the commonly used name used in reporting?</text>
  </threadedComment>
  <threadedComment ref="R5" dT="2024-06-18T18:17:34.35" personId="{2EF07366-E232-4C81-A4F3-2253B5EC44B0}" id="{C596BD81-3DEB-47BC-AE3E-455AF70470B7}" parentId="{9237BEF4-86F9-4D0A-9CEA-0152AB319836}">
    <text>All of the above… If you want the commonly used name used in reporting only then we need a new column for "Drive_Domain_Simplified"</text>
  </threadedComment>
  <threadedComment ref="V5" dT="2024-06-17T19:54:11.75" personId="{2EF07366-E232-4C81-A4F3-2253B5EC44B0}" id="{2D01777D-0DF7-4EBA-837A-8F758AEFE3B1}">
    <text>@Diana Zemo @Teresa Holt  Can you fill this out.  Let us know if we need a financial stakeholder at the domain level or at the Pod level</text>
    <mentions>
      <mention mentionpersonId="{C7C7AFF7-679A-47DC-AE34-5FA447C41F6A}" mentionId="{66BAEF76-94BF-4462-BE24-DFEB79B957EE}" startIndex="0" length="11"/>
      <mention mentionpersonId="{6F76A5E4-3FE3-4751-A6C1-CBC869344E48}" mentionId="{C5F6F85B-0544-419D-96C7-106AD3ED66CB}" startIndex="12" length="12"/>
    </mentions>
  </threadedComment>
  <threadedComment ref="V5" dT="2024-06-17T20:09:16.21" personId="{6EEDA1E4-B3B0-4C12-AA5C-0F9237A36BA9}" id="{5C6CA67B-48E9-441A-8BD4-FF03EF589BB9}" parentId="{2D01777D-0DF7-4EBA-837A-8F758AEFE3B1}">
    <text>are these the correct domains?  i thought they were update i.e. surface ops, linehaul?</text>
  </threadedComment>
  <threadedComment ref="V5" dT="2024-06-18T20:38:13.63" personId="{2EF07366-E232-4C81-A4F3-2253B5EC44B0}" id="{61AD8C1D-8A79-4F73-BC5C-D6EA68275B88}" parentId="{2D01777D-0DF7-4EBA-837A-8F758AEFE3B1}">
    <text>@Diana Zemo I've updated.  Do we have a main financial stakeholder / TO Finance rep for each domain?</text>
    <mentions>
      <mention mentionpersonId="{C7C7AFF7-679A-47DC-AE34-5FA447C41F6A}" mentionId="{52C3677D-835B-47EE-AB5D-F18C89ACCDF4}" startIndex="0" length="11"/>
    </mentions>
  </threadedComment>
  <threadedComment ref="W5" dT="2024-08-15T20:31:45.73" personId="{2EF07366-E232-4C81-A4F3-2253B5EC44B0}" id="{7ADDB37E-0907-4216-BDF5-817F90332FF9}">
    <text>@Teresa Holt  Can you fill this in?</text>
    <mentions>
      <mention mentionpersonId="{6F76A5E4-3FE3-4751-A6C1-CBC869344E48}" mentionId="{1ABEB1C4-32E3-4EBD-8E53-70A40F4F2184}" startIndex="0" length="12"/>
    </mentions>
  </threadedComment>
  <threadedComment ref="W5" dT="2024-08-16T12:48:43.88" personId="{CEBBA612-91FB-4A2D-B97F-615DA9AB6D77}" id="{656EBA44-7289-4E10-BC9D-F698C9F99212}" parentId="{7ADDB37E-0907-4216-BDF5-817F90332FF9}">
    <text>done</text>
  </threadedComment>
  <threadedComment ref="AS5" dT="2024-07-09T22:05:30.65" personId="{F2DC4FF1-A231-42E6-BFC0-BB5D77EE6809}" id="{62D34EE3-E5E7-4C28-ADC9-C69610060406}">
    <text>@Cassandra Imbeault (OSV) Updated ranges and scores for value Framework Alignment</text>
    <mentions>
      <mention mentionpersonId="{2FD9A02E-12C5-47E4-96ED-2B08387C5144}" mentionId="{D8DE50F1-2280-4E1E-88FF-C73D56FB8191}" startIndex="0" length="25"/>
    </mentions>
  </threadedComment>
  <threadedComment ref="BT5" dT="2024-07-05T20:18:43.55" personId="{F2DC4FF1-A231-42E6-BFC0-BB5D77EE6809}" id="{48FA2B31-DB9B-4FEA-99A8-D42913498A5C}">
    <text>@Cassandra Imbeault (OSV) Score will be a calculated based on $$ field for NRB x 0.1 with a max score of 8</text>
    <mentions>
      <mention mentionpersonId="{2FD9A02E-12C5-47E4-96ED-2B08387C5144}" mentionId="{A87765D9-42B9-447C-98C6-C4FF021B12DB}" startIndex="0" length="25"/>
    </mentions>
  </threadedComment>
  <threadedComment ref="CF5" dT="2024-07-05T19:33:33.28" personId="{F2DC4FF1-A231-42E6-BFC0-BB5D77EE6809}" id="{2FDC4013-2DAD-4AC8-B9F9-A2109ED4C9C5}">
    <text>7/5 - Updated Complexity Scores</text>
  </threadedComment>
  <threadedComment ref="CH5" dT="2024-07-05T19:34:42.82" personId="{F2DC4FF1-A231-42E6-BFC0-BB5D77EE6809}" id="{FAC6192C-F8CD-4C37-B5B2-49958864C352}">
    <text>7/5 - Updated Effort Scores</text>
  </threadedComment>
  <threadedComment ref="CO5" dT="2024-07-05T20:17:16.45" personId="{F2DC4FF1-A231-42E6-BFC0-BB5D77EE6809}" id="{A29D0FC9-950C-48DE-8B6B-CC5DB0FB158A}">
    <text>@Cassandra Imbeault (OSV)  7/5 - Update to scores for Total Cost</text>
    <mentions>
      <mention mentionpersonId="{2FD9A02E-12C5-47E4-96ED-2B08387C5144}" mentionId="{F50CB568-0DFD-4837-B8FD-9E6E1B4FB247}" startIndex="0" length="25"/>
    </mentions>
  </threadedComment>
  <threadedComment ref="FF5" dT="2024-07-02T14:53:07.94" personId="{2EF07366-E232-4C81-A4F3-2253B5EC44B0}" id="{49B94AB6-9612-4C96-972A-42F00401A614}">
    <text>@Deatrice Gautreaux (OSV) @Lisa Payne  to determine the Epic T-size bins</text>
    <mentions>
      <mention mentionpersonId="{11C55C6E-66A0-4ABF-B17B-9D469F85958A}" mentionId="{DD296158-D208-4794-AB95-C356AA4607F7}" startIndex="0" length="25"/>
      <mention mentionpersonId="{891AFFED-2284-4258-9A4C-7A817DB55666}" mentionId="{D2AE2D10-8B68-4EB0-BA94-C1465F598E80}" startIndex="26" length="11"/>
    </mentions>
  </threadedComment>
  <threadedComment ref="FF5" dT="2024-07-16T15:50:50.88" personId="{2EF07366-E232-4C81-A4F3-2253B5EC44B0}" id="{CB0B61BB-AE7C-4A84-8A92-83B6CED138B1}" parentId="{49B94AB6-9612-4C96-972A-42F00401A614}">
    <text>@Deatrice Gautreaux (OSV) - Any progress?</text>
    <mentions>
      <mention mentionpersonId="{11C55C6E-66A0-4ABF-B17B-9D469F85958A}" mentionId="{9DE9DCF7-C25D-4D05-9AFC-A4273F6C0D41}" startIndex="0" length="25"/>
    </mentions>
  </threadedComment>
  <threadedComment ref="FF5" dT="2024-07-18T16:39:43.41" personId="{2EF07366-E232-4C81-A4F3-2253B5EC44B0}" id="{D55854ED-658E-4800-890E-EAEC581261AC}" parentId="{49B94AB6-9612-4C96-972A-42F00401A614}">
    <text>@T.J. Welter  can you assist?</text>
    <mentions>
      <mention mentionpersonId="{40CE96AA-C31B-4BB5-9D07-5B239035E05C}" mentionId="{BFBC84B2-94D8-424F-9712-A6BBE1567DE6}" startIndex="0" length="12"/>
    </mentions>
  </threadedComment>
  <threadedComment ref="FF5" dT="2024-07-18T20:54:02.25" personId="{EB962E72-536A-495A-978E-BCF5358A6C67}" id="{24540DC9-1E02-4341-A115-E1C45CF30791}" parentId="{49B94AB6-9612-4C96-972A-42F00401A614}">
    <text>@Max Weiss (OSV) I'm meeting the architecture team tomorrow to go over this</text>
    <mentions>
      <mention mentionpersonId="{D772DA1F-40CC-48A8-890F-B169C3B89B70}" mentionId="{836AD8D6-5AD3-4BF8-B01A-FFA2A5F17F1D}" startIndex="0" length="16"/>
    </mentions>
  </threadedComment>
  <threadedComment ref="BC6" dT="2024-07-09T22:05:56.00" personId="{F2DC4FF1-A231-42E6-BFC0-BB5D77EE6809}" id="{54EC94F7-3DF8-433F-858F-D07A71A43EC4}">
    <text>@Cassandra Imbeault (OSV) ranges and scores for strategic themes updated</text>
    <mentions>
      <mention mentionpersonId="{2FD9A02E-12C5-47E4-96ED-2B08387C5144}" mentionId="{63A4D8C9-A8F3-42B1-AEE7-58BBB1F7883C}" startIndex="0" length="25"/>
    </mentions>
  </threadedComment>
  <threadedComment ref="BG6" dT="2024-07-11T18:20:55.57" personId="{F2DC4FF1-A231-42E6-BFC0-BB5D77EE6809}" id="{38E4E629-8AEE-4471-A31A-8CF6005A0FC6}">
    <text>@Cassandra Imbeault (OSV)  updates made to dropdown ranges for Time criticality</text>
    <mentions>
      <mention mentionpersonId="{2FD9A02E-12C5-47E4-96ED-2B08387C5144}" mentionId="{19FF749B-159A-4412-962B-EB37AB29AB04}" startIndex="0" length="25"/>
    </mentions>
  </threadedComment>
  <threadedComment ref="V14" dT="2024-06-19T20:40:59.33" personId="{83D5A6FD-541D-4351-B8E2-B055A93D960B}" id="{ECD8E96E-9EAC-4F13-A16F-DD74A227F7FA}">
    <text>Freight not included in document provided by Diana - Assumed same as Surface Ops</text>
  </threadedComment>
  <threadedComment ref="AT20" dT="2024-07-05T20:20:22.01" personId="{F2DC4FF1-A231-42E6-BFC0-BB5D77EE6809}" id="{3E8FA7DD-B569-473D-BD04-B22C31758B0D}">
    <text xml:space="preserve">@Cassandra Imbeault (OSV) 7/5 - weights for L0, L1 and L2 have been updated. </text>
    <mentions>
      <mention mentionpersonId="{2FD9A02E-12C5-47E4-96ED-2B08387C5144}" mentionId="{27D82FBF-6E21-4415-9848-DF1D5251AA45}" startIndex="0" length="25"/>
    </mentions>
  </threadedComment>
  <threadedComment ref="U23" dT="2024-06-20T16:18:56.82" personId="{2EF07366-E232-4C81-A4F3-2253B5EC44B0}" id="{2327628C-5351-4DA9-AC52-4ED3936F9B59}">
    <text>@Cassandra Imbeault (OSV) This Changed too</text>
    <mentions>
      <mention mentionpersonId="{2FD9A02E-12C5-47E4-96ED-2B08387C5144}" mentionId="{3957FDAE-2669-4C0A-A4CF-5CC5343379C1}" startIndex="0" length="25"/>
    </mentions>
  </threadedComment>
  <threadedComment ref="AS26" dT="2024-06-19T16:49:04.44" personId="{C1D5E5E2-4D33-4B32-8CC5-7867BBA8143D}" id="{7F2EB06B-6355-4589-914F-2DDAEF264F53}">
    <text>Estimated Annualized Value Range?</text>
  </threadedComment>
  <threadedComment ref="AS26" dT="2024-06-20T23:27:58.73" personId="{2EF07366-E232-4C81-A4F3-2253B5EC44B0}" id="{7697DD3E-80EB-497F-A2C6-EE12710912F0}" parentId="{7F2EB06B-6355-4589-914F-2DDAEF264F53}">
    <text>@Craig Bair (OSV) Can you ask Cass what she wants?</text>
    <mentions>
      <mention mentionpersonId="{DC459C2A-F4BA-48B0-A670-A58F39BA463C}" mentionId="{BDEAEEBE-E107-4AE4-BBF4-E99AB6445AE7}" startIndex="0" length="17"/>
    </mentions>
  </threadedComment>
  <threadedComment ref="EC26" dT="2024-08-01T22:11:50.33" personId="{2EF07366-E232-4C81-A4F3-2253B5EC44B0}" id="{10182108-C3C0-4A31-94A1-5E2AABA305A4}">
    <text>Only if under benefits</text>
  </threadedComment>
  <threadedComment ref="EC37" dT="2024-08-01T22:12:48.56" personId="{2EF07366-E232-4C81-A4F3-2253B5EC44B0}" id="{1E0709E9-1A7A-4796-9421-3A2C7962E5C6}">
    <text>Only if parent is CapEx</text>
  </threadedComment>
  <threadedComment ref="AC40" dT="2024-06-20T16:18:07.39" personId="{2EF07366-E232-4C81-A4F3-2253B5EC44B0}" id="{546402F8-7B12-4B42-9A60-DB5C9A9F56E3}">
    <text>Changing??</text>
  </threadedComment>
  <threadedComment ref="AC48" dT="2024-06-20T16:17:45.20" personId="{2EF07366-E232-4C81-A4F3-2253B5EC44B0}" id="{64C68641-620E-4453-BD45-FD59CD791048}">
    <text>Changing??</text>
  </threadedComment>
  <threadedComment ref="AC56" dT="2024-06-20T16:21:18.94" personId="{2EF07366-E232-4C81-A4F3-2253B5EC44B0}" id="{B20FEA83-7EDF-4050-BCC9-3B3EF342DA21}">
    <text>Ama may be removed</text>
  </threadedComment>
  <threadedComment ref="AC74" dT="2024-06-20T16:20:38.74" personId="{2EF07366-E232-4C81-A4F3-2253B5EC44B0}" id="{BC3E5049-898F-4BD7-BF8E-FE2B760F1E5A}">
    <text>@Cassandra Imbeault (OSV)  this was added as well</text>
    <mentions>
      <mention mentionpersonId="{2FD9A02E-12C5-47E4-96ED-2B08387C5144}" mentionId="{F9AD8C84-6361-43E3-80E7-9814FD4C417A}" startIndex="0" length="25"/>
    </mentions>
  </threadedComment>
  <threadedComment ref="AB134" dT="2024-06-20T23:25:49.46" personId="{2EF07366-E232-4C81-A4F3-2253B5EC44B0}" id="{F8508804-2C7E-4089-9DD3-1C3ABFDAC82B}">
    <text>@BIBHUSHA KUNWAR Please update if you update the tool</text>
    <mentions>
      <mention mentionpersonId="{2AC805F3-EE31-4E55-819A-9A2753DAC94C}" mentionId="{76A84F5A-12F4-4F68-98F4-2E9E41AB5105}" startIndex="0" length="16"/>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26" Type="http://schemas.openxmlformats.org/officeDocument/2006/relationships/table" Target="../tables/table27.xml"/><Relationship Id="rId21" Type="http://schemas.openxmlformats.org/officeDocument/2006/relationships/table" Target="../tables/table22.xml"/><Relationship Id="rId42" Type="http://schemas.openxmlformats.org/officeDocument/2006/relationships/table" Target="../tables/table43.xml"/><Relationship Id="rId47" Type="http://schemas.openxmlformats.org/officeDocument/2006/relationships/table" Target="../tables/table48.xml"/><Relationship Id="rId63" Type="http://schemas.openxmlformats.org/officeDocument/2006/relationships/table" Target="../tables/table64.xml"/><Relationship Id="rId68" Type="http://schemas.openxmlformats.org/officeDocument/2006/relationships/table" Target="../tables/table69.xml"/><Relationship Id="rId16" Type="http://schemas.openxmlformats.org/officeDocument/2006/relationships/table" Target="../tables/table17.xml"/><Relationship Id="rId11" Type="http://schemas.openxmlformats.org/officeDocument/2006/relationships/table" Target="../tables/table12.xml"/><Relationship Id="rId24" Type="http://schemas.openxmlformats.org/officeDocument/2006/relationships/table" Target="../tables/table25.xml"/><Relationship Id="rId32" Type="http://schemas.openxmlformats.org/officeDocument/2006/relationships/table" Target="../tables/table33.xml"/><Relationship Id="rId37" Type="http://schemas.openxmlformats.org/officeDocument/2006/relationships/table" Target="../tables/table38.xml"/><Relationship Id="rId40" Type="http://schemas.openxmlformats.org/officeDocument/2006/relationships/table" Target="../tables/table41.xml"/><Relationship Id="rId45" Type="http://schemas.openxmlformats.org/officeDocument/2006/relationships/table" Target="../tables/table46.xml"/><Relationship Id="rId53" Type="http://schemas.openxmlformats.org/officeDocument/2006/relationships/table" Target="../tables/table54.xml"/><Relationship Id="rId58" Type="http://schemas.openxmlformats.org/officeDocument/2006/relationships/table" Target="../tables/table59.xml"/><Relationship Id="rId66" Type="http://schemas.openxmlformats.org/officeDocument/2006/relationships/table" Target="../tables/table67.xml"/><Relationship Id="rId74" Type="http://schemas.openxmlformats.org/officeDocument/2006/relationships/table" Target="../tables/table75.xml"/><Relationship Id="rId79" Type="http://schemas.microsoft.com/office/2017/10/relationships/threadedComment" Target="../threadedComments/threadedComment2.xml"/><Relationship Id="rId5" Type="http://schemas.openxmlformats.org/officeDocument/2006/relationships/table" Target="../tables/table6.xml"/><Relationship Id="rId61" Type="http://schemas.openxmlformats.org/officeDocument/2006/relationships/table" Target="../tables/table62.xml"/><Relationship Id="rId19" Type="http://schemas.openxmlformats.org/officeDocument/2006/relationships/table" Target="../tables/table2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 Id="rId30" Type="http://schemas.openxmlformats.org/officeDocument/2006/relationships/table" Target="../tables/table31.xml"/><Relationship Id="rId35" Type="http://schemas.openxmlformats.org/officeDocument/2006/relationships/table" Target="../tables/table36.xml"/><Relationship Id="rId43" Type="http://schemas.openxmlformats.org/officeDocument/2006/relationships/table" Target="../tables/table44.xml"/><Relationship Id="rId48" Type="http://schemas.openxmlformats.org/officeDocument/2006/relationships/table" Target="../tables/table49.xml"/><Relationship Id="rId56" Type="http://schemas.openxmlformats.org/officeDocument/2006/relationships/table" Target="../tables/table57.xml"/><Relationship Id="rId64" Type="http://schemas.openxmlformats.org/officeDocument/2006/relationships/table" Target="../tables/table65.xml"/><Relationship Id="rId69" Type="http://schemas.openxmlformats.org/officeDocument/2006/relationships/table" Target="../tables/table70.xml"/><Relationship Id="rId77" Type="http://schemas.openxmlformats.org/officeDocument/2006/relationships/table" Target="../tables/table78.xml"/><Relationship Id="rId8" Type="http://schemas.openxmlformats.org/officeDocument/2006/relationships/table" Target="../tables/table9.xml"/><Relationship Id="rId51" Type="http://schemas.openxmlformats.org/officeDocument/2006/relationships/table" Target="../tables/table52.xml"/><Relationship Id="rId72" Type="http://schemas.openxmlformats.org/officeDocument/2006/relationships/table" Target="../tables/table73.xml"/><Relationship Id="rId3" Type="http://schemas.openxmlformats.org/officeDocument/2006/relationships/table" Target="../tables/table4.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33" Type="http://schemas.openxmlformats.org/officeDocument/2006/relationships/table" Target="../tables/table34.xml"/><Relationship Id="rId38" Type="http://schemas.openxmlformats.org/officeDocument/2006/relationships/table" Target="../tables/table39.xml"/><Relationship Id="rId46" Type="http://schemas.openxmlformats.org/officeDocument/2006/relationships/table" Target="../tables/table47.xml"/><Relationship Id="rId59" Type="http://schemas.openxmlformats.org/officeDocument/2006/relationships/table" Target="../tables/table60.xml"/><Relationship Id="rId67" Type="http://schemas.openxmlformats.org/officeDocument/2006/relationships/table" Target="../tables/table68.xml"/><Relationship Id="rId20" Type="http://schemas.openxmlformats.org/officeDocument/2006/relationships/table" Target="../tables/table21.xml"/><Relationship Id="rId41" Type="http://schemas.openxmlformats.org/officeDocument/2006/relationships/table" Target="../tables/table42.xml"/><Relationship Id="rId54" Type="http://schemas.openxmlformats.org/officeDocument/2006/relationships/table" Target="../tables/table55.xml"/><Relationship Id="rId62" Type="http://schemas.openxmlformats.org/officeDocument/2006/relationships/table" Target="../tables/table63.xml"/><Relationship Id="rId70" Type="http://schemas.openxmlformats.org/officeDocument/2006/relationships/table" Target="../tables/table71.xml"/><Relationship Id="rId75" Type="http://schemas.openxmlformats.org/officeDocument/2006/relationships/table" Target="../tables/table76.xml"/><Relationship Id="rId1" Type="http://schemas.openxmlformats.org/officeDocument/2006/relationships/vmlDrawing" Target="../drawings/vmlDrawing2.vml"/><Relationship Id="rId6" Type="http://schemas.openxmlformats.org/officeDocument/2006/relationships/table" Target="../tables/table7.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36" Type="http://schemas.openxmlformats.org/officeDocument/2006/relationships/table" Target="../tables/table37.xml"/><Relationship Id="rId49" Type="http://schemas.openxmlformats.org/officeDocument/2006/relationships/table" Target="../tables/table50.xml"/><Relationship Id="rId57" Type="http://schemas.openxmlformats.org/officeDocument/2006/relationships/table" Target="../tables/table58.xml"/><Relationship Id="rId10" Type="http://schemas.openxmlformats.org/officeDocument/2006/relationships/table" Target="../tables/table11.xml"/><Relationship Id="rId31" Type="http://schemas.openxmlformats.org/officeDocument/2006/relationships/table" Target="../tables/table32.xml"/><Relationship Id="rId44" Type="http://schemas.openxmlformats.org/officeDocument/2006/relationships/table" Target="../tables/table45.xml"/><Relationship Id="rId52" Type="http://schemas.openxmlformats.org/officeDocument/2006/relationships/table" Target="../tables/table53.xml"/><Relationship Id="rId60" Type="http://schemas.openxmlformats.org/officeDocument/2006/relationships/table" Target="../tables/table61.xml"/><Relationship Id="rId65" Type="http://schemas.openxmlformats.org/officeDocument/2006/relationships/table" Target="../tables/table66.xml"/><Relationship Id="rId73" Type="http://schemas.openxmlformats.org/officeDocument/2006/relationships/table" Target="../tables/table74.xml"/><Relationship Id="rId78" Type="http://schemas.openxmlformats.org/officeDocument/2006/relationships/comments" Target="../comments2.xml"/><Relationship Id="rId4" Type="http://schemas.openxmlformats.org/officeDocument/2006/relationships/table" Target="../tables/table5.xml"/><Relationship Id="rId9" Type="http://schemas.openxmlformats.org/officeDocument/2006/relationships/table" Target="../tables/table10.xml"/><Relationship Id="rId13" Type="http://schemas.openxmlformats.org/officeDocument/2006/relationships/table" Target="../tables/table14.xml"/><Relationship Id="rId18" Type="http://schemas.openxmlformats.org/officeDocument/2006/relationships/table" Target="../tables/table19.xml"/><Relationship Id="rId39" Type="http://schemas.openxmlformats.org/officeDocument/2006/relationships/table" Target="../tables/table40.xml"/><Relationship Id="rId34" Type="http://schemas.openxmlformats.org/officeDocument/2006/relationships/table" Target="../tables/table35.xml"/><Relationship Id="rId50" Type="http://schemas.openxmlformats.org/officeDocument/2006/relationships/table" Target="../tables/table51.xml"/><Relationship Id="rId55" Type="http://schemas.openxmlformats.org/officeDocument/2006/relationships/table" Target="../tables/table56.xml"/><Relationship Id="rId76" Type="http://schemas.openxmlformats.org/officeDocument/2006/relationships/table" Target="../tables/table77.xml"/><Relationship Id="rId7" Type="http://schemas.openxmlformats.org/officeDocument/2006/relationships/table" Target="../tables/table8.xml"/><Relationship Id="rId71" Type="http://schemas.openxmlformats.org/officeDocument/2006/relationships/table" Target="../tables/table72.xml"/><Relationship Id="rId2" Type="http://schemas.openxmlformats.org/officeDocument/2006/relationships/table" Target="../tables/table3.xml"/><Relationship Id="rId29" Type="http://schemas.openxmlformats.org/officeDocument/2006/relationships/table" Target="../tables/table30.xml"/></Relationships>
</file>

<file path=xl/worksheets/_rels/sheet6.xml.rels><?xml version="1.0" encoding="UTF-8" standalone="yes"?>
<Relationships xmlns="http://schemas.openxmlformats.org/package/2006/relationships"><Relationship Id="rId26" Type="http://schemas.openxmlformats.org/officeDocument/2006/relationships/table" Target="../tables/table102.xml"/><Relationship Id="rId21" Type="http://schemas.openxmlformats.org/officeDocument/2006/relationships/table" Target="../tables/table97.xml"/><Relationship Id="rId42" Type="http://schemas.openxmlformats.org/officeDocument/2006/relationships/table" Target="../tables/table118.xml"/><Relationship Id="rId47" Type="http://schemas.openxmlformats.org/officeDocument/2006/relationships/table" Target="../tables/table123.xml"/><Relationship Id="rId63" Type="http://schemas.openxmlformats.org/officeDocument/2006/relationships/table" Target="../tables/table139.xml"/><Relationship Id="rId68" Type="http://schemas.openxmlformats.org/officeDocument/2006/relationships/table" Target="../tables/table144.xml"/><Relationship Id="rId84" Type="http://schemas.openxmlformats.org/officeDocument/2006/relationships/table" Target="../tables/table160.xml"/><Relationship Id="rId89" Type="http://schemas.openxmlformats.org/officeDocument/2006/relationships/table" Target="../tables/table165.xml"/><Relationship Id="rId16" Type="http://schemas.openxmlformats.org/officeDocument/2006/relationships/table" Target="../tables/table92.xml"/><Relationship Id="rId11" Type="http://schemas.openxmlformats.org/officeDocument/2006/relationships/table" Target="../tables/table87.xml"/><Relationship Id="rId32" Type="http://schemas.openxmlformats.org/officeDocument/2006/relationships/table" Target="../tables/table108.xml"/><Relationship Id="rId37" Type="http://schemas.openxmlformats.org/officeDocument/2006/relationships/table" Target="../tables/table113.xml"/><Relationship Id="rId53" Type="http://schemas.openxmlformats.org/officeDocument/2006/relationships/table" Target="../tables/table129.xml"/><Relationship Id="rId58" Type="http://schemas.openxmlformats.org/officeDocument/2006/relationships/table" Target="../tables/table134.xml"/><Relationship Id="rId74" Type="http://schemas.openxmlformats.org/officeDocument/2006/relationships/table" Target="../tables/table150.xml"/><Relationship Id="rId79" Type="http://schemas.openxmlformats.org/officeDocument/2006/relationships/table" Target="../tables/table155.xml"/><Relationship Id="rId102" Type="http://schemas.microsoft.com/office/2017/10/relationships/threadedComment" Target="../threadedComments/threadedComment3.xml"/><Relationship Id="rId5" Type="http://schemas.openxmlformats.org/officeDocument/2006/relationships/table" Target="../tables/table81.xml"/><Relationship Id="rId90" Type="http://schemas.openxmlformats.org/officeDocument/2006/relationships/table" Target="../tables/table166.xml"/><Relationship Id="rId95" Type="http://schemas.openxmlformats.org/officeDocument/2006/relationships/table" Target="../tables/table171.xml"/><Relationship Id="rId22" Type="http://schemas.openxmlformats.org/officeDocument/2006/relationships/table" Target="../tables/table98.xml"/><Relationship Id="rId27" Type="http://schemas.openxmlformats.org/officeDocument/2006/relationships/table" Target="../tables/table103.xml"/><Relationship Id="rId43" Type="http://schemas.openxmlformats.org/officeDocument/2006/relationships/table" Target="../tables/table119.xml"/><Relationship Id="rId48" Type="http://schemas.openxmlformats.org/officeDocument/2006/relationships/table" Target="../tables/table124.xml"/><Relationship Id="rId64" Type="http://schemas.openxmlformats.org/officeDocument/2006/relationships/table" Target="../tables/table140.xml"/><Relationship Id="rId69" Type="http://schemas.openxmlformats.org/officeDocument/2006/relationships/table" Target="../tables/table145.xml"/><Relationship Id="rId80" Type="http://schemas.openxmlformats.org/officeDocument/2006/relationships/table" Target="../tables/table156.xml"/><Relationship Id="rId85" Type="http://schemas.openxmlformats.org/officeDocument/2006/relationships/table" Target="../tables/table161.xml"/><Relationship Id="rId12" Type="http://schemas.openxmlformats.org/officeDocument/2006/relationships/table" Target="../tables/table88.xml"/><Relationship Id="rId17" Type="http://schemas.openxmlformats.org/officeDocument/2006/relationships/table" Target="../tables/table93.xml"/><Relationship Id="rId25" Type="http://schemas.openxmlformats.org/officeDocument/2006/relationships/table" Target="../tables/table101.xml"/><Relationship Id="rId33" Type="http://schemas.openxmlformats.org/officeDocument/2006/relationships/table" Target="../tables/table109.xml"/><Relationship Id="rId38" Type="http://schemas.openxmlformats.org/officeDocument/2006/relationships/table" Target="../tables/table114.xml"/><Relationship Id="rId46" Type="http://schemas.openxmlformats.org/officeDocument/2006/relationships/table" Target="../tables/table122.xml"/><Relationship Id="rId59" Type="http://schemas.openxmlformats.org/officeDocument/2006/relationships/table" Target="../tables/table135.xml"/><Relationship Id="rId67" Type="http://schemas.openxmlformats.org/officeDocument/2006/relationships/table" Target="../tables/table143.xml"/><Relationship Id="rId20" Type="http://schemas.openxmlformats.org/officeDocument/2006/relationships/table" Target="../tables/table96.xml"/><Relationship Id="rId41" Type="http://schemas.openxmlformats.org/officeDocument/2006/relationships/table" Target="../tables/table117.xml"/><Relationship Id="rId54" Type="http://schemas.openxmlformats.org/officeDocument/2006/relationships/table" Target="../tables/table130.xml"/><Relationship Id="rId62" Type="http://schemas.openxmlformats.org/officeDocument/2006/relationships/table" Target="../tables/table138.xml"/><Relationship Id="rId70" Type="http://schemas.openxmlformats.org/officeDocument/2006/relationships/table" Target="../tables/table146.xml"/><Relationship Id="rId75" Type="http://schemas.openxmlformats.org/officeDocument/2006/relationships/table" Target="../tables/table151.xml"/><Relationship Id="rId83" Type="http://schemas.openxmlformats.org/officeDocument/2006/relationships/table" Target="../tables/table159.xml"/><Relationship Id="rId88" Type="http://schemas.openxmlformats.org/officeDocument/2006/relationships/table" Target="../tables/table164.xml"/><Relationship Id="rId91" Type="http://schemas.openxmlformats.org/officeDocument/2006/relationships/table" Target="../tables/table167.xml"/><Relationship Id="rId96" Type="http://schemas.openxmlformats.org/officeDocument/2006/relationships/table" Target="../tables/table172.xml"/><Relationship Id="rId1" Type="http://schemas.openxmlformats.org/officeDocument/2006/relationships/printerSettings" Target="../printerSettings/printerSettings1.bin"/><Relationship Id="rId6" Type="http://schemas.openxmlformats.org/officeDocument/2006/relationships/table" Target="../tables/table82.xml"/><Relationship Id="rId15" Type="http://schemas.openxmlformats.org/officeDocument/2006/relationships/table" Target="../tables/table91.xml"/><Relationship Id="rId23" Type="http://schemas.openxmlformats.org/officeDocument/2006/relationships/table" Target="../tables/table99.xml"/><Relationship Id="rId28" Type="http://schemas.openxmlformats.org/officeDocument/2006/relationships/table" Target="../tables/table104.xml"/><Relationship Id="rId36" Type="http://schemas.openxmlformats.org/officeDocument/2006/relationships/table" Target="../tables/table112.xml"/><Relationship Id="rId49" Type="http://schemas.openxmlformats.org/officeDocument/2006/relationships/table" Target="../tables/table125.xml"/><Relationship Id="rId57" Type="http://schemas.openxmlformats.org/officeDocument/2006/relationships/table" Target="../tables/table133.xml"/><Relationship Id="rId10" Type="http://schemas.openxmlformats.org/officeDocument/2006/relationships/table" Target="../tables/table86.xml"/><Relationship Id="rId31" Type="http://schemas.openxmlformats.org/officeDocument/2006/relationships/table" Target="../tables/table107.xml"/><Relationship Id="rId44" Type="http://schemas.openxmlformats.org/officeDocument/2006/relationships/table" Target="../tables/table120.xml"/><Relationship Id="rId52" Type="http://schemas.openxmlformats.org/officeDocument/2006/relationships/table" Target="../tables/table128.xml"/><Relationship Id="rId60" Type="http://schemas.openxmlformats.org/officeDocument/2006/relationships/table" Target="../tables/table136.xml"/><Relationship Id="rId65" Type="http://schemas.openxmlformats.org/officeDocument/2006/relationships/table" Target="../tables/table141.xml"/><Relationship Id="rId73" Type="http://schemas.openxmlformats.org/officeDocument/2006/relationships/table" Target="../tables/table149.xml"/><Relationship Id="rId78" Type="http://schemas.openxmlformats.org/officeDocument/2006/relationships/table" Target="../tables/table154.xml"/><Relationship Id="rId81" Type="http://schemas.openxmlformats.org/officeDocument/2006/relationships/table" Target="../tables/table157.xml"/><Relationship Id="rId86" Type="http://schemas.openxmlformats.org/officeDocument/2006/relationships/table" Target="../tables/table162.xml"/><Relationship Id="rId94" Type="http://schemas.openxmlformats.org/officeDocument/2006/relationships/table" Target="../tables/table170.xml"/><Relationship Id="rId99" Type="http://schemas.openxmlformats.org/officeDocument/2006/relationships/table" Target="../tables/table175.xml"/><Relationship Id="rId101" Type="http://schemas.openxmlformats.org/officeDocument/2006/relationships/comments" Target="../comments3.xml"/><Relationship Id="rId4" Type="http://schemas.openxmlformats.org/officeDocument/2006/relationships/table" Target="../tables/table80.xml"/><Relationship Id="rId9" Type="http://schemas.openxmlformats.org/officeDocument/2006/relationships/table" Target="../tables/table85.xml"/><Relationship Id="rId13" Type="http://schemas.openxmlformats.org/officeDocument/2006/relationships/table" Target="../tables/table89.xml"/><Relationship Id="rId18" Type="http://schemas.openxmlformats.org/officeDocument/2006/relationships/table" Target="../tables/table94.xml"/><Relationship Id="rId39" Type="http://schemas.openxmlformats.org/officeDocument/2006/relationships/table" Target="../tables/table115.xml"/><Relationship Id="rId34" Type="http://schemas.openxmlformats.org/officeDocument/2006/relationships/table" Target="../tables/table110.xml"/><Relationship Id="rId50" Type="http://schemas.openxmlformats.org/officeDocument/2006/relationships/table" Target="../tables/table126.xml"/><Relationship Id="rId55" Type="http://schemas.openxmlformats.org/officeDocument/2006/relationships/table" Target="../tables/table131.xml"/><Relationship Id="rId76" Type="http://schemas.openxmlformats.org/officeDocument/2006/relationships/table" Target="../tables/table152.xml"/><Relationship Id="rId97" Type="http://schemas.openxmlformats.org/officeDocument/2006/relationships/table" Target="../tables/table173.xml"/><Relationship Id="rId7" Type="http://schemas.openxmlformats.org/officeDocument/2006/relationships/table" Target="../tables/table83.xml"/><Relationship Id="rId71" Type="http://schemas.openxmlformats.org/officeDocument/2006/relationships/table" Target="../tables/table147.xml"/><Relationship Id="rId92" Type="http://schemas.openxmlformats.org/officeDocument/2006/relationships/table" Target="../tables/table168.xml"/><Relationship Id="rId2" Type="http://schemas.openxmlformats.org/officeDocument/2006/relationships/vmlDrawing" Target="../drawings/vmlDrawing3.vml"/><Relationship Id="rId29" Type="http://schemas.openxmlformats.org/officeDocument/2006/relationships/table" Target="../tables/table105.xml"/><Relationship Id="rId24" Type="http://schemas.openxmlformats.org/officeDocument/2006/relationships/table" Target="../tables/table100.xml"/><Relationship Id="rId40" Type="http://schemas.openxmlformats.org/officeDocument/2006/relationships/table" Target="../tables/table116.xml"/><Relationship Id="rId45" Type="http://schemas.openxmlformats.org/officeDocument/2006/relationships/table" Target="../tables/table121.xml"/><Relationship Id="rId66" Type="http://schemas.openxmlformats.org/officeDocument/2006/relationships/table" Target="../tables/table142.xml"/><Relationship Id="rId87" Type="http://schemas.openxmlformats.org/officeDocument/2006/relationships/table" Target="../tables/table163.xml"/><Relationship Id="rId61" Type="http://schemas.openxmlformats.org/officeDocument/2006/relationships/table" Target="../tables/table137.xml"/><Relationship Id="rId82" Type="http://schemas.openxmlformats.org/officeDocument/2006/relationships/table" Target="../tables/table158.xml"/><Relationship Id="rId19" Type="http://schemas.openxmlformats.org/officeDocument/2006/relationships/table" Target="../tables/table95.xml"/><Relationship Id="rId14" Type="http://schemas.openxmlformats.org/officeDocument/2006/relationships/table" Target="../tables/table90.xml"/><Relationship Id="rId30" Type="http://schemas.openxmlformats.org/officeDocument/2006/relationships/table" Target="../tables/table106.xml"/><Relationship Id="rId35" Type="http://schemas.openxmlformats.org/officeDocument/2006/relationships/table" Target="../tables/table111.xml"/><Relationship Id="rId56" Type="http://schemas.openxmlformats.org/officeDocument/2006/relationships/table" Target="../tables/table132.xml"/><Relationship Id="rId77" Type="http://schemas.openxmlformats.org/officeDocument/2006/relationships/table" Target="../tables/table153.xml"/><Relationship Id="rId100" Type="http://schemas.openxmlformats.org/officeDocument/2006/relationships/table" Target="../tables/table176.xml"/><Relationship Id="rId8" Type="http://schemas.openxmlformats.org/officeDocument/2006/relationships/table" Target="../tables/table84.xml"/><Relationship Id="rId51" Type="http://schemas.openxmlformats.org/officeDocument/2006/relationships/table" Target="../tables/table127.xml"/><Relationship Id="rId72" Type="http://schemas.openxmlformats.org/officeDocument/2006/relationships/table" Target="../tables/table148.xml"/><Relationship Id="rId93" Type="http://schemas.openxmlformats.org/officeDocument/2006/relationships/table" Target="../tables/table169.xml"/><Relationship Id="rId98" Type="http://schemas.openxmlformats.org/officeDocument/2006/relationships/table" Target="../tables/table174.xml"/><Relationship Id="rId3" Type="http://schemas.openxmlformats.org/officeDocument/2006/relationships/table" Target="../tables/table7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7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7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7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8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666A5-CE1E-4003-9BD4-96D1C79826A9}">
  <dimension ref="A1:B2"/>
  <sheetViews>
    <sheetView workbookViewId="0">
      <selection activeCell="P9" sqref="P9"/>
    </sheetView>
  </sheetViews>
  <sheetFormatPr defaultRowHeight="14.4" x14ac:dyDescent="0.3"/>
  <cols>
    <col min="1" max="1" width="17.44140625" customWidth="1"/>
    <col min="2" max="2" width="128.5546875" customWidth="1"/>
  </cols>
  <sheetData>
    <row r="1" spans="1:2" x14ac:dyDescent="0.3">
      <c r="A1" t="s">
        <v>6273</v>
      </c>
      <c r="B1" t="s">
        <v>1764</v>
      </c>
    </row>
    <row r="2" spans="1:2" ht="28.8" x14ac:dyDescent="0.3">
      <c r="A2" t="s">
        <v>6274</v>
      </c>
      <c r="B2" s="34" t="s">
        <v>6275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sheetPr>
  <dimension ref="A1:M207"/>
  <sheetViews>
    <sheetView workbookViewId="0">
      <pane ySplit="1" topLeftCell="A78" activePane="bottomLeft" state="frozen"/>
      <selection pane="bottomLeft" activeCell="D105" sqref="D105"/>
    </sheetView>
  </sheetViews>
  <sheetFormatPr defaultRowHeight="14.4" x14ac:dyDescent="0.3"/>
  <cols>
    <col min="1" max="1" width="32" customWidth="1"/>
    <col min="2" max="2" width="12" customWidth="1"/>
    <col min="3" max="3" width="32" customWidth="1"/>
    <col min="4" max="5" width="22" customWidth="1"/>
    <col min="6" max="6" width="38" customWidth="1"/>
    <col min="7" max="7" width="12" customWidth="1"/>
    <col min="8" max="8" width="24" customWidth="1"/>
    <col min="9" max="9" width="22" customWidth="1"/>
    <col min="10" max="11" width="14" customWidth="1"/>
    <col min="12" max="12" width="12" customWidth="1"/>
    <col min="13" max="13" width="22" customWidth="1"/>
  </cols>
  <sheetData>
    <row r="1" spans="1:13" ht="30" customHeight="1" x14ac:dyDescent="0.3">
      <c r="A1" s="1" t="s">
        <v>6</v>
      </c>
      <c r="B1" s="1" t="s">
        <v>7</v>
      </c>
      <c r="C1" s="1" t="s">
        <v>8</v>
      </c>
      <c r="D1" s="1" t="s">
        <v>9</v>
      </c>
      <c r="E1" s="1" t="s">
        <v>0</v>
      </c>
      <c r="F1" s="1" t="s">
        <v>1</v>
      </c>
      <c r="G1" s="1" t="s">
        <v>10</v>
      </c>
      <c r="H1" s="1" t="s">
        <v>11</v>
      </c>
      <c r="I1" s="1" t="s">
        <v>2</v>
      </c>
      <c r="J1" s="1" t="s">
        <v>3</v>
      </c>
      <c r="K1" s="1" t="s">
        <v>12</v>
      </c>
      <c r="L1" s="1" t="s">
        <v>13</v>
      </c>
      <c r="M1" s="1" t="s">
        <v>4</v>
      </c>
    </row>
    <row r="2" spans="1:13" x14ac:dyDescent="0.3">
      <c r="A2" s="2" t="s">
        <v>14</v>
      </c>
      <c r="B2" s="2" t="s">
        <v>15</v>
      </c>
      <c r="C2" s="2"/>
      <c r="D2" s="2"/>
      <c r="E2" s="2"/>
      <c r="F2" s="2" t="s">
        <v>16</v>
      </c>
      <c r="G2" s="2" t="s">
        <v>10</v>
      </c>
      <c r="H2" s="2" t="s">
        <v>17</v>
      </c>
      <c r="I2" s="2" t="s">
        <v>17</v>
      </c>
      <c r="J2" s="2" t="s">
        <v>18</v>
      </c>
      <c r="K2" s="2"/>
      <c r="L2" s="2" t="s">
        <v>19</v>
      </c>
      <c r="M2" s="2" t="s">
        <v>20</v>
      </c>
    </row>
    <row r="3" spans="1:13" ht="27.6" x14ac:dyDescent="0.3">
      <c r="A3" s="2" t="s">
        <v>14</v>
      </c>
      <c r="B3" s="2" t="s">
        <v>15</v>
      </c>
      <c r="C3" s="2"/>
      <c r="D3" s="2"/>
      <c r="E3" s="2"/>
      <c r="F3" s="2" t="s">
        <v>21</v>
      </c>
      <c r="G3" s="2" t="s">
        <v>10</v>
      </c>
      <c r="H3" s="2" t="s">
        <v>22</v>
      </c>
      <c r="I3" s="2" t="s">
        <v>22</v>
      </c>
      <c r="J3" s="2" t="s">
        <v>23</v>
      </c>
      <c r="K3" s="2"/>
      <c r="L3" s="2" t="s">
        <v>19</v>
      </c>
      <c r="M3" s="2" t="s">
        <v>20</v>
      </c>
    </row>
    <row r="4" spans="1:13" x14ac:dyDescent="0.3">
      <c r="A4" s="2" t="s">
        <v>14</v>
      </c>
      <c r="B4" s="2" t="s">
        <v>15</v>
      </c>
      <c r="C4" s="2"/>
      <c r="D4" s="2"/>
      <c r="E4" s="2"/>
      <c r="F4" s="2" t="s">
        <v>24</v>
      </c>
      <c r="G4" s="2" t="s">
        <v>10</v>
      </c>
      <c r="H4" s="2" t="s">
        <v>25</v>
      </c>
      <c r="I4" s="2" t="s">
        <v>25</v>
      </c>
      <c r="J4" s="2" t="s">
        <v>18</v>
      </c>
      <c r="K4" s="2"/>
      <c r="L4" s="2" t="s">
        <v>19</v>
      </c>
      <c r="M4" s="2" t="s">
        <v>20</v>
      </c>
    </row>
    <row r="5" spans="1:13" x14ac:dyDescent="0.3">
      <c r="A5" s="2" t="s">
        <v>14</v>
      </c>
      <c r="B5" s="2" t="s">
        <v>15</v>
      </c>
      <c r="C5" s="2"/>
      <c r="D5" s="2"/>
      <c r="E5" s="2"/>
      <c r="F5" s="2" t="s">
        <v>26</v>
      </c>
      <c r="G5" s="2" t="s">
        <v>27</v>
      </c>
      <c r="H5" s="2" t="s">
        <v>28</v>
      </c>
      <c r="I5" s="2" t="s">
        <v>28</v>
      </c>
      <c r="J5" s="2" t="s">
        <v>18</v>
      </c>
      <c r="K5" s="2"/>
      <c r="L5" s="2" t="s">
        <v>19</v>
      </c>
      <c r="M5" s="2" t="s">
        <v>20</v>
      </c>
    </row>
    <row r="6" spans="1:13" x14ac:dyDescent="0.3">
      <c r="A6" s="2" t="s">
        <v>14</v>
      </c>
      <c r="B6" s="2" t="s">
        <v>15</v>
      </c>
      <c r="C6" s="2"/>
      <c r="D6" s="2"/>
      <c r="E6" s="2"/>
      <c r="F6" s="2" t="s">
        <v>29</v>
      </c>
      <c r="G6" s="2" t="s">
        <v>27</v>
      </c>
      <c r="H6" s="2" t="s">
        <v>30</v>
      </c>
      <c r="I6" s="2" t="s">
        <v>30</v>
      </c>
      <c r="J6" s="2" t="s">
        <v>18</v>
      </c>
      <c r="K6" s="2"/>
      <c r="L6" s="2" t="s">
        <v>19</v>
      </c>
      <c r="M6" s="2" t="s">
        <v>20</v>
      </c>
    </row>
    <row r="7" spans="1:13" x14ac:dyDescent="0.3">
      <c r="A7" s="2" t="s">
        <v>14</v>
      </c>
      <c r="B7" s="2" t="s">
        <v>15</v>
      </c>
      <c r="C7" s="2"/>
      <c r="D7" s="2"/>
      <c r="E7" s="2"/>
      <c r="F7" s="2" t="s">
        <v>31</v>
      </c>
      <c r="G7" s="2" t="s">
        <v>10</v>
      </c>
      <c r="H7" s="2">
        <v>178308</v>
      </c>
      <c r="I7" s="2">
        <v>190983</v>
      </c>
      <c r="J7" s="2" t="s">
        <v>18</v>
      </c>
      <c r="K7" s="2" t="s">
        <v>32</v>
      </c>
      <c r="L7" s="2" t="s">
        <v>33</v>
      </c>
      <c r="M7" s="2" t="s">
        <v>20</v>
      </c>
    </row>
    <row r="8" spans="1:13" x14ac:dyDescent="0.3">
      <c r="A8" s="2" t="s">
        <v>14</v>
      </c>
      <c r="B8" s="2" t="s">
        <v>15</v>
      </c>
      <c r="C8" s="2"/>
      <c r="D8" s="2"/>
      <c r="E8" s="2"/>
      <c r="F8" s="2" t="s">
        <v>34</v>
      </c>
      <c r="G8" s="2" t="s">
        <v>10</v>
      </c>
      <c r="H8" s="2">
        <v>178309</v>
      </c>
      <c r="I8" s="2">
        <v>190984</v>
      </c>
      <c r="J8" s="2" t="s">
        <v>18</v>
      </c>
      <c r="K8" s="2" t="s">
        <v>35</v>
      </c>
      <c r="L8" s="2" t="s">
        <v>33</v>
      </c>
      <c r="M8" s="2" t="s">
        <v>20</v>
      </c>
    </row>
    <row r="9" spans="1:13" x14ac:dyDescent="0.3">
      <c r="A9" s="2" t="s">
        <v>14</v>
      </c>
      <c r="B9" s="2" t="s">
        <v>15</v>
      </c>
      <c r="C9" s="2"/>
      <c r="D9" s="2"/>
      <c r="E9" s="2"/>
      <c r="F9" s="2" t="s">
        <v>36</v>
      </c>
      <c r="G9" s="2" t="s">
        <v>10</v>
      </c>
      <c r="H9" s="2">
        <v>178311</v>
      </c>
      <c r="I9" s="2">
        <v>190985</v>
      </c>
      <c r="J9" s="2" t="s">
        <v>18</v>
      </c>
      <c r="K9" s="2" t="s">
        <v>32</v>
      </c>
      <c r="L9" s="2" t="s">
        <v>33</v>
      </c>
      <c r="M9" s="2" t="s">
        <v>20</v>
      </c>
    </row>
    <row r="10" spans="1:13" x14ac:dyDescent="0.3">
      <c r="A10" s="2" t="s">
        <v>14</v>
      </c>
      <c r="B10" s="2" t="s">
        <v>15</v>
      </c>
      <c r="C10" s="2"/>
      <c r="D10" s="2"/>
      <c r="E10" s="2"/>
      <c r="F10" s="2" t="s">
        <v>37</v>
      </c>
      <c r="G10" s="2" t="s">
        <v>10</v>
      </c>
      <c r="H10" s="2">
        <v>178312</v>
      </c>
      <c r="I10" s="2">
        <v>190986</v>
      </c>
      <c r="J10" s="2" t="s">
        <v>18</v>
      </c>
      <c r="K10" s="2" t="s">
        <v>35</v>
      </c>
      <c r="L10" s="2" t="s">
        <v>33</v>
      </c>
      <c r="M10" s="2" t="s">
        <v>20</v>
      </c>
    </row>
    <row r="11" spans="1:13" x14ac:dyDescent="0.3">
      <c r="A11" s="2" t="s">
        <v>14</v>
      </c>
      <c r="B11" s="2" t="s">
        <v>15</v>
      </c>
      <c r="C11" s="2"/>
      <c r="D11" s="2"/>
      <c r="E11" s="2"/>
      <c r="F11" s="2" t="s">
        <v>38</v>
      </c>
      <c r="G11" s="2" t="s">
        <v>10</v>
      </c>
      <c r="H11" s="2">
        <v>178340</v>
      </c>
      <c r="I11" s="2">
        <v>190987</v>
      </c>
      <c r="J11" s="2" t="s">
        <v>18</v>
      </c>
      <c r="K11" s="2" t="s">
        <v>35</v>
      </c>
      <c r="L11" s="2" t="s">
        <v>33</v>
      </c>
      <c r="M11" s="2" t="s">
        <v>20</v>
      </c>
    </row>
    <row r="12" spans="1:13" x14ac:dyDescent="0.3">
      <c r="A12" s="2" t="s">
        <v>14</v>
      </c>
      <c r="B12" s="2" t="s">
        <v>15</v>
      </c>
      <c r="C12" s="2"/>
      <c r="D12" s="2"/>
      <c r="E12" s="2"/>
      <c r="F12" s="2" t="s">
        <v>39</v>
      </c>
      <c r="G12" s="2" t="s">
        <v>27</v>
      </c>
      <c r="H12" s="2">
        <v>178310</v>
      </c>
      <c r="I12" s="2">
        <v>190988</v>
      </c>
      <c r="J12" s="2" t="s">
        <v>18</v>
      </c>
      <c r="K12" s="2" t="s">
        <v>32</v>
      </c>
      <c r="L12" s="2" t="s">
        <v>33</v>
      </c>
      <c r="M12" s="2" t="s">
        <v>20</v>
      </c>
    </row>
    <row r="13" spans="1:13" x14ac:dyDescent="0.3">
      <c r="A13" s="2" t="s">
        <v>14</v>
      </c>
      <c r="B13" s="2" t="s">
        <v>15</v>
      </c>
      <c r="C13" s="2"/>
      <c r="D13" s="2"/>
      <c r="E13" s="2"/>
      <c r="F13" s="2" t="s">
        <v>40</v>
      </c>
      <c r="G13" s="2" t="s">
        <v>10</v>
      </c>
      <c r="H13" s="2">
        <v>3399</v>
      </c>
      <c r="I13" s="2">
        <v>3399</v>
      </c>
      <c r="J13" s="2" t="s">
        <v>18</v>
      </c>
      <c r="K13" s="2" t="s">
        <v>32</v>
      </c>
      <c r="L13" s="2" t="s">
        <v>33</v>
      </c>
      <c r="M13" s="2" t="s">
        <v>20</v>
      </c>
    </row>
    <row r="14" spans="1:13" x14ac:dyDescent="0.3">
      <c r="A14" s="2" t="s">
        <v>14</v>
      </c>
      <c r="B14" s="2" t="s">
        <v>15</v>
      </c>
      <c r="C14" s="2"/>
      <c r="D14" s="2"/>
      <c r="E14" s="2"/>
      <c r="F14" s="2" t="s">
        <v>41</v>
      </c>
      <c r="G14" s="2" t="s">
        <v>10</v>
      </c>
      <c r="H14" s="2">
        <v>178339</v>
      </c>
      <c r="I14" s="2">
        <v>190989</v>
      </c>
      <c r="J14" s="2" t="s">
        <v>18</v>
      </c>
      <c r="K14" s="2" t="s">
        <v>35</v>
      </c>
      <c r="L14" s="2" t="s">
        <v>33</v>
      </c>
      <c r="M14" s="2" t="s">
        <v>20</v>
      </c>
    </row>
    <row r="15" spans="1:13" x14ac:dyDescent="0.3">
      <c r="A15" s="2" t="s">
        <v>14</v>
      </c>
      <c r="B15" s="2" t="s">
        <v>15</v>
      </c>
      <c r="C15" s="2"/>
      <c r="D15" s="2"/>
      <c r="E15" s="2"/>
      <c r="F15" s="2" t="s">
        <v>42</v>
      </c>
      <c r="G15" s="2" t="s">
        <v>10</v>
      </c>
      <c r="H15" s="2">
        <v>4181</v>
      </c>
      <c r="I15" s="2">
        <v>4181</v>
      </c>
      <c r="J15" s="2" t="s">
        <v>18</v>
      </c>
      <c r="K15" s="2" t="s">
        <v>35</v>
      </c>
      <c r="L15" s="2" t="s">
        <v>33</v>
      </c>
      <c r="M15" s="2" t="s">
        <v>20</v>
      </c>
    </row>
    <row r="16" spans="1:13" x14ac:dyDescent="0.3">
      <c r="A16" s="2" t="s">
        <v>14</v>
      </c>
      <c r="B16" s="2" t="s">
        <v>15</v>
      </c>
      <c r="C16" s="2"/>
      <c r="D16" s="2"/>
      <c r="E16" s="2"/>
      <c r="F16" s="2" t="s">
        <v>43</v>
      </c>
      <c r="G16" s="2" t="s">
        <v>27</v>
      </c>
      <c r="H16" s="2" t="s">
        <v>44</v>
      </c>
      <c r="I16" s="2" t="s">
        <v>44</v>
      </c>
      <c r="J16" s="2" t="s">
        <v>18</v>
      </c>
      <c r="K16" s="2"/>
      <c r="L16" s="2" t="s">
        <v>19</v>
      </c>
      <c r="M16" s="2" t="s">
        <v>20</v>
      </c>
    </row>
    <row r="17" spans="1:13" ht="27.6" x14ac:dyDescent="0.3">
      <c r="A17" s="2" t="s">
        <v>14</v>
      </c>
      <c r="B17" s="2" t="s">
        <v>15</v>
      </c>
      <c r="C17" s="2"/>
      <c r="D17" s="2"/>
      <c r="E17" s="2"/>
      <c r="F17" s="2" t="s">
        <v>45</v>
      </c>
      <c r="G17" s="2" t="s">
        <v>27</v>
      </c>
      <c r="H17" s="2" t="s">
        <v>46</v>
      </c>
      <c r="I17" s="2" t="s">
        <v>46</v>
      </c>
      <c r="J17" s="2" t="s">
        <v>18</v>
      </c>
      <c r="K17" s="2"/>
      <c r="L17" s="2" t="s">
        <v>19</v>
      </c>
      <c r="M17" s="2" t="s">
        <v>20</v>
      </c>
    </row>
    <row r="18" spans="1:13" ht="27.6" x14ac:dyDescent="0.3">
      <c r="A18" s="2" t="s">
        <v>14</v>
      </c>
      <c r="B18" s="2" t="s">
        <v>15</v>
      </c>
      <c r="C18" s="2"/>
      <c r="D18" s="2"/>
      <c r="E18" s="2"/>
      <c r="F18" s="2" t="s">
        <v>47</v>
      </c>
      <c r="G18" s="2" t="s">
        <v>27</v>
      </c>
      <c r="H18" s="2" t="s">
        <v>48</v>
      </c>
      <c r="I18" s="2" t="s">
        <v>48</v>
      </c>
      <c r="J18" s="2" t="s">
        <v>18</v>
      </c>
      <c r="K18" s="2"/>
      <c r="L18" s="2" t="s">
        <v>19</v>
      </c>
      <c r="M18" s="2" t="s">
        <v>20</v>
      </c>
    </row>
    <row r="19" spans="1:13" ht="27.6" x14ac:dyDescent="0.3">
      <c r="A19" s="2" t="s">
        <v>14</v>
      </c>
      <c r="B19" s="2" t="s">
        <v>15</v>
      </c>
      <c r="C19" s="2"/>
      <c r="D19" s="2"/>
      <c r="E19" s="2"/>
      <c r="F19" s="2" t="s">
        <v>49</v>
      </c>
      <c r="G19" s="2" t="s">
        <v>27</v>
      </c>
      <c r="H19" s="2">
        <v>1044</v>
      </c>
      <c r="I19" s="2">
        <v>1044</v>
      </c>
      <c r="J19" s="2" t="s">
        <v>50</v>
      </c>
      <c r="K19" s="2"/>
      <c r="L19" s="2" t="s">
        <v>19</v>
      </c>
      <c r="M19" s="2" t="s">
        <v>20</v>
      </c>
    </row>
    <row r="20" spans="1:13" x14ac:dyDescent="0.3">
      <c r="A20" s="2" t="s">
        <v>14</v>
      </c>
      <c r="B20" s="2" t="s">
        <v>15</v>
      </c>
      <c r="C20" s="2"/>
      <c r="D20" s="2"/>
      <c r="E20" s="2"/>
      <c r="F20" s="2" t="s">
        <v>51</v>
      </c>
      <c r="G20" s="2" t="s">
        <v>27</v>
      </c>
      <c r="H20" s="2" t="s">
        <v>52</v>
      </c>
      <c r="I20" s="2" t="s">
        <v>52</v>
      </c>
      <c r="J20" s="2" t="s">
        <v>18</v>
      </c>
      <c r="K20" s="2"/>
      <c r="L20" s="2" t="s">
        <v>19</v>
      </c>
      <c r="M20" s="2" t="s">
        <v>20</v>
      </c>
    </row>
    <row r="21" spans="1:13" x14ac:dyDescent="0.3">
      <c r="A21" s="2" t="s">
        <v>14</v>
      </c>
      <c r="B21" s="2" t="s">
        <v>15</v>
      </c>
      <c r="C21" s="2"/>
      <c r="D21" s="2"/>
      <c r="E21" s="2"/>
      <c r="F21" s="2" t="s">
        <v>53</v>
      </c>
      <c r="G21" s="2" t="s">
        <v>27</v>
      </c>
      <c r="H21" s="2" t="s">
        <v>54</v>
      </c>
      <c r="I21" s="2" t="s">
        <v>54</v>
      </c>
      <c r="J21" s="2" t="s">
        <v>18</v>
      </c>
      <c r="K21" s="2"/>
      <c r="L21" s="2" t="s">
        <v>19</v>
      </c>
      <c r="M21" s="2" t="s">
        <v>20</v>
      </c>
    </row>
    <row r="22" spans="1:13" x14ac:dyDescent="0.3">
      <c r="A22" s="2" t="s">
        <v>14</v>
      </c>
      <c r="B22" s="2" t="s">
        <v>15</v>
      </c>
      <c r="C22" s="2"/>
      <c r="D22" s="2"/>
      <c r="E22" s="2"/>
      <c r="F22" s="2" t="s">
        <v>55</v>
      </c>
      <c r="G22" s="2" t="s">
        <v>10</v>
      </c>
      <c r="H22" s="2" t="s">
        <v>56</v>
      </c>
      <c r="I22" s="2" t="s">
        <v>56</v>
      </c>
      <c r="J22" s="2" t="s">
        <v>57</v>
      </c>
      <c r="K22" s="2" t="s">
        <v>32</v>
      </c>
      <c r="L22" s="2" t="s">
        <v>33</v>
      </c>
      <c r="M22" s="2" t="s">
        <v>20</v>
      </c>
    </row>
    <row r="23" spans="1:13" ht="27.6" x14ac:dyDescent="0.3">
      <c r="A23" s="2" t="s">
        <v>14</v>
      </c>
      <c r="B23" s="2" t="s">
        <v>15</v>
      </c>
      <c r="C23" s="2"/>
      <c r="D23" s="2"/>
      <c r="E23" s="2"/>
      <c r="F23" s="2" t="s">
        <v>58</v>
      </c>
      <c r="G23" s="2" t="s">
        <v>27</v>
      </c>
      <c r="H23" s="2" t="s">
        <v>59</v>
      </c>
      <c r="I23" s="2" t="s">
        <v>60</v>
      </c>
      <c r="J23" s="2" t="s">
        <v>57</v>
      </c>
      <c r="K23" s="2" t="s">
        <v>32</v>
      </c>
      <c r="L23" s="2" t="s">
        <v>33</v>
      </c>
      <c r="M23" s="2" t="s">
        <v>20</v>
      </c>
    </row>
    <row r="24" spans="1:13" ht="27.6" x14ac:dyDescent="0.3">
      <c r="A24" s="2" t="s">
        <v>14</v>
      </c>
      <c r="B24" s="2" t="s">
        <v>15</v>
      </c>
      <c r="C24" s="2"/>
      <c r="D24" s="2"/>
      <c r="E24" s="2"/>
      <c r="F24" s="2" t="s">
        <v>61</v>
      </c>
      <c r="G24" s="2" t="s">
        <v>27</v>
      </c>
      <c r="H24" s="2" t="s">
        <v>62</v>
      </c>
      <c r="I24" s="2" t="s">
        <v>63</v>
      </c>
      <c r="J24" s="2" t="s">
        <v>57</v>
      </c>
      <c r="K24" s="2" t="s">
        <v>32</v>
      </c>
      <c r="L24" s="2" t="s">
        <v>33</v>
      </c>
      <c r="M24" s="2" t="s">
        <v>20</v>
      </c>
    </row>
    <row r="25" spans="1:13" x14ac:dyDescent="0.3">
      <c r="A25" s="2" t="s">
        <v>14</v>
      </c>
      <c r="B25" s="2" t="s">
        <v>15</v>
      </c>
      <c r="C25" s="2"/>
      <c r="D25" s="2"/>
      <c r="E25" s="2"/>
      <c r="F25" s="2" t="s">
        <v>64</v>
      </c>
      <c r="G25" s="2" t="s">
        <v>27</v>
      </c>
      <c r="H25" s="2" t="s">
        <v>65</v>
      </c>
      <c r="I25" s="2" t="s">
        <v>66</v>
      </c>
      <c r="J25" s="2" t="s">
        <v>57</v>
      </c>
      <c r="K25" s="2" t="s">
        <v>32</v>
      </c>
      <c r="L25" s="2" t="s">
        <v>33</v>
      </c>
      <c r="M25" s="2" t="s">
        <v>20</v>
      </c>
    </row>
    <row r="26" spans="1:13" x14ac:dyDescent="0.3">
      <c r="A26" s="2" t="s">
        <v>14</v>
      </c>
      <c r="B26" s="2" t="s">
        <v>15</v>
      </c>
      <c r="C26" s="2"/>
      <c r="D26" s="2"/>
      <c r="E26" s="2"/>
      <c r="F26" s="2" t="s">
        <v>67</v>
      </c>
      <c r="G26" s="2" t="s">
        <v>27</v>
      </c>
      <c r="H26" s="2" t="s">
        <v>68</v>
      </c>
      <c r="I26" s="2" t="s">
        <v>69</v>
      </c>
      <c r="J26" s="2" t="s">
        <v>57</v>
      </c>
      <c r="K26" s="2" t="s">
        <v>32</v>
      </c>
      <c r="L26" s="2" t="s">
        <v>33</v>
      </c>
      <c r="M26" s="2" t="s">
        <v>20</v>
      </c>
    </row>
    <row r="27" spans="1:13" x14ac:dyDescent="0.3">
      <c r="A27" s="2" t="s">
        <v>14</v>
      </c>
      <c r="B27" s="2" t="s">
        <v>15</v>
      </c>
      <c r="C27" s="2"/>
      <c r="D27" s="2"/>
      <c r="E27" s="2"/>
      <c r="F27" s="2" t="s">
        <v>70</v>
      </c>
      <c r="G27" s="2" t="s">
        <v>71</v>
      </c>
      <c r="H27" s="2" t="s">
        <v>72</v>
      </c>
      <c r="I27" s="2" t="s">
        <v>72</v>
      </c>
      <c r="J27" s="2" t="s">
        <v>73</v>
      </c>
      <c r="K27" s="2"/>
      <c r="L27" s="2" t="s">
        <v>19</v>
      </c>
      <c r="M27" s="2" t="s">
        <v>20</v>
      </c>
    </row>
    <row r="28" spans="1:13" x14ac:dyDescent="0.3">
      <c r="A28" s="2" t="s">
        <v>14</v>
      </c>
      <c r="B28" s="2" t="s">
        <v>15</v>
      </c>
      <c r="C28" s="2"/>
      <c r="D28" s="2"/>
      <c r="E28" s="2"/>
      <c r="F28" s="2" t="s">
        <v>74</v>
      </c>
      <c r="G28" s="2" t="s">
        <v>10</v>
      </c>
      <c r="H28" s="2" t="s">
        <v>75</v>
      </c>
      <c r="I28" s="2" t="s">
        <v>75</v>
      </c>
      <c r="J28" s="2" t="s">
        <v>57</v>
      </c>
      <c r="K28" s="2" t="s">
        <v>35</v>
      </c>
      <c r="L28" s="2" t="s">
        <v>33</v>
      </c>
      <c r="M28" s="2" t="s">
        <v>20</v>
      </c>
    </row>
    <row r="29" spans="1:13" ht="27.6" x14ac:dyDescent="0.3">
      <c r="A29" s="2" t="s">
        <v>14</v>
      </c>
      <c r="B29" s="2" t="s">
        <v>15</v>
      </c>
      <c r="C29" s="2"/>
      <c r="D29" s="2"/>
      <c r="E29" s="2"/>
      <c r="F29" s="2" t="s">
        <v>76</v>
      </c>
      <c r="G29" s="2" t="s">
        <v>71</v>
      </c>
      <c r="H29" s="2" t="s">
        <v>72</v>
      </c>
      <c r="I29" s="2" t="s">
        <v>72</v>
      </c>
      <c r="J29" s="2" t="s">
        <v>77</v>
      </c>
      <c r="K29" s="2"/>
      <c r="L29" s="2" t="s">
        <v>19</v>
      </c>
      <c r="M29" s="2" t="s">
        <v>20</v>
      </c>
    </row>
    <row r="30" spans="1:13" x14ac:dyDescent="0.3">
      <c r="A30" s="2" t="s">
        <v>14</v>
      </c>
      <c r="B30" s="2" t="s">
        <v>15</v>
      </c>
      <c r="C30" s="2"/>
      <c r="D30" s="2"/>
      <c r="E30" s="2"/>
      <c r="F30" s="2" t="s">
        <v>78</v>
      </c>
      <c r="G30" s="2" t="s">
        <v>27</v>
      </c>
      <c r="H30" s="2" t="s">
        <v>79</v>
      </c>
      <c r="I30" s="2" t="s">
        <v>80</v>
      </c>
      <c r="J30" s="2" t="s">
        <v>57</v>
      </c>
      <c r="K30" s="2" t="s">
        <v>35</v>
      </c>
      <c r="L30" s="2" t="s">
        <v>33</v>
      </c>
      <c r="M30" s="2" t="s">
        <v>20</v>
      </c>
    </row>
    <row r="31" spans="1:13" x14ac:dyDescent="0.3">
      <c r="A31" s="2" t="s">
        <v>14</v>
      </c>
      <c r="B31" s="2" t="s">
        <v>15</v>
      </c>
      <c r="C31" s="2"/>
      <c r="D31" s="2"/>
      <c r="E31" s="2"/>
      <c r="F31" s="2" t="s">
        <v>81</v>
      </c>
      <c r="G31" s="2" t="s">
        <v>10</v>
      </c>
      <c r="H31" s="2" t="s">
        <v>82</v>
      </c>
      <c r="I31" s="2" t="s">
        <v>83</v>
      </c>
      <c r="J31" s="2" t="s">
        <v>57</v>
      </c>
      <c r="K31" s="2" t="s">
        <v>32</v>
      </c>
      <c r="L31" s="2" t="s">
        <v>33</v>
      </c>
      <c r="M31" s="2" t="s">
        <v>20</v>
      </c>
    </row>
    <row r="32" spans="1:13" x14ac:dyDescent="0.3">
      <c r="A32" s="2" t="s">
        <v>14</v>
      </c>
      <c r="B32" s="2" t="s">
        <v>15</v>
      </c>
      <c r="C32" s="2"/>
      <c r="D32" s="2"/>
      <c r="E32" s="2"/>
      <c r="F32" s="2" t="s">
        <v>84</v>
      </c>
      <c r="G32" s="2" t="s">
        <v>10</v>
      </c>
      <c r="H32" s="2" t="s">
        <v>85</v>
      </c>
      <c r="I32" s="2" t="s">
        <v>85</v>
      </c>
      <c r="J32" s="2" t="s">
        <v>18</v>
      </c>
      <c r="K32" s="2"/>
      <c r="L32" s="2" t="s">
        <v>19</v>
      </c>
      <c r="M32" s="2" t="s">
        <v>20</v>
      </c>
    </row>
    <row r="33" spans="1:13" x14ac:dyDescent="0.3">
      <c r="A33" s="2" t="s">
        <v>14</v>
      </c>
      <c r="B33" s="2" t="s">
        <v>15</v>
      </c>
      <c r="C33" s="2"/>
      <c r="D33" s="2"/>
      <c r="E33" s="2"/>
      <c r="F33" s="2" t="s">
        <v>86</v>
      </c>
      <c r="G33" s="2" t="s">
        <v>10</v>
      </c>
      <c r="H33" s="2" t="s">
        <v>87</v>
      </c>
      <c r="I33" s="2" t="s">
        <v>88</v>
      </c>
      <c r="J33" s="2" t="s">
        <v>57</v>
      </c>
      <c r="K33" s="2" t="s">
        <v>32</v>
      </c>
      <c r="L33" s="2" t="s">
        <v>33</v>
      </c>
      <c r="M33" s="2" t="s">
        <v>20</v>
      </c>
    </row>
    <row r="34" spans="1:13" x14ac:dyDescent="0.3">
      <c r="A34" s="2" t="s">
        <v>14</v>
      </c>
      <c r="B34" s="2" t="s">
        <v>15</v>
      </c>
      <c r="C34" s="2"/>
      <c r="D34" s="2"/>
      <c r="E34" s="2"/>
      <c r="F34" s="2" t="s">
        <v>89</v>
      </c>
      <c r="G34" s="2" t="s">
        <v>10</v>
      </c>
      <c r="H34" s="2" t="s">
        <v>90</v>
      </c>
      <c r="I34" s="2" t="s">
        <v>90</v>
      </c>
      <c r="J34" s="2" t="s">
        <v>18</v>
      </c>
      <c r="K34" s="2"/>
      <c r="L34" s="2" t="s">
        <v>19</v>
      </c>
      <c r="M34" s="2" t="s">
        <v>20</v>
      </c>
    </row>
    <row r="35" spans="1:13" x14ac:dyDescent="0.3">
      <c r="A35" s="2" t="s">
        <v>14</v>
      </c>
      <c r="B35" s="2" t="s">
        <v>15</v>
      </c>
      <c r="C35" s="2"/>
      <c r="D35" s="2"/>
      <c r="E35" s="2"/>
      <c r="F35" s="2" t="s">
        <v>91</v>
      </c>
      <c r="G35" s="2" t="s">
        <v>10</v>
      </c>
      <c r="H35" s="2" t="s">
        <v>92</v>
      </c>
      <c r="I35" s="2" t="s">
        <v>93</v>
      </c>
      <c r="J35" s="2" t="s">
        <v>57</v>
      </c>
      <c r="K35" s="2" t="s">
        <v>32</v>
      </c>
      <c r="L35" s="2" t="s">
        <v>33</v>
      </c>
      <c r="M35" s="2" t="s">
        <v>20</v>
      </c>
    </row>
    <row r="36" spans="1:13" x14ac:dyDescent="0.3">
      <c r="A36" s="2" t="s">
        <v>14</v>
      </c>
      <c r="B36" s="2" t="s">
        <v>15</v>
      </c>
      <c r="C36" s="2"/>
      <c r="D36" s="2"/>
      <c r="E36" s="2"/>
      <c r="F36" s="2" t="s">
        <v>94</v>
      </c>
      <c r="G36" s="2" t="s">
        <v>10</v>
      </c>
      <c r="H36" s="2" t="s">
        <v>95</v>
      </c>
      <c r="I36" s="2" t="s">
        <v>95</v>
      </c>
      <c r="J36" s="2" t="s">
        <v>18</v>
      </c>
      <c r="K36" s="2"/>
      <c r="L36" s="2" t="s">
        <v>19</v>
      </c>
      <c r="M36" s="2" t="s">
        <v>20</v>
      </c>
    </row>
    <row r="37" spans="1:13" x14ac:dyDescent="0.3">
      <c r="A37" s="2" t="s">
        <v>14</v>
      </c>
      <c r="B37" s="2" t="s">
        <v>15</v>
      </c>
      <c r="C37" s="2"/>
      <c r="D37" s="2"/>
      <c r="E37" s="2"/>
      <c r="F37" s="2" t="s">
        <v>96</v>
      </c>
      <c r="G37" s="2" t="s">
        <v>10</v>
      </c>
      <c r="H37" s="2" t="s">
        <v>97</v>
      </c>
      <c r="I37" s="2" t="s">
        <v>98</v>
      </c>
      <c r="J37" s="2" t="s">
        <v>57</v>
      </c>
      <c r="K37" s="2" t="s">
        <v>32</v>
      </c>
      <c r="L37" s="2" t="s">
        <v>33</v>
      </c>
      <c r="M37" s="2" t="s">
        <v>20</v>
      </c>
    </row>
    <row r="38" spans="1:13" x14ac:dyDescent="0.3">
      <c r="A38" s="2" t="s">
        <v>14</v>
      </c>
      <c r="B38" s="2" t="s">
        <v>15</v>
      </c>
      <c r="C38" s="2"/>
      <c r="D38" s="2"/>
      <c r="E38" s="2"/>
      <c r="F38" s="2" t="s">
        <v>99</v>
      </c>
      <c r="G38" s="2" t="s">
        <v>10</v>
      </c>
      <c r="H38" s="2" t="s">
        <v>100</v>
      </c>
      <c r="I38" s="2" t="s">
        <v>100</v>
      </c>
      <c r="J38" s="2" t="s">
        <v>18</v>
      </c>
      <c r="K38" s="2"/>
      <c r="L38" s="2" t="s">
        <v>19</v>
      </c>
      <c r="M38" s="2" t="s">
        <v>20</v>
      </c>
    </row>
    <row r="39" spans="1:13" x14ac:dyDescent="0.3">
      <c r="A39" s="2" t="s">
        <v>14</v>
      </c>
      <c r="B39" s="2" t="s">
        <v>15</v>
      </c>
      <c r="C39" s="2"/>
      <c r="D39" s="2"/>
      <c r="E39" s="2"/>
      <c r="F39" s="2" t="s">
        <v>101</v>
      </c>
      <c r="G39" s="2" t="s">
        <v>102</v>
      </c>
      <c r="H39" s="2" t="s">
        <v>103</v>
      </c>
      <c r="I39" s="2" t="s">
        <v>103</v>
      </c>
      <c r="J39" s="2" t="s">
        <v>57</v>
      </c>
      <c r="K39" s="2" t="s">
        <v>32</v>
      </c>
      <c r="L39" s="2" t="s">
        <v>33</v>
      </c>
      <c r="M39" s="2" t="s">
        <v>20</v>
      </c>
    </row>
    <row r="40" spans="1:13" x14ac:dyDescent="0.3">
      <c r="A40" s="2" t="s">
        <v>14</v>
      </c>
      <c r="B40" s="2" t="s">
        <v>15</v>
      </c>
      <c r="C40" s="2"/>
      <c r="D40" s="2"/>
      <c r="E40" s="2"/>
      <c r="F40" s="2" t="s">
        <v>104</v>
      </c>
      <c r="G40" s="2"/>
      <c r="H40" s="2" t="s">
        <v>105</v>
      </c>
      <c r="I40" s="2" t="s">
        <v>106</v>
      </c>
      <c r="J40" s="2" t="s">
        <v>57</v>
      </c>
      <c r="K40" s="2" t="s">
        <v>32</v>
      </c>
      <c r="L40" s="2" t="s">
        <v>33</v>
      </c>
      <c r="M40" s="2" t="s">
        <v>20</v>
      </c>
    </row>
    <row r="41" spans="1:13" x14ac:dyDescent="0.3">
      <c r="A41" s="2" t="s">
        <v>14</v>
      </c>
      <c r="B41" s="2" t="s">
        <v>15</v>
      </c>
      <c r="C41" s="2"/>
      <c r="D41" s="2"/>
      <c r="E41" s="2"/>
      <c r="F41" s="2" t="s">
        <v>107</v>
      </c>
      <c r="G41" s="2"/>
      <c r="H41" s="2" t="s">
        <v>108</v>
      </c>
      <c r="I41" s="2" t="s">
        <v>109</v>
      </c>
      <c r="J41" s="2" t="s">
        <v>57</v>
      </c>
      <c r="K41" s="2" t="s">
        <v>32</v>
      </c>
      <c r="L41" s="2" t="s">
        <v>33</v>
      </c>
      <c r="M41" s="2" t="s">
        <v>20</v>
      </c>
    </row>
    <row r="42" spans="1:13" x14ac:dyDescent="0.3">
      <c r="A42" s="2" t="s">
        <v>14</v>
      </c>
      <c r="B42" s="2" t="s">
        <v>15</v>
      </c>
      <c r="C42" s="2"/>
      <c r="D42" s="2"/>
      <c r="E42" s="2"/>
      <c r="F42" s="2" t="s">
        <v>110</v>
      </c>
      <c r="G42" s="2"/>
      <c r="H42" s="2" t="s">
        <v>111</v>
      </c>
      <c r="I42" s="2" t="s">
        <v>111</v>
      </c>
      <c r="J42" s="2" t="s">
        <v>18</v>
      </c>
      <c r="K42" s="2" t="s">
        <v>112</v>
      </c>
      <c r="L42" s="2" t="s">
        <v>19</v>
      </c>
      <c r="M42" s="2" t="s">
        <v>20</v>
      </c>
    </row>
    <row r="43" spans="1:13" x14ac:dyDescent="0.3">
      <c r="A43" s="2" t="s">
        <v>14</v>
      </c>
      <c r="B43" s="2" t="s">
        <v>15</v>
      </c>
      <c r="C43" s="2"/>
      <c r="D43" s="2"/>
      <c r="E43" s="2"/>
      <c r="F43" s="2" t="s">
        <v>113</v>
      </c>
      <c r="G43" s="2"/>
      <c r="H43" s="2" t="s">
        <v>114</v>
      </c>
      <c r="I43" s="2" t="s">
        <v>115</v>
      </c>
      <c r="J43" s="2" t="s">
        <v>57</v>
      </c>
      <c r="K43" s="2" t="s">
        <v>32</v>
      </c>
      <c r="L43" s="2" t="s">
        <v>33</v>
      </c>
      <c r="M43" s="2" t="s">
        <v>20</v>
      </c>
    </row>
    <row r="44" spans="1:13" x14ac:dyDescent="0.3">
      <c r="A44" s="2" t="s">
        <v>14</v>
      </c>
      <c r="B44" s="2" t="s">
        <v>15</v>
      </c>
      <c r="C44" s="2"/>
      <c r="D44" s="2"/>
      <c r="E44" s="2"/>
      <c r="F44" s="2" t="s">
        <v>116</v>
      </c>
      <c r="G44" s="2"/>
      <c r="H44" s="2" t="s">
        <v>117</v>
      </c>
      <c r="I44" s="2" t="s">
        <v>117</v>
      </c>
      <c r="J44" s="2" t="s">
        <v>18</v>
      </c>
      <c r="K44" s="2" t="s">
        <v>112</v>
      </c>
      <c r="L44" s="2" t="s">
        <v>19</v>
      </c>
      <c r="M44" s="2" t="s">
        <v>20</v>
      </c>
    </row>
    <row r="45" spans="1:13" x14ac:dyDescent="0.3">
      <c r="A45" s="2" t="s">
        <v>118</v>
      </c>
      <c r="B45" s="2" t="s">
        <v>119</v>
      </c>
      <c r="C45" s="2"/>
      <c r="D45" s="2"/>
      <c r="E45" s="2" t="s">
        <v>120</v>
      </c>
      <c r="F45" s="2" t="s">
        <v>121</v>
      </c>
      <c r="G45" s="2"/>
      <c r="H45" s="2" t="s">
        <v>28</v>
      </c>
      <c r="I45" s="2" t="s">
        <v>18</v>
      </c>
      <c r="J45" s="2"/>
      <c r="K45" s="2"/>
      <c r="L45" s="2" t="s">
        <v>19</v>
      </c>
      <c r="M45" s="2"/>
    </row>
    <row r="46" spans="1:13" x14ac:dyDescent="0.3">
      <c r="A46" s="2" t="s">
        <v>118</v>
      </c>
      <c r="B46" s="2" t="s">
        <v>119</v>
      </c>
      <c r="C46" s="2"/>
      <c r="D46" s="2"/>
      <c r="E46" s="2" t="s">
        <v>120</v>
      </c>
      <c r="F46" s="2" t="s">
        <v>122</v>
      </c>
      <c r="G46" s="2"/>
      <c r="H46" s="2" t="s">
        <v>30</v>
      </c>
      <c r="I46" s="2" t="s">
        <v>18</v>
      </c>
      <c r="J46" s="2"/>
      <c r="K46" s="2"/>
      <c r="L46" s="2" t="s">
        <v>19</v>
      </c>
      <c r="M46" s="2"/>
    </row>
    <row r="47" spans="1:13" x14ac:dyDescent="0.3">
      <c r="A47" s="2" t="s">
        <v>118</v>
      </c>
      <c r="B47" s="2" t="s">
        <v>119</v>
      </c>
      <c r="C47" s="2"/>
      <c r="D47" s="2"/>
      <c r="E47" s="2" t="s">
        <v>120</v>
      </c>
      <c r="F47" s="2" t="s">
        <v>3</v>
      </c>
      <c r="G47" s="2"/>
      <c r="H47" s="2" t="s">
        <v>123</v>
      </c>
      <c r="I47" s="2" t="s">
        <v>123</v>
      </c>
      <c r="J47" s="2" t="s">
        <v>57</v>
      </c>
      <c r="K47" s="2" t="s">
        <v>32</v>
      </c>
      <c r="L47" s="2" t="s">
        <v>33</v>
      </c>
      <c r="M47" s="2"/>
    </row>
    <row r="48" spans="1:13" x14ac:dyDescent="0.3">
      <c r="A48" s="2" t="s">
        <v>118</v>
      </c>
      <c r="B48" s="2" t="s">
        <v>119</v>
      </c>
      <c r="C48" s="2"/>
      <c r="D48" s="2"/>
      <c r="E48" s="2" t="s">
        <v>120</v>
      </c>
      <c r="F48" s="2" t="s">
        <v>16</v>
      </c>
      <c r="G48" s="2"/>
      <c r="H48" s="2" t="s">
        <v>124</v>
      </c>
      <c r="I48" s="2" t="s">
        <v>124</v>
      </c>
      <c r="J48" s="2" t="s">
        <v>18</v>
      </c>
      <c r="K48" s="2"/>
      <c r="L48" s="2" t="s">
        <v>19</v>
      </c>
      <c r="M48" s="2"/>
    </row>
    <row r="49" spans="1:13" x14ac:dyDescent="0.3">
      <c r="A49" s="2" t="s">
        <v>118</v>
      </c>
      <c r="B49" s="2" t="s">
        <v>119</v>
      </c>
      <c r="C49" s="2"/>
      <c r="D49" s="2"/>
      <c r="E49" s="2" t="s">
        <v>120</v>
      </c>
      <c r="F49" s="2" t="s">
        <v>125</v>
      </c>
      <c r="G49" s="2"/>
      <c r="H49" s="2" t="s">
        <v>126</v>
      </c>
      <c r="I49" s="2" t="s">
        <v>126</v>
      </c>
      <c r="J49" s="2" t="s">
        <v>57</v>
      </c>
      <c r="K49" s="2" t="s">
        <v>32</v>
      </c>
      <c r="L49" s="2" t="s">
        <v>33</v>
      </c>
      <c r="M49" s="2"/>
    </row>
    <row r="50" spans="1:13" x14ac:dyDescent="0.3">
      <c r="A50" s="2" t="s">
        <v>118</v>
      </c>
      <c r="B50" s="2" t="s">
        <v>119</v>
      </c>
      <c r="C50" s="2"/>
      <c r="D50" s="2"/>
      <c r="E50" s="2" t="s">
        <v>120</v>
      </c>
      <c r="F50" s="2" t="s">
        <v>127</v>
      </c>
      <c r="G50" s="2"/>
      <c r="H50" s="2" t="s">
        <v>128</v>
      </c>
      <c r="I50" s="2" t="s">
        <v>128</v>
      </c>
      <c r="J50" s="2" t="s">
        <v>18</v>
      </c>
      <c r="K50" s="2"/>
      <c r="L50" s="2" t="s">
        <v>19</v>
      </c>
      <c r="M50" s="2"/>
    </row>
    <row r="51" spans="1:13" x14ac:dyDescent="0.3">
      <c r="A51" s="2" t="s">
        <v>118</v>
      </c>
      <c r="B51" s="2" t="s">
        <v>119</v>
      </c>
      <c r="C51" s="2"/>
      <c r="D51" s="2"/>
      <c r="E51" s="2" t="s">
        <v>120</v>
      </c>
      <c r="F51" s="2" t="s">
        <v>129</v>
      </c>
      <c r="G51" s="2"/>
      <c r="H51" s="2" t="s">
        <v>130</v>
      </c>
      <c r="I51" s="2" t="s">
        <v>130</v>
      </c>
      <c r="J51" s="2" t="s">
        <v>18</v>
      </c>
      <c r="K51" s="2"/>
      <c r="L51" s="2" t="s">
        <v>19</v>
      </c>
      <c r="M51" s="2"/>
    </row>
    <row r="52" spans="1:13" x14ac:dyDescent="0.3">
      <c r="A52" s="2" t="s">
        <v>118</v>
      </c>
      <c r="B52" s="2" t="s">
        <v>119</v>
      </c>
      <c r="C52" s="2"/>
      <c r="D52" s="2"/>
      <c r="E52" s="2" t="s">
        <v>120</v>
      </c>
      <c r="F52" s="2" t="s">
        <v>131</v>
      </c>
      <c r="G52" s="2" t="s">
        <v>10</v>
      </c>
      <c r="H52" s="2" t="s">
        <v>132</v>
      </c>
      <c r="I52" s="2" t="s">
        <v>132</v>
      </c>
      <c r="J52" s="2" t="s">
        <v>133</v>
      </c>
      <c r="K52" s="2"/>
      <c r="L52" s="2" t="s">
        <v>19</v>
      </c>
      <c r="M52" s="2"/>
    </row>
    <row r="53" spans="1:13" x14ac:dyDescent="0.3">
      <c r="A53" s="2" t="s">
        <v>118</v>
      </c>
      <c r="B53" s="2" t="s">
        <v>119</v>
      </c>
      <c r="C53" s="2"/>
      <c r="D53" s="2"/>
      <c r="E53" s="2" t="s">
        <v>120</v>
      </c>
      <c r="F53" s="2" t="s">
        <v>134</v>
      </c>
      <c r="G53" s="2" t="s">
        <v>10</v>
      </c>
      <c r="H53" s="2" t="s">
        <v>135</v>
      </c>
      <c r="I53" s="2" t="s">
        <v>135</v>
      </c>
      <c r="J53" s="2" t="s">
        <v>57</v>
      </c>
      <c r="K53" s="2" t="s">
        <v>32</v>
      </c>
      <c r="L53" s="2" t="s">
        <v>33</v>
      </c>
      <c r="M53" s="2"/>
    </row>
    <row r="54" spans="1:13" x14ac:dyDescent="0.3">
      <c r="A54" s="2" t="s">
        <v>118</v>
      </c>
      <c r="B54" s="2" t="s">
        <v>119</v>
      </c>
      <c r="C54" s="2"/>
      <c r="D54" s="2"/>
      <c r="E54" s="2" t="s">
        <v>120</v>
      </c>
      <c r="F54" s="2" t="s">
        <v>136</v>
      </c>
      <c r="G54" s="2" t="s">
        <v>10</v>
      </c>
      <c r="H54" s="2" t="s">
        <v>124</v>
      </c>
      <c r="I54" s="2" t="s">
        <v>124</v>
      </c>
      <c r="J54" s="2" t="s">
        <v>18</v>
      </c>
      <c r="K54" s="2"/>
      <c r="L54" s="2" t="s">
        <v>19</v>
      </c>
      <c r="M54" s="2"/>
    </row>
    <row r="55" spans="1:13" ht="27.6" x14ac:dyDescent="0.3">
      <c r="A55" s="2" t="s">
        <v>118</v>
      </c>
      <c r="B55" s="2" t="s">
        <v>119</v>
      </c>
      <c r="C55" s="2"/>
      <c r="D55" s="2"/>
      <c r="E55" s="2" t="s">
        <v>120</v>
      </c>
      <c r="F55" s="2" t="s">
        <v>137</v>
      </c>
      <c r="G55" s="2"/>
      <c r="H55" s="2"/>
      <c r="I55" s="2" t="s">
        <v>138</v>
      </c>
      <c r="J55" s="2" t="s">
        <v>57</v>
      </c>
      <c r="K55" s="2" t="s">
        <v>32</v>
      </c>
      <c r="L55" s="2" t="s">
        <v>19</v>
      </c>
      <c r="M55" s="2"/>
    </row>
    <row r="56" spans="1:13" x14ac:dyDescent="0.3">
      <c r="A56" s="2" t="s">
        <v>118</v>
      </c>
      <c r="B56" s="2" t="s">
        <v>119</v>
      </c>
      <c r="C56" s="2"/>
      <c r="D56" s="2"/>
      <c r="E56" s="2" t="s">
        <v>120</v>
      </c>
      <c r="F56" s="2" t="s">
        <v>139</v>
      </c>
      <c r="G56" s="2" t="s">
        <v>10</v>
      </c>
      <c r="H56" s="2" t="s">
        <v>140</v>
      </c>
      <c r="I56" s="2" t="s">
        <v>141</v>
      </c>
      <c r="J56" s="2" t="s">
        <v>57</v>
      </c>
      <c r="K56" s="2" t="s">
        <v>32</v>
      </c>
      <c r="L56" s="2" t="s">
        <v>33</v>
      </c>
      <c r="M56" s="2"/>
    </row>
    <row r="57" spans="1:13" ht="27.6" x14ac:dyDescent="0.3">
      <c r="A57" s="2" t="s">
        <v>118</v>
      </c>
      <c r="B57" s="2" t="s">
        <v>119</v>
      </c>
      <c r="C57" s="2"/>
      <c r="D57" s="2"/>
      <c r="E57" s="2" t="s">
        <v>120</v>
      </c>
      <c r="F57" s="2" t="s">
        <v>142</v>
      </c>
      <c r="G57" s="2"/>
      <c r="H57" s="2" t="s">
        <v>143</v>
      </c>
      <c r="I57" s="2" t="s">
        <v>144</v>
      </c>
      <c r="J57" s="2" t="s">
        <v>57</v>
      </c>
      <c r="K57" s="2" t="s">
        <v>32</v>
      </c>
      <c r="L57" s="2" t="s">
        <v>33</v>
      </c>
      <c r="M57" s="2"/>
    </row>
    <row r="58" spans="1:13" x14ac:dyDescent="0.3">
      <c r="A58" s="2" t="s">
        <v>118</v>
      </c>
      <c r="B58" s="2" t="s">
        <v>119</v>
      </c>
      <c r="C58" s="2"/>
      <c r="D58" s="2"/>
      <c r="E58" s="2" t="s">
        <v>145</v>
      </c>
      <c r="F58" s="2" t="s">
        <v>146</v>
      </c>
      <c r="G58" s="2" t="s">
        <v>10</v>
      </c>
      <c r="H58" s="2">
        <v>178353</v>
      </c>
      <c r="I58" s="2">
        <v>191003</v>
      </c>
      <c r="J58" s="2" t="s">
        <v>18</v>
      </c>
      <c r="K58" s="2" t="s">
        <v>35</v>
      </c>
      <c r="L58" s="2" t="s">
        <v>33</v>
      </c>
      <c r="M58" s="2"/>
    </row>
    <row r="59" spans="1:13" x14ac:dyDescent="0.3">
      <c r="A59" s="2" t="s">
        <v>118</v>
      </c>
      <c r="B59" s="2" t="s">
        <v>119</v>
      </c>
      <c r="C59" s="2"/>
      <c r="D59" s="2"/>
      <c r="E59" s="2" t="s">
        <v>145</v>
      </c>
      <c r="F59" s="2" t="s">
        <v>31</v>
      </c>
      <c r="G59" s="2" t="s">
        <v>10</v>
      </c>
      <c r="H59" s="2">
        <v>178308</v>
      </c>
      <c r="I59" s="2">
        <v>191003</v>
      </c>
      <c r="J59" s="2" t="s">
        <v>18</v>
      </c>
      <c r="K59" s="2" t="s">
        <v>32</v>
      </c>
      <c r="L59" s="2" t="s">
        <v>33</v>
      </c>
      <c r="M59" s="2"/>
    </row>
    <row r="60" spans="1:13" x14ac:dyDescent="0.3">
      <c r="A60" s="2" t="s">
        <v>118</v>
      </c>
      <c r="B60" s="2" t="s">
        <v>119</v>
      </c>
      <c r="C60" s="2"/>
      <c r="D60" s="2"/>
      <c r="E60" s="2" t="s">
        <v>145</v>
      </c>
      <c r="F60" s="2" t="s">
        <v>34</v>
      </c>
      <c r="G60" s="2" t="s">
        <v>10</v>
      </c>
      <c r="H60" s="2">
        <v>178309</v>
      </c>
      <c r="I60" s="2">
        <v>190984</v>
      </c>
      <c r="J60" s="2" t="s">
        <v>18</v>
      </c>
      <c r="K60" s="2" t="s">
        <v>35</v>
      </c>
      <c r="L60" s="2" t="s">
        <v>33</v>
      </c>
      <c r="M60" s="2"/>
    </row>
    <row r="61" spans="1:13" x14ac:dyDescent="0.3">
      <c r="A61" s="2" t="s">
        <v>118</v>
      </c>
      <c r="B61" s="2" t="s">
        <v>119</v>
      </c>
      <c r="C61" s="2"/>
      <c r="D61" s="2"/>
      <c r="E61" s="2" t="s">
        <v>145</v>
      </c>
      <c r="F61" s="2" t="s">
        <v>36</v>
      </c>
      <c r="G61" s="2" t="s">
        <v>10</v>
      </c>
      <c r="H61" s="2">
        <v>178311</v>
      </c>
      <c r="I61" s="2">
        <v>190985</v>
      </c>
      <c r="J61" s="2" t="s">
        <v>18</v>
      </c>
      <c r="K61" s="2" t="s">
        <v>32</v>
      </c>
      <c r="L61" s="2" t="s">
        <v>33</v>
      </c>
      <c r="M61" s="2"/>
    </row>
    <row r="62" spans="1:13" x14ac:dyDescent="0.3">
      <c r="A62" s="2" t="s">
        <v>118</v>
      </c>
      <c r="B62" s="2" t="s">
        <v>119</v>
      </c>
      <c r="C62" s="2"/>
      <c r="D62" s="2"/>
      <c r="E62" s="2" t="s">
        <v>145</v>
      </c>
      <c r="F62" s="2" t="s">
        <v>147</v>
      </c>
      <c r="G62" s="2" t="s">
        <v>10</v>
      </c>
      <c r="H62" s="2">
        <v>178521</v>
      </c>
      <c r="I62" s="2">
        <v>191004</v>
      </c>
      <c r="J62" s="2" t="s">
        <v>18</v>
      </c>
      <c r="K62" s="2" t="s">
        <v>32</v>
      </c>
      <c r="L62" s="2" t="s">
        <v>33</v>
      </c>
      <c r="M62" s="2"/>
    </row>
    <row r="63" spans="1:13" x14ac:dyDescent="0.3">
      <c r="A63" s="2" t="s">
        <v>118</v>
      </c>
      <c r="B63" s="2" t="s">
        <v>119</v>
      </c>
      <c r="C63" s="2"/>
      <c r="D63" s="2"/>
      <c r="E63" s="2" t="s">
        <v>145</v>
      </c>
      <c r="F63" s="2" t="s">
        <v>148</v>
      </c>
      <c r="G63" s="2" t="s">
        <v>10</v>
      </c>
      <c r="H63" s="2">
        <v>179115</v>
      </c>
      <c r="I63" s="2">
        <v>191005</v>
      </c>
      <c r="J63" s="2" t="s">
        <v>18</v>
      </c>
      <c r="K63" s="2" t="s">
        <v>35</v>
      </c>
      <c r="L63" s="2" t="s">
        <v>33</v>
      </c>
      <c r="M63" s="2"/>
    </row>
    <row r="64" spans="1:13" x14ac:dyDescent="0.3">
      <c r="A64" s="2" t="s">
        <v>118</v>
      </c>
      <c r="B64" s="2" t="s">
        <v>119</v>
      </c>
      <c r="C64" s="2"/>
      <c r="D64" s="2"/>
      <c r="E64" s="2" t="s">
        <v>145</v>
      </c>
      <c r="F64" s="2" t="s">
        <v>37</v>
      </c>
      <c r="G64" s="2" t="s">
        <v>10</v>
      </c>
      <c r="H64" s="2">
        <v>178312</v>
      </c>
      <c r="I64" s="2">
        <v>190986</v>
      </c>
      <c r="J64" s="2" t="s">
        <v>18</v>
      </c>
      <c r="K64" s="2" t="s">
        <v>35</v>
      </c>
      <c r="L64" s="2" t="s">
        <v>33</v>
      </c>
      <c r="M64" s="2"/>
    </row>
    <row r="65" spans="1:13" x14ac:dyDescent="0.3">
      <c r="A65" s="2" t="s">
        <v>118</v>
      </c>
      <c r="B65" s="2" t="s">
        <v>119</v>
      </c>
      <c r="C65" s="2"/>
      <c r="D65" s="2"/>
      <c r="E65" s="2" t="s">
        <v>145</v>
      </c>
      <c r="F65" s="2" t="s">
        <v>38</v>
      </c>
      <c r="G65" s="2" t="s">
        <v>10</v>
      </c>
      <c r="H65" s="2">
        <v>178340</v>
      </c>
      <c r="I65" s="2">
        <v>190987</v>
      </c>
      <c r="J65" s="2" t="s">
        <v>18</v>
      </c>
      <c r="K65" s="2" t="s">
        <v>35</v>
      </c>
      <c r="L65" s="2" t="s">
        <v>33</v>
      </c>
      <c r="M65" s="2"/>
    </row>
    <row r="66" spans="1:13" x14ac:dyDescent="0.3">
      <c r="A66" s="2" t="s">
        <v>118</v>
      </c>
      <c r="B66" s="2" t="s">
        <v>119</v>
      </c>
      <c r="C66" s="2"/>
      <c r="D66" s="2"/>
      <c r="E66" s="2" t="s">
        <v>145</v>
      </c>
      <c r="F66" s="2" t="s">
        <v>39</v>
      </c>
      <c r="G66" s="2" t="s">
        <v>10</v>
      </c>
      <c r="H66" s="2">
        <v>178310</v>
      </c>
      <c r="I66" s="2">
        <v>190988</v>
      </c>
      <c r="J66" s="2" t="s">
        <v>18</v>
      </c>
      <c r="K66" s="2" t="s">
        <v>32</v>
      </c>
      <c r="L66" s="2" t="s">
        <v>33</v>
      </c>
      <c r="M66" s="2"/>
    </row>
    <row r="67" spans="1:13" x14ac:dyDescent="0.3">
      <c r="A67" s="2" t="s">
        <v>118</v>
      </c>
      <c r="B67" s="2" t="s">
        <v>119</v>
      </c>
      <c r="C67" s="2"/>
      <c r="D67" s="2"/>
      <c r="E67" s="2" t="s">
        <v>145</v>
      </c>
      <c r="F67" s="2" t="s">
        <v>40</v>
      </c>
      <c r="G67" s="2"/>
      <c r="H67" s="2">
        <v>3399</v>
      </c>
      <c r="I67" s="2">
        <v>3399</v>
      </c>
      <c r="J67" s="2" t="s">
        <v>18</v>
      </c>
      <c r="K67" s="2" t="s">
        <v>32</v>
      </c>
      <c r="L67" s="2" t="s">
        <v>33</v>
      </c>
      <c r="M67" s="2"/>
    </row>
    <row r="68" spans="1:13" x14ac:dyDescent="0.3">
      <c r="A68" s="2" t="s">
        <v>118</v>
      </c>
      <c r="B68" s="2" t="s">
        <v>119</v>
      </c>
      <c r="C68" s="2"/>
      <c r="D68" s="2"/>
      <c r="E68" s="2" t="s">
        <v>145</v>
      </c>
      <c r="F68" s="2" t="s">
        <v>41</v>
      </c>
      <c r="G68" s="2" t="s">
        <v>10</v>
      </c>
      <c r="H68" s="2">
        <v>178339</v>
      </c>
      <c r="I68" s="2">
        <v>190989</v>
      </c>
      <c r="J68" s="2" t="s">
        <v>18</v>
      </c>
      <c r="K68" s="2" t="s">
        <v>35</v>
      </c>
      <c r="L68" s="2" t="s">
        <v>33</v>
      </c>
      <c r="M68" s="2"/>
    </row>
    <row r="69" spans="1:13" x14ac:dyDescent="0.3">
      <c r="A69" s="2" t="s">
        <v>118</v>
      </c>
      <c r="B69" s="2" t="s">
        <v>119</v>
      </c>
      <c r="C69" s="2"/>
      <c r="D69" s="2"/>
      <c r="E69" s="2" t="s">
        <v>145</v>
      </c>
      <c r="F69" s="2" t="s">
        <v>149</v>
      </c>
      <c r="G69" s="2" t="s">
        <v>10</v>
      </c>
      <c r="H69" s="2" t="s">
        <v>150</v>
      </c>
      <c r="I69" s="2" t="s">
        <v>150</v>
      </c>
      <c r="J69" s="2" t="s">
        <v>133</v>
      </c>
      <c r="K69" s="2"/>
      <c r="L69" s="2" t="s">
        <v>19</v>
      </c>
      <c r="M69" s="2"/>
    </row>
    <row r="70" spans="1:13" x14ac:dyDescent="0.3">
      <c r="A70" s="2" t="s">
        <v>118</v>
      </c>
      <c r="B70" s="2" t="s">
        <v>119</v>
      </c>
      <c r="C70" s="2"/>
      <c r="D70" s="2"/>
      <c r="E70" s="2" t="s">
        <v>145</v>
      </c>
      <c r="F70" s="2" t="s">
        <v>151</v>
      </c>
      <c r="G70" s="2" t="s">
        <v>27</v>
      </c>
      <c r="H70" s="2" t="s">
        <v>152</v>
      </c>
      <c r="I70" s="2" t="s">
        <v>153</v>
      </c>
      <c r="J70" s="2" t="s">
        <v>57</v>
      </c>
      <c r="K70" s="2" t="s">
        <v>32</v>
      </c>
      <c r="L70" s="2" t="s">
        <v>33</v>
      </c>
      <c r="M70" s="2"/>
    </row>
    <row r="71" spans="1:13" x14ac:dyDescent="0.3">
      <c r="A71" s="2" t="s">
        <v>118</v>
      </c>
      <c r="B71" s="2" t="s">
        <v>119</v>
      </c>
      <c r="C71" s="2"/>
      <c r="D71" s="2"/>
      <c r="E71" s="2" t="s">
        <v>145</v>
      </c>
      <c r="F71" s="2" t="s">
        <v>154</v>
      </c>
      <c r="G71" s="2" t="s">
        <v>10</v>
      </c>
      <c r="H71" s="2" t="s">
        <v>155</v>
      </c>
      <c r="I71" s="2" t="s">
        <v>155</v>
      </c>
      <c r="J71" s="2" t="s">
        <v>18</v>
      </c>
      <c r="K71" s="2"/>
      <c r="L71" s="2" t="s">
        <v>19</v>
      </c>
      <c r="M71" s="2"/>
    </row>
    <row r="72" spans="1:13" x14ac:dyDescent="0.3">
      <c r="A72" s="2" t="s">
        <v>118</v>
      </c>
      <c r="B72" s="2" t="s">
        <v>119</v>
      </c>
      <c r="C72" s="2"/>
      <c r="D72" s="2"/>
      <c r="E72" s="2" t="s">
        <v>145</v>
      </c>
      <c r="F72" s="2" t="s">
        <v>156</v>
      </c>
      <c r="G72" s="2"/>
      <c r="H72" s="2" t="s">
        <v>157</v>
      </c>
      <c r="I72" s="2" t="s">
        <v>157</v>
      </c>
      <c r="J72" s="2" t="s">
        <v>57</v>
      </c>
      <c r="K72" s="2" t="s">
        <v>32</v>
      </c>
      <c r="L72" s="2" t="s">
        <v>33</v>
      </c>
      <c r="M72" s="2"/>
    </row>
    <row r="73" spans="1:13" x14ac:dyDescent="0.3">
      <c r="A73" s="2" t="s">
        <v>118</v>
      </c>
      <c r="B73" s="2" t="s">
        <v>119</v>
      </c>
      <c r="C73" s="2"/>
      <c r="D73" s="2"/>
      <c r="E73" s="2" t="s">
        <v>145</v>
      </c>
      <c r="F73" s="2" t="s">
        <v>158</v>
      </c>
      <c r="G73" s="2"/>
      <c r="H73" s="2" t="s">
        <v>159</v>
      </c>
      <c r="I73" s="2" t="s">
        <v>159</v>
      </c>
      <c r="J73" s="2" t="s">
        <v>57</v>
      </c>
      <c r="K73" s="2" t="s">
        <v>32</v>
      </c>
      <c r="L73" s="2" t="s">
        <v>33</v>
      </c>
      <c r="M73" s="2"/>
    </row>
    <row r="74" spans="1:13" x14ac:dyDescent="0.3">
      <c r="A74" s="2" t="s">
        <v>118</v>
      </c>
      <c r="B74" s="2" t="s">
        <v>119</v>
      </c>
      <c r="C74" s="2"/>
      <c r="D74" s="2"/>
      <c r="E74" s="2" t="s">
        <v>145</v>
      </c>
      <c r="F74" s="2" t="s">
        <v>160</v>
      </c>
      <c r="G74" s="2" t="s">
        <v>10</v>
      </c>
      <c r="H74" s="2" t="s">
        <v>161</v>
      </c>
      <c r="I74" s="2" t="s">
        <v>161</v>
      </c>
      <c r="J74" s="2" t="s">
        <v>18</v>
      </c>
      <c r="K74" s="2"/>
      <c r="L74" s="2" t="s">
        <v>19</v>
      </c>
      <c r="M74" s="2"/>
    </row>
    <row r="75" spans="1:13" x14ac:dyDescent="0.3">
      <c r="A75" s="2" t="s">
        <v>118</v>
      </c>
      <c r="B75" s="2" t="s">
        <v>119</v>
      </c>
      <c r="C75" s="2"/>
      <c r="D75" s="2"/>
      <c r="E75" s="2" t="s">
        <v>145</v>
      </c>
      <c r="F75" s="2" t="s">
        <v>162</v>
      </c>
      <c r="G75" s="2" t="s">
        <v>10</v>
      </c>
      <c r="H75" s="2" t="s">
        <v>163</v>
      </c>
      <c r="I75" s="2" t="s">
        <v>163</v>
      </c>
      <c r="J75" s="2" t="s">
        <v>18</v>
      </c>
      <c r="K75" s="2"/>
      <c r="L75" s="2" t="s">
        <v>19</v>
      </c>
      <c r="M75" s="2"/>
    </row>
    <row r="76" spans="1:13" x14ac:dyDescent="0.3">
      <c r="A76" s="2" t="s">
        <v>118</v>
      </c>
      <c r="B76" s="2" t="s">
        <v>119</v>
      </c>
      <c r="C76" s="2"/>
      <c r="D76" s="2"/>
      <c r="E76" s="2" t="s">
        <v>145</v>
      </c>
      <c r="F76" s="2" t="s">
        <v>43</v>
      </c>
      <c r="G76" s="2" t="s">
        <v>10</v>
      </c>
      <c r="H76" s="2" t="s">
        <v>164</v>
      </c>
      <c r="I76" s="2" t="s">
        <v>164</v>
      </c>
      <c r="J76" s="2" t="s">
        <v>18</v>
      </c>
      <c r="K76" s="2"/>
      <c r="L76" s="2" t="s">
        <v>19</v>
      </c>
      <c r="M76" s="2"/>
    </row>
    <row r="77" spans="1:13" x14ac:dyDescent="0.3">
      <c r="A77" s="2" t="s">
        <v>118</v>
      </c>
      <c r="B77" s="2" t="s">
        <v>119</v>
      </c>
      <c r="C77" s="2"/>
      <c r="D77" s="2"/>
      <c r="E77" s="2" t="s">
        <v>145</v>
      </c>
      <c r="F77" s="2" t="s">
        <v>165</v>
      </c>
      <c r="G77" s="2" t="s">
        <v>10</v>
      </c>
      <c r="H77" s="2" t="s">
        <v>166</v>
      </c>
      <c r="I77" s="2" t="s">
        <v>166</v>
      </c>
      <c r="J77" s="2" t="s">
        <v>57</v>
      </c>
      <c r="K77" s="2" t="s">
        <v>32</v>
      </c>
      <c r="L77" s="2" t="s">
        <v>33</v>
      </c>
      <c r="M77" s="2"/>
    </row>
    <row r="78" spans="1:13" x14ac:dyDescent="0.3">
      <c r="A78" s="2" t="s">
        <v>118</v>
      </c>
      <c r="B78" s="2" t="s">
        <v>119</v>
      </c>
      <c r="C78" s="2"/>
      <c r="D78" s="2"/>
      <c r="E78" s="2" t="s">
        <v>145</v>
      </c>
      <c r="F78" s="2" t="s">
        <v>167</v>
      </c>
      <c r="G78" s="2" t="s">
        <v>10</v>
      </c>
      <c r="H78" s="2" t="s">
        <v>168</v>
      </c>
      <c r="I78" s="2" t="s">
        <v>168</v>
      </c>
      <c r="J78" s="2" t="s">
        <v>18</v>
      </c>
      <c r="K78" s="2"/>
      <c r="L78" s="2" t="s">
        <v>19</v>
      </c>
      <c r="M78" s="2"/>
    </row>
    <row r="79" spans="1:13" x14ac:dyDescent="0.3">
      <c r="A79" s="2" t="s">
        <v>118</v>
      </c>
      <c r="B79" s="2" t="s">
        <v>119</v>
      </c>
      <c r="C79" s="2"/>
      <c r="D79" s="2"/>
      <c r="E79" s="2" t="s">
        <v>145</v>
      </c>
      <c r="F79" s="2" t="s">
        <v>169</v>
      </c>
      <c r="G79" s="2" t="s">
        <v>10</v>
      </c>
      <c r="H79" s="2" t="s">
        <v>170</v>
      </c>
      <c r="I79" s="2" t="s">
        <v>170</v>
      </c>
      <c r="J79" s="2" t="s">
        <v>57</v>
      </c>
      <c r="K79" s="2" t="s">
        <v>35</v>
      </c>
      <c r="L79" s="2" t="s">
        <v>33</v>
      </c>
      <c r="M79" s="2"/>
    </row>
    <row r="80" spans="1:13" x14ac:dyDescent="0.3">
      <c r="A80" s="2" t="s">
        <v>118</v>
      </c>
      <c r="B80" s="2" t="s">
        <v>119</v>
      </c>
      <c r="C80" s="2"/>
      <c r="D80" s="2"/>
      <c r="E80" s="2" t="s">
        <v>145</v>
      </c>
      <c r="F80" s="2" t="s">
        <v>171</v>
      </c>
      <c r="G80" s="2" t="s">
        <v>10</v>
      </c>
      <c r="H80" s="2" t="s">
        <v>172</v>
      </c>
      <c r="I80" s="2" t="s">
        <v>172</v>
      </c>
      <c r="J80" s="2" t="s">
        <v>57</v>
      </c>
      <c r="K80" s="2" t="s">
        <v>32</v>
      </c>
      <c r="L80" s="2" t="s">
        <v>33</v>
      </c>
      <c r="M80" s="2"/>
    </row>
    <row r="81" spans="1:13" x14ac:dyDescent="0.3">
      <c r="A81" s="2" t="s">
        <v>118</v>
      </c>
      <c r="B81" s="2" t="s">
        <v>119</v>
      </c>
      <c r="C81" s="2"/>
      <c r="D81" s="2"/>
      <c r="E81" s="2" t="s">
        <v>145</v>
      </c>
      <c r="F81" s="2" t="s">
        <v>173</v>
      </c>
      <c r="G81" s="2" t="s">
        <v>10</v>
      </c>
      <c r="H81" s="2" t="s">
        <v>174</v>
      </c>
      <c r="I81" s="2" t="s">
        <v>174</v>
      </c>
      <c r="J81" s="2" t="s">
        <v>57</v>
      </c>
      <c r="K81" s="2" t="s">
        <v>32</v>
      </c>
      <c r="L81" s="2" t="s">
        <v>33</v>
      </c>
      <c r="M81" s="2"/>
    </row>
    <row r="82" spans="1:13" x14ac:dyDescent="0.3">
      <c r="A82" s="2" t="s">
        <v>118</v>
      </c>
      <c r="B82" s="2" t="s">
        <v>119</v>
      </c>
      <c r="C82" s="2"/>
      <c r="D82" s="2"/>
      <c r="E82" s="2" t="s">
        <v>145</v>
      </c>
      <c r="F82" s="2" t="s">
        <v>175</v>
      </c>
      <c r="G82" s="2"/>
      <c r="H82" s="2" t="s">
        <v>176</v>
      </c>
      <c r="I82" s="2" t="s">
        <v>176</v>
      </c>
      <c r="J82" s="2" t="s">
        <v>57</v>
      </c>
      <c r="K82" s="2" t="s">
        <v>32</v>
      </c>
      <c r="L82" s="2" t="s">
        <v>33</v>
      </c>
      <c r="M82" s="2"/>
    </row>
    <row r="83" spans="1:13" x14ac:dyDescent="0.3">
      <c r="A83" s="2" t="s">
        <v>118</v>
      </c>
      <c r="B83" s="2" t="s">
        <v>119</v>
      </c>
      <c r="C83" s="2"/>
      <c r="D83" s="2"/>
      <c r="E83" s="2" t="s">
        <v>145</v>
      </c>
      <c r="F83" s="2" t="s">
        <v>177</v>
      </c>
      <c r="G83" s="2"/>
      <c r="H83" s="2" t="s">
        <v>178</v>
      </c>
      <c r="I83" s="2" t="s">
        <v>178</v>
      </c>
      <c r="J83" s="2" t="s">
        <v>57</v>
      </c>
      <c r="K83" s="2" t="s">
        <v>32</v>
      </c>
      <c r="L83" s="2" t="s">
        <v>33</v>
      </c>
      <c r="M83" s="2"/>
    </row>
    <row r="84" spans="1:13" x14ac:dyDescent="0.3">
      <c r="A84" s="2" t="s">
        <v>118</v>
      </c>
      <c r="B84" s="2" t="s">
        <v>119</v>
      </c>
      <c r="C84" s="2"/>
      <c r="D84" s="2"/>
      <c r="E84" s="2" t="s">
        <v>145</v>
      </c>
      <c r="F84" s="2" t="s">
        <v>179</v>
      </c>
      <c r="G84" s="2"/>
      <c r="H84" s="2" t="s">
        <v>180</v>
      </c>
      <c r="I84" s="2" t="s">
        <v>180</v>
      </c>
      <c r="J84" s="2" t="s">
        <v>57</v>
      </c>
      <c r="K84" s="2" t="s">
        <v>32</v>
      </c>
      <c r="L84" s="2" t="s">
        <v>33</v>
      </c>
      <c r="M84" s="2"/>
    </row>
    <row r="85" spans="1:13" x14ac:dyDescent="0.3">
      <c r="A85" s="2" t="s">
        <v>118</v>
      </c>
      <c r="B85" s="2" t="s">
        <v>119</v>
      </c>
      <c r="C85" s="2"/>
      <c r="D85" s="2"/>
      <c r="E85" s="2" t="s">
        <v>145</v>
      </c>
      <c r="F85" s="2" t="s">
        <v>181</v>
      </c>
      <c r="G85" s="2" t="s">
        <v>27</v>
      </c>
      <c r="H85" s="2" t="s">
        <v>182</v>
      </c>
      <c r="I85" s="2" t="s">
        <v>182</v>
      </c>
      <c r="J85" s="2" t="s">
        <v>18</v>
      </c>
      <c r="K85" s="2"/>
      <c r="L85" s="2" t="s">
        <v>19</v>
      </c>
      <c r="M85" s="2"/>
    </row>
    <row r="86" spans="1:13" x14ac:dyDescent="0.3">
      <c r="A86" s="2" t="s">
        <v>118</v>
      </c>
      <c r="B86" s="2" t="s">
        <v>119</v>
      </c>
      <c r="C86" s="2"/>
      <c r="D86" s="2"/>
      <c r="E86" s="2" t="s">
        <v>145</v>
      </c>
      <c r="F86" s="2" t="s">
        <v>183</v>
      </c>
      <c r="G86" s="2" t="s">
        <v>10</v>
      </c>
      <c r="H86" s="2" t="s">
        <v>184</v>
      </c>
      <c r="I86" s="2" t="s">
        <v>184</v>
      </c>
      <c r="J86" s="2" t="s">
        <v>18</v>
      </c>
      <c r="K86" s="2"/>
      <c r="L86" s="2" t="s">
        <v>19</v>
      </c>
      <c r="M86" s="2"/>
    </row>
    <row r="87" spans="1:13" x14ac:dyDescent="0.3">
      <c r="A87" s="2" t="s">
        <v>118</v>
      </c>
      <c r="B87" s="2" t="s">
        <v>119</v>
      </c>
      <c r="C87" s="2"/>
      <c r="D87" s="2"/>
      <c r="E87" s="2" t="s">
        <v>145</v>
      </c>
      <c r="F87" s="2" t="s">
        <v>185</v>
      </c>
      <c r="G87" s="2" t="s">
        <v>102</v>
      </c>
      <c r="H87" s="2" t="s">
        <v>186</v>
      </c>
      <c r="I87" s="2" t="s">
        <v>186</v>
      </c>
      <c r="J87" s="2" t="s">
        <v>133</v>
      </c>
      <c r="K87" s="2"/>
      <c r="L87" s="2" t="s">
        <v>19</v>
      </c>
      <c r="M87" s="2"/>
    </row>
    <row r="88" spans="1:13" x14ac:dyDescent="0.3">
      <c r="A88" s="2" t="s">
        <v>118</v>
      </c>
      <c r="B88" s="2" t="s">
        <v>119</v>
      </c>
      <c r="C88" s="2"/>
      <c r="D88" s="2"/>
      <c r="E88" s="2" t="s">
        <v>145</v>
      </c>
      <c r="F88" s="2" t="s">
        <v>187</v>
      </c>
      <c r="G88" s="2" t="s">
        <v>102</v>
      </c>
      <c r="H88" s="2" t="s">
        <v>188</v>
      </c>
      <c r="I88" s="2" t="s">
        <v>188</v>
      </c>
      <c r="J88" s="2" t="s">
        <v>133</v>
      </c>
      <c r="K88" s="2"/>
      <c r="L88" s="2" t="s">
        <v>19</v>
      </c>
      <c r="M88" s="2"/>
    </row>
    <row r="89" spans="1:13" x14ac:dyDescent="0.3">
      <c r="A89" s="2" t="s">
        <v>118</v>
      </c>
      <c r="B89" s="2" t="s">
        <v>119</v>
      </c>
      <c r="C89" s="2"/>
      <c r="D89" s="2"/>
      <c r="E89" s="2" t="s">
        <v>145</v>
      </c>
      <c r="F89" s="2" t="s">
        <v>53</v>
      </c>
      <c r="G89" s="2" t="s">
        <v>10</v>
      </c>
      <c r="H89" s="2" t="s">
        <v>189</v>
      </c>
      <c r="I89" s="2" t="s">
        <v>189</v>
      </c>
      <c r="J89" s="2" t="s">
        <v>18</v>
      </c>
      <c r="K89" s="2" t="s">
        <v>190</v>
      </c>
      <c r="L89" s="2" t="s">
        <v>19</v>
      </c>
      <c r="M89" s="2"/>
    </row>
    <row r="90" spans="1:13" x14ac:dyDescent="0.3">
      <c r="A90" s="2" t="s">
        <v>118</v>
      </c>
      <c r="B90" s="2" t="s">
        <v>119</v>
      </c>
      <c r="C90" s="2"/>
      <c r="D90" s="2"/>
      <c r="E90" s="2" t="s">
        <v>145</v>
      </c>
      <c r="F90" s="2" t="s">
        <v>191</v>
      </c>
      <c r="G90" s="2" t="s">
        <v>10</v>
      </c>
      <c r="H90" s="2" t="s">
        <v>192</v>
      </c>
      <c r="I90" s="2" t="s">
        <v>192</v>
      </c>
      <c r="J90" s="2" t="s">
        <v>57</v>
      </c>
      <c r="K90" s="2" t="s">
        <v>32</v>
      </c>
      <c r="L90" s="2" t="s">
        <v>33</v>
      </c>
      <c r="M90" s="2"/>
    </row>
    <row r="91" spans="1:13" ht="27.6" x14ac:dyDescent="0.3">
      <c r="A91" s="2" t="s">
        <v>118</v>
      </c>
      <c r="B91" s="2" t="s">
        <v>119</v>
      </c>
      <c r="C91" s="2"/>
      <c r="D91" s="2"/>
      <c r="E91" s="2" t="s">
        <v>145</v>
      </c>
      <c r="F91" s="2" t="s">
        <v>193</v>
      </c>
      <c r="G91" s="2" t="s">
        <v>10</v>
      </c>
      <c r="H91" s="2" t="s">
        <v>194</v>
      </c>
      <c r="I91" s="2" t="s">
        <v>194</v>
      </c>
      <c r="J91" s="2" t="s">
        <v>18</v>
      </c>
      <c r="K91" s="2"/>
      <c r="L91" s="2" t="s">
        <v>19</v>
      </c>
      <c r="M91" s="2"/>
    </row>
    <row r="92" spans="1:13" x14ac:dyDescent="0.3">
      <c r="A92" s="2" t="s">
        <v>118</v>
      </c>
      <c r="B92" s="2" t="s">
        <v>119</v>
      </c>
      <c r="C92" s="2"/>
      <c r="D92" s="2"/>
      <c r="E92" s="2" t="s">
        <v>145</v>
      </c>
      <c r="F92" s="2" t="s">
        <v>195</v>
      </c>
      <c r="G92" s="2" t="s">
        <v>10</v>
      </c>
      <c r="H92" s="2" t="s">
        <v>196</v>
      </c>
      <c r="I92" s="2" t="s">
        <v>196</v>
      </c>
      <c r="J92" s="2" t="s">
        <v>18</v>
      </c>
      <c r="K92" s="2" t="s">
        <v>190</v>
      </c>
      <c r="L92" s="2" t="s">
        <v>19</v>
      </c>
      <c r="M92" s="2"/>
    </row>
    <row r="93" spans="1:13" x14ac:dyDescent="0.3">
      <c r="A93" s="2" t="s">
        <v>118</v>
      </c>
      <c r="B93" s="2" t="s">
        <v>119</v>
      </c>
      <c r="C93" s="2"/>
      <c r="D93" s="2"/>
      <c r="E93" s="2" t="s">
        <v>145</v>
      </c>
      <c r="F93" s="2" t="s">
        <v>197</v>
      </c>
      <c r="G93" s="2" t="s">
        <v>10</v>
      </c>
      <c r="H93" s="2" t="s">
        <v>198</v>
      </c>
      <c r="I93" s="2" t="s">
        <v>198</v>
      </c>
      <c r="J93" s="2" t="s">
        <v>18</v>
      </c>
      <c r="K93" s="2" t="s">
        <v>190</v>
      </c>
      <c r="L93" s="2" t="s">
        <v>19</v>
      </c>
      <c r="M93" s="2"/>
    </row>
    <row r="94" spans="1:13" x14ac:dyDescent="0.3">
      <c r="A94" s="2" t="s">
        <v>118</v>
      </c>
      <c r="B94" s="2" t="s">
        <v>119</v>
      </c>
      <c r="C94" s="2"/>
      <c r="D94" s="2"/>
      <c r="E94" s="2" t="s">
        <v>145</v>
      </c>
      <c r="F94" s="2" t="s">
        <v>199</v>
      </c>
      <c r="G94" s="2" t="s">
        <v>10</v>
      </c>
      <c r="H94" s="2" t="s">
        <v>200</v>
      </c>
      <c r="I94" s="2" t="s">
        <v>200</v>
      </c>
      <c r="J94" s="2" t="s">
        <v>18</v>
      </c>
      <c r="K94" s="2" t="s">
        <v>190</v>
      </c>
      <c r="L94" s="2" t="s">
        <v>19</v>
      </c>
      <c r="M94" s="2"/>
    </row>
    <row r="95" spans="1:13" x14ac:dyDescent="0.3">
      <c r="A95" s="2" t="s">
        <v>118</v>
      </c>
      <c r="B95" s="2" t="s">
        <v>119</v>
      </c>
      <c r="C95" s="2"/>
      <c r="D95" s="2"/>
      <c r="E95" s="2" t="s">
        <v>145</v>
      </c>
      <c r="F95" s="2" t="s">
        <v>201</v>
      </c>
      <c r="G95" s="2" t="s">
        <v>10</v>
      </c>
      <c r="H95" s="2" t="s">
        <v>202</v>
      </c>
      <c r="I95" s="2" t="s">
        <v>202</v>
      </c>
      <c r="J95" s="2" t="s">
        <v>18</v>
      </c>
      <c r="K95" s="2" t="s">
        <v>190</v>
      </c>
      <c r="L95" s="2" t="s">
        <v>19</v>
      </c>
      <c r="M95" s="2"/>
    </row>
    <row r="96" spans="1:13" x14ac:dyDescent="0.3">
      <c r="A96" s="2" t="s">
        <v>118</v>
      </c>
      <c r="B96" s="2" t="s">
        <v>119</v>
      </c>
      <c r="C96" s="2"/>
      <c r="D96" s="2"/>
      <c r="E96" s="2" t="s">
        <v>145</v>
      </c>
      <c r="F96" s="2" t="s">
        <v>203</v>
      </c>
      <c r="G96" s="2" t="s">
        <v>10</v>
      </c>
      <c r="H96" s="2" t="s">
        <v>48</v>
      </c>
      <c r="I96" s="2" t="s">
        <v>204</v>
      </c>
      <c r="J96" s="2" t="s">
        <v>18</v>
      </c>
      <c r="K96" s="2" t="s">
        <v>190</v>
      </c>
      <c r="L96" s="2" t="s">
        <v>19</v>
      </c>
      <c r="M96" s="2"/>
    </row>
    <row r="97" spans="1:13" x14ac:dyDescent="0.3">
      <c r="A97" s="2" t="s">
        <v>118</v>
      </c>
      <c r="B97" s="2" t="s">
        <v>119</v>
      </c>
      <c r="C97" s="2"/>
      <c r="D97" s="2"/>
      <c r="E97" s="2" t="s">
        <v>145</v>
      </c>
      <c r="F97" s="2" t="s">
        <v>205</v>
      </c>
      <c r="G97" s="2" t="s">
        <v>10</v>
      </c>
      <c r="H97" s="2" t="s">
        <v>206</v>
      </c>
      <c r="I97" s="2" t="s">
        <v>206</v>
      </c>
      <c r="J97" s="2" t="s">
        <v>18</v>
      </c>
      <c r="K97" s="2" t="s">
        <v>190</v>
      </c>
      <c r="L97" s="2" t="s">
        <v>19</v>
      </c>
      <c r="M97" s="2"/>
    </row>
    <row r="98" spans="1:13" x14ac:dyDescent="0.3">
      <c r="A98" s="2" t="s">
        <v>118</v>
      </c>
      <c r="B98" s="2" t="s">
        <v>119</v>
      </c>
      <c r="C98" s="2"/>
      <c r="D98" s="2"/>
      <c r="E98" s="2" t="s">
        <v>145</v>
      </c>
      <c r="F98" s="2" t="s">
        <v>207</v>
      </c>
      <c r="G98" s="2" t="s">
        <v>10</v>
      </c>
      <c r="H98" s="2" t="s">
        <v>208</v>
      </c>
      <c r="I98" s="2" t="s">
        <v>209</v>
      </c>
      <c r="J98" s="2" t="s">
        <v>18</v>
      </c>
      <c r="K98" s="2" t="s">
        <v>190</v>
      </c>
      <c r="L98" s="2" t="s">
        <v>19</v>
      </c>
      <c r="M98" s="2"/>
    </row>
    <row r="99" spans="1:13" x14ac:dyDescent="0.3">
      <c r="A99" s="2" t="s">
        <v>118</v>
      </c>
      <c r="B99" s="2" t="s">
        <v>119</v>
      </c>
      <c r="C99" s="2"/>
      <c r="D99" s="2"/>
      <c r="E99" s="2" t="s">
        <v>145</v>
      </c>
      <c r="F99" s="2" t="s">
        <v>74</v>
      </c>
      <c r="G99" s="2" t="s">
        <v>10</v>
      </c>
      <c r="H99" s="2" t="s">
        <v>75</v>
      </c>
      <c r="I99" s="2" t="s">
        <v>75</v>
      </c>
      <c r="J99" s="2" t="s">
        <v>57</v>
      </c>
      <c r="K99" s="2" t="s">
        <v>35</v>
      </c>
      <c r="L99" s="2" t="s">
        <v>33</v>
      </c>
      <c r="M99" s="2"/>
    </row>
    <row r="100" spans="1:13" x14ac:dyDescent="0.3">
      <c r="A100" s="2" t="s">
        <v>118</v>
      </c>
      <c r="B100" s="2" t="s">
        <v>119</v>
      </c>
      <c r="C100" s="2"/>
      <c r="D100" s="2"/>
      <c r="E100" s="2" t="s">
        <v>145</v>
      </c>
      <c r="F100" s="2" t="s">
        <v>55</v>
      </c>
      <c r="G100" s="2" t="s">
        <v>10</v>
      </c>
      <c r="H100" s="2" t="s">
        <v>56</v>
      </c>
      <c r="I100" s="2" t="s">
        <v>56</v>
      </c>
      <c r="J100" s="2" t="s">
        <v>57</v>
      </c>
      <c r="K100" s="2" t="s">
        <v>32</v>
      </c>
      <c r="L100" s="2" t="s">
        <v>33</v>
      </c>
      <c r="M100" s="2"/>
    </row>
    <row r="101" spans="1:13" x14ac:dyDescent="0.3">
      <c r="A101" s="2" t="s">
        <v>118</v>
      </c>
      <c r="B101" s="2" t="s">
        <v>119</v>
      </c>
      <c r="C101" s="2"/>
      <c r="D101" s="2"/>
      <c r="E101" s="2" t="s">
        <v>145</v>
      </c>
      <c r="F101" s="2" t="s">
        <v>210</v>
      </c>
      <c r="G101" s="2" t="s">
        <v>10</v>
      </c>
      <c r="H101" s="2" t="s">
        <v>211</v>
      </c>
      <c r="I101" s="2" t="s">
        <v>211</v>
      </c>
      <c r="J101" s="2" t="s">
        <v>57</v>
      </c>
      <c r="K101" s="2" t="s">
        <v>32</v>
      </c>
      <c r="L101" s="2" t="s">
        <v>33</v>
      </c>
      <c r="M101" s="2"/>
    </row>
    <row r="102" spans="1:13" ht="27.6" x14ac:dyDescent="0.3">
      <c r="A102" s="2" t="s">
        <v>118</v>
      </c>
      <c r="B102" s="2" t="s">
        <v>119</v>
      </c>
      <c r="C102" s="2"/>
      <c r="D102" s="2"/>
      <c r="E102" s="2" t="s">
        <v>145</v>
      </c>
      <c r="F102" s="2" t="s">
        <v>212</v>
      </c>
      <c r="G102" s="2" t="s">
        <v>10</v>
      </c>
      <c r="H102" s="2" t="s">
        <v>213</v>
      </c>
      <c r="I102" s="2" t="s">
        <v>214</v>
      </c>
      <c r="J102" s="2" t="s">
        <v>57</v>
      </c>
      <c r="K102" s="2" t="s">
        <v>32</v>
      </c>
      <c r="L102" s="2" t="s">
        <v>33</v>
      </c>
      <c r="M102" s="2"/>
    </row>
    <row r="103" spans="1:13" ht="27.6" x14ac:dyDescent="0.3">
      <c r="A103" s="2" t="s">
        <v>118</v>
      </c>
      <c r="B103" s="2" t="s">
        <v>119</v>
      </c>
      <c r="C103" s="2"/>
      <c r="D103" s="2"/>
      <c r="E103" s="2" t="s">
        <v>145</v>
      </c>
      <c r="F103" s="2" t="s">
        <v>61</v>
      </c>
      <c r="G103" s="2" t="s">
        <v>10</v>
      </c>
      <c r="H103" s="2" t="s">
        <v>62</v>
      </c>
      <c r="I103" s="2" t="s">
        <v>63</v>
      </c>
      <c r="J103" s="2" t="s">
        <v>57</v>
      </c>
      <c r="K103" s="2" t="s">
        <v>32</v>
      </c>
      <c r="L103" s="2" t="s">
        <v>33</v>
      </c>
      <c r="M103" s="2"/>
    </row>
    <row r="104" spans="1:13" x14ac:dyDescent="0.3">
      <c r="A104" s="2" t="s">
        <v>118</v>
      </c>
      <c r="B104" s="2" t="s">
        <v>119</v>
      </c>
      <c r="C104" s="2"/>
      <c r="D104" s="2"/>
      <c r="E104" s="2" t="s">
        <v>145</v>
      </c>
      <c r="F104" s="2" t="s">
        <v>215</v>
      </c>
      <c r="G104" s="2" t="s">
        <v>10</v>
      </c>
      <c r="H104" s="2" t="s">
        <v>216</v>
      </c>
      <c r="I104" s="2" t="s">
        <v>217</v>
      </c>
      <c r="J104" s="2" t="s">
        <v>57</v>
      </c>
      <c r="K104" s="2" t="s">
        <v>32</v>
      </c>
      <c r="L104" s="2" t="s">
        <v>33</v>
      </c>
      <c r="M104" s="2"/>
    </row>
    <row r="105" spans="1:13" x14ac:dyDescent="0.3">
      <c r="A105" s="2" t="s">
        <v>118</v>
      </c>
      <c r="B105" s="2" t="s">
        <v>119</v>
      </c>
      <c r="C105" s="2"/>
      <c r="D105" s="2"/>
      <c r="E105" s="2" t="s">
        <v>145</v>
      </c>
      <c r="F105" s="2" t="s">
        <v>67</v>
      </c>
      <c r="G105" s="2" t="s">
        <v>10</v>
      </c>
      <c r="H105" s="2" t="s">
        <v>68</v>
      </c>
      <c r="I105" s="2" t="s">
        <v>69</v>
      </c>
      <c r="J105" s="2" t="s">
        <v>57</v>
      </c>
      <c r="K105" s="2" t="s">
        <v>32</v>
      </c>
      <c r="L105" s="2" t="s">
        <v>33</v>
      </c>
      <c r="M105" s="2"/>
    </row>
    <row r="106" spans="1:13" x14ac:dyDescent="0.3">
      <c r="A106" s="2" t="s">
        <v>118</v>
      </c>
      <c r="B106" s="2" t="s">
        <v>119</v>
      </c>
      <c r="C106" s="2"/>
      <c r="D106" s="2"/>
      <c r="E106" s="2" t="s">
        <v>120</v>
      </c>
      <c r="F106" s="2" t="s">
        <v>218</v>
      </c>
      <c r="G106" s="2" t="s">
        <v>10</v>
      </c>
      <c r="H106" s="2" t="s">
        <v>219</v>
      </c>
      <c r="I106" s="2" t="s">
        <v>220</v>
      </c>
      <c r="J106" s="2" t="s">
        <v>57</v>
      </c>
      <c r="K106" s="2" t="s">
        <v>32</v>
      </c>
      <c r="L106" s="2" t="s">
        <v>33</v>
      </c>
      <c r="M106" s="2"/>
    </row>
    <row r="107" spans="1:13" x14ac:dyDescent="0.3">
      <c r="A107" s="2" t="s">
        <v>118</v>
      </c>
      <c r="B107" s="2" t="s">
        <v>119</v>
      </c>
      <c r="C107" s="2"/>
      <c r="D107" s="2"/>
      <c r="E107" s="2" t="s">
        <v>145</v>
      </c>
      <c r="F107" s="2" t="s">
        <v>221</v>
      </c>
      <c r="G107" s="2" t="s">
        <v>10</v>
      </c>
      <c r="H107" s="2"/>
      <c r="I107" s="2"/>
      <c r="J107" s="2" t="s">
        <v>18</v>
      </c>
      <c r="K107" s="2"/>
      <c r="L107" s="2" t="s">
        <v>19</v>
      </c>
      <c r="M107" s="2"/>
    </row>
    <row r="108" spans="1:13" x14ac:dyDescent="0.3">
      <c r="A108" s="2" t="s">
        <v>118</v>
      </c>
      <c r="B108" s="2" t="s">
        <v>119</v>
      </c>
      <c r="C108" s="2"/>
      <c r="D108" s="2"/>
      <c r="E108" s="2" t="s">
        <v>145</v>
      </c>
      <c r="F108" s="2" t="s">
        <v>222</v>
      </c>
      <c r="G108" s="2" t="s">
        <v>10</v>
      </c>
      <c r="H108" s="2"/>
      <c r="I108" s="2"/>
      <c r="J108" s="2" t="s">
        <v>18</v>
      </c>
      <c r="K108" s="2"/>
      <c r="L108" s="2" t="s">
        <v>19</v>
      </c>
      <c r="M108" s="2"/>
    </row>
    <row r="109" spans="1:13" x14ac:dyDescent="0.3">
      <c r="A109" s="2" t="s">
        <v>118</v>
      </c>
      <c r="B109" s="2" t="s">
        <v>119</v>
      </c>
      <c r="C109" s="2"/>
      <c r="D109" s="2"/>
      <c r="E109" s="2" t="s">
        <v>145</v>
      </c>
      <c r="F109" s="2" t="s">
        <v>223</v>
      </c>
      <c r="G109" s="2" t="s">
        <v>10</v>
      </c>
      <c r="H109" s="2"/>
      <c r="I109" s="2"/>
      <c r="J109" s="2" t="s">
        <v>57</v>
      </c>
      <c r="K109" s="2" t="s">
        <v>32</v>
      </c>
      <c r="L109" s="2" t="s">
        <v>33</v>
      </c>
      <c r="M109" s="2"/>
    </row>
    <row r="110" spans="1:13" x14ac:dyDescent="0.3">
      <c r="A110" s="2" t="s">
        <v>118</v>
      </c>
      <c r="B110" s="2" t="s">
        <v>119</v>
      </c>
      <c r="C110" s="2"/>
      <c r="D110" s="2"/>
      <c r="E110" s="2" t="s">
        <v>145</v>
      </c>
      <c r="F110" s="2" t="s">
        <v>224</v>
      </c>
      <c r="G110" s="2" t="s">
        <v>10</v>
      </c>
      <c r="H110" s="2"/>
      <c r="I110" s="2"/>
      <c r="J110" s="2" t="s">
        <v>57</v>
      </c>
      <c r="K110" s="2" t="s">
        <v>32</v>
      </c>
      <c r="L110" s="2" t="s">
        <v>33</v>
      </c>
      <c r="M110" s="2"/>
    </row>
    <row r="111" spans="1:13" x14ac:dyDescent="0.3">
      <c r="A111" s="2" t="s">
        <v>118</v>
      </c>
      <c r="B111" s="2" t="s">
        <v>119</v>
      </c>
      <c r="C111" s="2"/>
      <c r="D111" s="2"/>
      <c r="E111" s="2" t="s">
        <v>145</v>
      </c>
      <c r="F111" s="2" t="s">
        <v>225</v>
      </c>
      <c r="G111" s="2" t="s">
        <v>10</v>
      </c>
      <c r="H111" s="2"/>
      <c r="I111" s="2"/>
      <c r="J111" s="2" t="s">
        <v>57</v>
      </c>
      <c r="K111" s="2" t="s">
        <v>32</v>
      </c>
      <c r="L111" s="2" t="s">
        <v>33</v>
      </c>
      <c r="M111" s="2"/>
    </row>
    <row r="112" spans="1:13" x14ac:dyDescent="0.3">
      <c r="A112" s="2" t="s">
        <v>118</v>
      </c>
      <c r="B112" s="2" t="s">
        <v>119</v>
      </c>
      <c r="C112" s="2"/>
      <c r="D112" s="2"/>
      <c r="E112" s="2" t="s">
        <v>145</v>
      </c>
      <c r="F112" s="2" t="s">
        <v>226</v>
      </c>
      <c r="G112" s="2" t="s">
        <v>10</v>
      </c>
      <c r="H112" s="2"/>
      <c r="I112" s="2"/>
      <c r="J112" s="2" t="s">
        <v>18</v>
      </c>
      <c r="K112" s="2"/>
      <c r="L112" s="2" t="s">
        <v>19</v>
      </c>
      <c r="M112" s="2"/>
    </row>
    <row r="113" spans="1:13" x14ac:dyDescent="0.3">
      <c r="A113" s="2" t="s">
        <v>118</v>
      </c>
      <c r="B113" s="2" t="s">
        <v>119</v>
      </c>
      <c r="C113" s="2"/>
      <c r="D113" s="2"/>
      <c r="E113" s="2" t="s">
        <v>145</v>
      </c>
      <c r="F113" s="2" t="s">
        <v>227</v>
      </c>
      <c r="G113" s="2" t="s">
        <v>10</v>
      </c>
      <c r="H113" s="2"/>
      <c r="I113" s="2"/>
      <c r="J113" s="2" t="s">
        <v>18</v>
      </c>
      <c r="K113" s="2"/>
      <c r="L113" s="2" t="s">
        <v>19</v>
      </c>
      <c r="M113" s="2"/>
    </row>
    <row r="114" spans="1:13" x14ac:dyDescent="0.3">
      <c r="A114" s="2" t="s">
        <v>118</v>
      </c>
      <c r="B114" s="2" t="s">
        <v>119</v>
      </c>
      <c r="C114" s="2"/>
      <c r="D114" s="2"/>
      <c r="E114" s="2" t="s">
        <v>145</v>
      </c>
      <c r="F114" s="2" t="s">
        <v>228</v>
      </c>
      <c r="G114" s="2" t="s">
        <v>27</v>
      </c>
      <c r="H114" s="2"/>
      <c r="I114" s="2"/>
      <c r="J114" s="2" t="s">
        <v>18</v>
      </c>
      <c r="K114" s="2"/>
      <c r="L114" s="2" t="s">
        <v>19</v>
      </c>
      <c r="M114" s="2"/>
    </row>
    <row r="115" spans="1:13" x14ac:dyDescent="0.3">
      <c r="A115" s="2" t="s">
        <v>118</v>
      </c>
      <c r="B115" s="2" t="s">
        <v>119</v>
      </c>
      <c r="C115" s="2"/>
      <c r="D115" s="2"/>
      <c r="E115" s="2" t="s">
        <v>145</v>
      </c>
      <c r="F115" s="2" t="s">
        <v>229</v>
      </c>
      <c r="G115" s="2" t="s">
        <v>10</v>
      </c>
      <c r="H115" s="2"/>
      <c r="I115" s="2"/>
      <c r="J115" s="2" t="s">
        <v>18</v>
      </c>
      <c r="K115" s="2"/>
      <c r="L115" s="2" t="s">
        <v>19</v>
      </c>
      <c r="M115" s="2"/>
    </row>
    <row r="116" spans="1:13" x14ac:dyDescent="0.3">
      <c r="A116" s="2" t="s">
        <v>118</v>
      </c>
      <c r="B116" s="2" t="s">
        <v>119</v>
      </c>
      <c r="C116" s="2"/>
      <c r="D116" s="2"/>
      <c r="E116" s="2" t="s">
        <v>145</v>
      </c>
      <c r="F116" s="2" t="s">
        <v>230</v>
      </c>
      <c r="G116" s="2" t="s">
        <v>10</v>
      </c>
      <c r="H116" s="2"/>
      <c r="I116" s="2"/>
      <c r="J116" s="2" t="s">
        <v>18</v>
      </c>
      <c r="K116" s="2"/>
      <c r="L116" s="2" t="s">
        <v>19</v>
      </c>
      <c r="M116" s="2"/>
    </row>
    <row r="117" spans="1:13" x14ac:dyDescent="0.3">
      <c r="A117" s="2" t="s">
        <v>118</v>
      </c>
      <c r="B117" s="2" t="s">
        <v>119</v>
      </c>
      <c r="C117" s="2"/>
      <c r="D117" s="2"/>
      <c r="E117" s="2" t="s">
        <v>145</v>
      </c>
      <c r="F117" s="2" t="s">
        <v>231</v>
      </c>
      <c r="G117" s="2" t="s">
        <v>10</v>
      </c>
      <c r="H117" s="2"/>
      <c r="I117" s="2"/>
      <c r="J117" s="2" t="s">
        <v>18</v>
      </c>
      <c r="K117" s="2"/>
      <c r="L117" s="2" t="s">
        <v>19</v>
      </c>
      <c r="M117" s="2"/>
    </row>
    <row r="118" spans="1:13" x14ac:dyDescent="0.3">
      <c r="A118" s="2" t="s">
        <v>118</v>
      </c>
      <c r="B118" s="2" t="s">
        <v>119</v>
      </c>
      <c r="C118" s="2"/>
      <c r="D118" s="2"/>
      <c r="E118" s="2" t="s">
        <v>145</v>
      </c>
      <c r="F118" s="2" t="s">
        <v>232</v>
      </c>
      <c r="G118" s="2" t="s">
        <v>27</v>
      </c>
      <c r="H118" s="2" t="s">
        <v>59</v>
      </c>
      <c r="I118" s="2" t="s">
        <v>59</v>
      </c>
      <c r="J118" s="2" t="s">
        <v>57</v>
      </c>
      <c r="K118" s="2" t="s">
        <v>32</v>
      </c>
      <c r="L118" s="2" t="s">
        <v>33</v>
      </c>
      <c r="M118" s="2"/>
    </row>
    <row r="119" spans="1:13" x14ac:dyDescent="0.3">
      <c r="A119" s="2" t="s">
        <v>118</v>
      </c>
      <c r="B119" s="2" t="s">
        <v>119</v>
      </c>
      <c r="C119" s="2"/>
      <c r="D119" s="2"/>
      <c r="E119" s="2" t="s">
        <v>145</v>
      </c>
      <c r="F119" s="2" t="s">
        <v>233</v>
      </c>
      <c r="G119" s="2" t="s">
        <v>27</v>
      </c>
      <c r="H119" s="2" t="s">
        <v>65</v>
      </c>
      <c r="I119" s="2" t="s">
        <v>65</v>
      </c>
      <c r="J119" s="2" t="s">
        <v>57</v>
      </c>
      <c r="K119" s="2" t="s">
        <v>32</v>
      </c>
      <c r="L119" s="2" t="s">
        <v>33</v>
      </c>
      <c r="M119" s="2"/>
    </row>
    <row r="120" spans="1:13" x14ac:dyDescent="0.3">
      <c r="A120" s="2" t="s">
        <v>118</v>
      </c>
      <c r="B120" s="2" t="s">
        <v>119</v>
      </c>
      <c r="C120" s="2"/>
      <c r="D120" s="2"/>
      <c r="E120" s="2" t="s">
        <v>145</v>
      </c>
      <c r="F120" s="2" t="s">
        <v>234</v>
      </c>
      <c r="G120" s="2" t="s">
        <v>27</v>
      </c>
      <c r="H120" s="2" t="s">
        <v>152</v>
      </c>
      <c r="I120" s="2" t="s">
        <v>152</v>
      </c>
      <c r="J120" s="2" t="s">
        <v>57</v>
      </c>
      <c r="K120" s="2" t="s">
        <v>35</v>
      </c>
      <c r="L120" s="2" t="s">
        <v>33</v>
      </c>
      <c r="M120" s="2"/>
    </row>
    <row r="121" spans="1:13" x14ac:dyDescent="0.3">
      <c r="A121" s="2" t="s">
        <v>118</v>
      </c>
      <c r="B121" s="2" t="s">
        <v>119</v>
      </c>
      <c r="C121" s="2"/>
      <c r="D121" s="2"/>
      <c r="E121" s="2" t="s">
        <v>145</v>
      </c>
      <c r="F121" s="2" t="s">
        <v>235</v>
      </c>
      <c r="G121" s="2" t="s">
        <v>27</v>
      </c>
      <c r="H121" s="2" t="s">
        <v>236</v>
      </c>
      <c r="I121" s="2" t="s">
        <v>236</v>
      </c>
      <c r="J121" s="2" t="s">
        <v>57</v>
      </c>
      <c r="K121" s="2" t="s">
        <v>32</v>
      </c>
      <c r="L121" s="2" t="s">
        <v>33</v>
      </c>
      <c r="M121" s="2"/>
    </row>
    <row r="122" spans="1:13" x14ac:dyDescent="0.3">
      <c r="A122" s="2" t="s">
        <v>118</v>
      </c>
      <c r="B122" s="2" t="s">
        <v>119</v>
      </c>
      <c r="C122" s="2"/>
      <c r="D122" s="2"/>
      <c r="E122" s="2" t="s">
        <v>145</v>
      </c>
      <c r="F122" s="2" t="s">
        <v>237</v>
      </c>
      <c r="G122" s="2" t="s">
        <v>27</v>
      </c>
      <c r="H122" s="2" t="s">
        <v>238</v>
      </c>
      <c r="I122" s="2" t="s">
        <v>238</v>
      </c>
      <c r="J122" s="2" t="s">
        <v>57</v>
      </c>
      <c r="K122" s="2" t="s">
        <v>32</v>
      </c>
      <c r="L122" s="2" t="s">
        <v>33</v>
      </c>
      <c r="M122" s="2"/>
    </row>
    <row r="123" spans="1:13" x14ac:dyDescent="0.3">
      <c r="A123" s="2" t="s">
        <v>118</v>
      </c>
      <c r="B123" s="2" t="s">
        <v>119</v>
      </c>
      <c r="C123" s="2"/>
      <c r="D123" s="2"/>
      <c r="E123" s="2" t="s">
        <v>145</v>
      </c>
      <c r="F123" s="2" t="s">
        <v>239</v>
      </c>
      <c r="G123" s="2" t="s">
        <v>27</v>
      </c>
      <c r="H123" s="2" t="s">
        <v>240</v>
      </c>
      <c r="I123" s="2" t="s">
        <v>240</v>
      </c>
      <c r="J123" s="2" t="s">
        <v>57</v>
      </c>
      <c r="K123" s="2" t="s">
        <v>32</v>
      </c>
      <c r="L123" s="2" t="s">
        <v>33</v>
      </c>
      <c r="M123" s="2"/>
    </row>
    <row r="124" spans="1:13" ht="27.6" x14ac:dyDescent="0.3">
      <c r="A124" s="2" t="s">
        <v>118</v>
      </c>
      <c r="B124" s="2" t="s">
        <v>119</v>
      </c>
      <c r="C124" s="2"/>
      <c r="D124" s="2"/>
      <c r="E124" s="2" t="s">
        <v>241</v>
      </c>
      <c r="F124" s="2" t="s">
        <v>154</v>
      </c>
      <c r="G124" s="2"/>
      <c r="H124" s="2" t="s">
        <v>155</v>
      </c>
      <c r="I124" s="2" t="s">
        <v>155</v>
      </c>
      <c r="J124" s="2" t="s">
        <v>18</v>
      </c>
      <c r="K124" s="2"/>
      <c r="L124" s="2" t="s">
        <v>19</v>
      </c>
      <c r="M124" s="2"/>
    </row>
    <row r="125" spans="1:13" ht="27.6" x14ac:dyDescent="0.3">
      <c r="A125" s="2" t="s">
        <v>118</v>
      </c>
      <c r="B125" s="2" t="s">
        <v>119</v>
      </c>
      <c r="C125" s="2"/>
      <c r="D125" s="2"/>
      <c r="E125" s="2" t="s">
        <v>241</v>
      </c>
      <c r="F125" s="2" t="s">
        <v>242</v>
      </c>
      <c r="G125" s="2"/>
      <c r="H125" s="2" t="s">
        <v>243</v>
      </c>
      <c r="I125" s="2" t="s">
        <v>243</v>
      </c>
      <c r="J125" s="2" t="s">
        <v>133</v>
      </c>
      <c r="K125" s="2"/>
      <c r="L125" s="2" t="s">
        <v>19</v>
      </c>
      <c r="M125" s="2"/>
    </row>
    <row r="126" spans="1:13" ht="27.6" x14ac:dyDescent="0.3">
      <c r="A126" s="2" t="s">
        <v>118</v>
      </c>
      <c r="B126" s="2" t="s">
        <v>119</v>
      </c>
      <c r="C126" s="2"/>
      <c r="D126" s="2"/>
      <c r="E126" s="2" t="s">
        <v>241</v>
      </c>
      <c r="F126" s="2" t="s">
        <v>156</v>
      </c>
      <c r="G126" s="2"/>
      <c r="H126" s="2" t="s">
        <v>157</v>
      </c>
      <c r="I126" s="2" t="s">
        <v>157</v>
      </c>
      <c r="J126" s="2" t="s">
        <v>57</v>
      </c>
      <c r="K126" s="2" t="s">
        <v>32</v>
      </c>
      <c r="L126" s="2" t="s">
        <v>33</v>
      </c>
      <c r="M126" s="2"/>
    </row>
    <row r="127" spans="1:13" ht="27.6" x14ac:dyDescent="0.3">
      <c r="A127" s="2" t="s">
        <v>118</v>
      </c>
      <c r="B127" s="2" t="s">
        <v>119</v>
      </c>
      <c r="C127" s="2"/>
      <c r="D127" s="2"/>
      <c r="E127" s="2" t="s">
        <v>241</v>
      </c>
      <c r="F127" s="2" t="s">
        <v>244</v>
      </c>
      <c r="G127" s="2"/>
      <c r="H127" s="2" t="s">
        <v>245</v>
      </c>
      <c r="I127" s="2" t="s">
        <v>245</v>
      </c>
      <c r="J127" s="2" t="s">
        <v>57</v>
      </c>
      <c r="K127" s="2" t="s">
        <v>32</v>
      </c>
      <c r="L127" s="2" t="s">
        <v>33</v>
      </c>
      <c r="M127" s="2"/>
    </row>
    <row r="128" spans="1:13" x14ac:dyDescent="0.3">
      <c r="A128" s="2" t="s">
        <v>118</v>
      </c>
      <c r="B128" s="2" t="s">
        <v>119</v>
      </c>
      <c r="C128" s="2"/>
      <c r="D128" s="2"/>
      <c r="E128" s="2" t="s">
        <v>246</v>
      </c>
      <c r="F128" s="2" t="s">
        <v>247</v>
      </c>
      <c r="G128" s="2"/>
      <c r="H128" s="2" t="s">
        <v>248</v>
      </c>
      <c r="I128" s="2" t="s">
        <v>248</v>
      </c>
      <c r="J128" s="2" t="s">
        <v>18</v>
      </c>
      <c r="K128" s="2"/>
      <c r="L128" s="2" t="s">
        <v>19</v>
      </c>
      <c r="M128" s="2"/>
    </row>
    <row r="129" spans="1:13" ht="27.6" x14ac:dyDescent="0.3">
      <c r="A129" s="2" t="s">
        <v>118</v>
      </c>
      <c r="B129" s="2" t="s">
        <v>119</v>
      </c>
      <c r="C129" s="2"/>
      <c r="D129" s="2"/>
      <c r="E129" s="2" t="s">
        <v>241</v>
      </c>
      <c r="F129" s="2" t="s">
        <v>249</v>
      </c>
      <c r="G129" s="2"/>
      <c r="H129" s="2" t="s">
        <v>250</v>
      </c>
      <c r="I129" s="2" t="s">
        <v>250</v>
      </c>
      <c r="J129" s="2" t="s">
        <v>133</v>
      </c>
      <c r="K129" s="2" t="s">
        <v>32</v>
      </c>
      <c r="L129" s="2" t="s">
        <v>33</v>
      </c>
      <c r="M129" s="2"/>
    </row>
    <row r="130" spans="1:13" ht="27.6" x14ac:dyDescent="0.3">
      <c r="A130" s="2" t="s">
        <v>118</v>
      </c>
      <c r="B130" s="2" t="s">
        <v>119</v>
      </c>
      <c r="C130" s="2"/>
      <c r="D130" s="2"/>
      <c r="E130" s="2" t="s">
        <v>241</v>
      </c>
      <c r="F130" s="2" t="s">
        <v>251</v>
      </c>
      <c r="G130" s="2"/>
      <c r="H130" s="2" t="s">
        <v>252</v>
      </c>
      <c r="I130" s="2" t="s">
        <v>252</v>
      </c>
      <c r="J130" s="2" t="s">
        <v>57</v>
      </c>
      <c r="K130" s="2" t="s">
        <v>32</v>
      </c>
      <c r="L130" s="2" t="s">
        <v>33</v>
      </c>
      <c r="M130" s="2"/>
    </row>
    <row r="131" spans="1:13" ht="27.6" x14ac:dyDescent="0.3">
      <c r="A131" s="2" t="s">
        <v>118</v>
      </c>
      <c r="B131" s="2" t="s">
        <v>119</v>
      </c>
      <c r="C131" s="2"/>
      <c r="D131" s="2"/>
      <c r="E131" s="2" t="s">
        <v>241</v>
      </c>
      <c r="F131" s="2" t="s">
        <v>173</v>
      </c>
      <c r="G131" s="2"/>
      <c r="H131" s="2" t="s">
        <v>174</v>
      </c>
      <c r="I131" s="2" t="s">
        <v>174</v>
      </c>
      <c r="J131" s="2" t="s">
        <v>57</v>
      </c>
      <c r="K131" s="2" t="s">
        <v>32</v>
      </c>
      <c r="L131" s="2" t="s">
        <v>33</v>
      </c>
      <c r="M131" s="2"/>
    </row>
    <row r="132" spans="1:13" ht="27.6" x14ac:dyDescent="0.3">
      <c r="A132" s="2" t="s">
        <v>118</v>
      </c>
      <c r="B132" s="2" t="s">
        <v>119</v>
      </c>
      <c r="C132" s="2"/>
      <c r="D132" s="2"/>
      <c r="E132" s="2" t="s">
        <v>241</v>
      </c>
      <c r="F132" s="2" t="s">
        <v>175</v>
      </c>
      <c r="G132" s="2"/>
      <c r="H132" s="2" t="s">
        <v>176</v>
      </c>
      <c r="I132" s="2" t="s">
        <v>176</v>
      </c>
      <c r="J132" s="2" t="s">
        <v>57</v>
      </c>
      <c r="K132" s="2" t="s">
        <v>32</v>
      </c>
      <c r="L132" s="2" t="s">
        <v>33</v>
      </c>
      <c r="M132" s="2"/>
    </row>
    <row r="133" spans="1:13" ht="27.6" x14ac:dyDescent="0.3">
      <c r="A133" s="2" t="s">
        <v>118</v>
      </c>
      <c r="B133" s="2" t="s">
        <v>119</v>
      </c>
      <c r="C133" s="2"/>
      <c r="D133" s="2"/>
      <c r="E133" s="2" t="s">
        <v>241</v>
      </c>
      <c r="F133" s="2" t="s">
        <v>177</v>
      </c>
      <c r="G133" s="2"/>
      <c r="H133" s="2" t="s">
        <v>178</v>
      </c>
      <c r="I133" s="2" t="s">
        <v>178</v>
      </c>
      <c r="J133" s="2" t="s">
        <v>57</v>
      </c>
      <c r="K133" s="2" t="s">
        <v>32</v>
      </c>
      <c r="L133" s="2" t="s">
        <v>33</v>
      </c>
      <c r="M133" s="2"/>
    </row>
    <row r="134" spans="1:13" ht="27.6" x14ac:dyDescent="0.3">
      <c r="A134" s="2" t="s">
        <v>118</v>
      </c>
      <c r="B134" s="2" t="s">
        <v>119</v>
      </c>
      <c r="C134" s="2"/>
      <c r="D134" s="2"/>
      <c r="E134" s="2" t="s">
        <v>241</v>
      </c>
      <c r="F134" s="2" t="s">
        <v>179</v>
      </c>
      <c r="G134" s="2"/>
      <c r="H134" s="2" t="s">
        <v>180</v>
      </c>
      <c r="I134" s="2" t="s">
        <v>180</v>
      </c>
      <c r="J134" s="2" t="s">
        <v>57</v>
      </c>
      <c r="K134" s="2" t="s">
        <v>32</v>
      </c>
      <c r="L134" s="2" t="s">
        <v>33</v>
      </c>
      <c r="M134" s="2"/>
    </row>
    <row r="135" spans="1:13" ht="27.6" x14ac:dyDescent="0.3">
      <c r="A135" s="2" t="s">
        <v>118</v>
      </c>
      <c r="B135" s="2" t="s">
        <v>119</v>
      </c>
      <c r="C135" s="2"/>
      <c r="D135" s="2"/>
      <c r="E135" s="2" t="s">
        <v>241</v>
      </c>
      <c r="F135" s="2" t="s">
        <v>253</v>
      </c>
      <c r="G135" s="2"/>
      <c r="H135" s="2" t="s">
        <v>254</v>
      </c>
      <c r="I135" s="2" t="s">
        <v>254</v>
      </c>
      <c r="J135" s="2" t="s">
        <v>133</v>
      </c>
      <c r="K135" s="2"/>
      <c r="L135" s="2" t="s">
        <v>19</v>
      </c>
      <c r="M135" s="2"/>
    </row>
    <row r="136" spans="1:13" ht="27.6" x14ac:dyDescent="0.3">
      <c r="A136" s="2" t="s">
        <v>118</v>
      </c>
      <c r="B136" s="2" t="s">
        <v>119</v>
      </c>
      <c r="C136" s="2"/>
      <c r="D136" s="2"/>
      <c r="E136" s="2" t="s">
        <v>241</v>
      </c>
      <c r="F136" s="2" t="s">
        <v>255</v>
      </c>
      <c r="G136" s="2"/>
      <c r="H136" s="2" t="s">
        <v>256</v>
      </c>
      <c r="I136" s="2" t="s">
        <v>256</v>
      </c>
      <c r="J136" s="2" t="s">
        <v>133</v>
      </c>
      <c r="K136" s="2"/>
      <c r="L136" s="2" t="s">
        <v>19</v>
      </c>
      <c r="M136" s="2"/>
    </row>
    <row r="137" spans="1:13" ht="27.6" x14ac:dyDescent="0.3">
      <c r="A137" s="2" t="s">
        <v>118</v>
      </c>
      <c r="B137" s="2" t="s">
        <v>119</v>
      </c>
      <c r="C137" s="2"/>
      <c r="D137" s="2"/>
      <c r="E137" s="2" t="s">
        <v>241</v>
      </c>
      <c r="F137" s="2" t="s">
        <v>257</v>
      </c>
      <c r="G137" s="2"/>
      <c r="H137" s="2" t="s">
        <v>258</v>
      </c>
      <c r="I137" s="2" t="s">
        <v>258</v>
      </c>
      <c r="J137" s="2" t="s">
        <v>133</v>
      </c>
      <c r="K137" s="2"/>
      <c r="L137" s="2" t="s">
        <v>19</v>
      </c>
      <c r="M137" s="2"/>
    </row>
    <row r="138" spans="1:13" ht="27.6" x14ac:dyDescent="0.3">
      <c r="A138" s="2" t="s">
        <v>118</v>
      </c>
      <c r="B138" s="2" t="s">
        <v>119</v>
      </c>
      <c r="C138" s="2"/>
      <c r="D138" s="2"/>
      <c r="E138" s="2" t="s">
        <v>241</v>
      </c>
      <c r="F138" s="2" t="s">
        <v>259</v>
      </c>
      <c r="G138" s="2"/>
      <c r="H138" s="2" t="s">
        <v>260</v>
      </c>
      <c r="I138" s="2" t="s">
        <v>260</v>
      </c>
      <c r="J138" s="2" t="s">
        <v>57</v>
      </c>
      <c r="K138" s="2" t="s">
        <v>32</v>
      </c>
      <c r="L138" s="2" t="s">
        <v>33</v>
      </c>
      <c r="M138" s="2"/>
    </row>
    <row r="139" spans="1:13" ht="27.6" x14ac:dyDescent="0.3">
      <c r="A139" s="2" t="s">
        <v>118</v>
      </c>
      <c r="B139" s="2" t="s">
        <v>119</v>
      </c>
      <c r="C139" s="2"/>
      <c r="D139" s="2"/>
      <c r="E139" s="2" t="s">
        <v>241</v>
      </c>
      <c r="F139" s="2" t="s">
        <v>261</v>
      </c>
      <c r="G139" s="2"/>
      <c r="H139" s="2" t="s">
        <v>262</v>
      </c>
      <c r="I139" s="2" t="s">
        <v>262</v>
      </c>
      <c r="J139" s="2" t="s">
        <v>133</v>
      </c>
      <c r="K139" s="2"/>
      <c r="L139" s="2" t="s">
        <v>19</v>
      </c>
      <c r="M139" s="2"/>
    </row>
    <row r="140" spans="1:13" ht="27.6" x14ac:dyDescent="0.3">
      <c r="A140" s="2" t="s">
        <v>118</v>
      </c>
      <c r="B140" s="2" t="s">
        <v>119</v>
      </c>
      <c r="C140" s="2"/>
      <c r="D140" s="2"/>
      <c r="E140" s="2" t="s">
        <v>241</v>
      </c>
      <c r="F140" s="2" t="s">
        <v>263</v>
      </c>
      <c r="G140" s="2"/>
      <c r="H140" s="2" t="s">
        <v>264</v>
      </c>
      <c r="I140" s="2" t="s">
        <v>264</v>
      </c>
      <c r="J140" s="2" t="s">
        <v>133</v>
      </c>
      <c r="K140" s="2"/>
      <c r="L140" s="2" t="s">
        <v>19</v>
      </c>
      <c r="M140" s="2"/>
    </row>
    <row r="141" spans="1:13" x14ac:dyDescent="0.3">
      <c r="A141" s="2" t="s">
        <v>118</v>
      </c>
      <c r="B141" s="2" t="s">
        <v>119</v>
      </c>
      <c r="C141" s="2"/>
      <c r="D141" s="2"/>
      <c r="E141" s="2" t="s">
        <v>145</v>
      </c>
      <c r="F141" s="2" t="s">
        <v>265</v>
      </c>
      <c r="G141" s="2"/>
      <c r="H141" s="2" t="s">
        <v>266</v>
      </c>
      <c r="I141" s="2" t="s">
        <v>267</v>
      </c>
      <c r="J141" s="2" t="s">
        <v>57</v>
      </c>
      <c r="K141" s="2" t="s">
        <v>32</v>
      </c>
      <c r="L141" s="2" t="s">
        <v>33</v>
      </c>
      <c r="M141" s="2"/>
    </row>
    <row r="142" spans="1:13" x14ac:dyDescent="0.3">
      <c r="A142" s="2" t="s">
        <v>118</v>
      </c>
      <c r="B142" s="2" t="s">
        <v>119</v>
      </c>
      <c r="C142" s="2"/>
      <c r="D142" s="2"/>
      <c r="E142" s="2" t="s">
        <v>145</v>
      </c>
      <c r="F142" s="2" t="s">
        <v>268</v>
      </c>
      <c r="G142" s="2"/>
      <c r="H142" s="2" t="s">
        <v>269</v>
      </c>
      <c r="I142" s="2" t="s">
        <v>269</v>
      </c>
      <c r="J142" s="2" t="s">
        <v>18</v>
      </c>
      <c r="K142" s="2"/>
      <c r="L142" s="2" t="s">
        <v>19</v>
      </c>
      <c r="M142" s="2"/>
    </row>
    <row r="143" spans="1:13" x14ac:dyDescent="0.3">
      <c r="A143" s="2" t="s">
        <v>118</v>
      </c>
      <c r="B143" s="2" t="s">
        <v>119</v>
      </c>
      <c r="C143" s="2"/>
      <c r="D143" s="2"/>
      <c r="E143" s="2" t="s">
        <v>145</v>
      </c>
      <c r="F143" s="2" t="s">
        <v>270</v>
      </c>
      <c r="G143" s="2"/>
      <c r="H143" s="2" t="s">
        <v>271</v>
      </c>
      <c r="I143" s="2" t="s">
        <v>272</v>
      </c>
      <c r="J143" s="2" t="s">
        <v>57</v>
      </c>
      <c r="K143" s="2" t="s">
        <v>32</v>
      </c>
      <c r="L143" s="2" t="s">
        <v>33</v>
      </c>
      <c r="M143" s="2"/>
    </row>
    <row r="144" spans="1:13" x14ac:dyDescent="0.3">
      <c r="A144" s="2" t="s">
        <v>118</v>
      </c>
      <c r="B144" s="2" t="s">
        <v>119</v>
      </c>
      <c r="C144" s="2"/>
      <c r="D144" s="2"/>
      <c r="E144" s="2" t="s">
        <v>145</v>
      </c>
      <c r="F144" s="2" t="s">
        <v>273</v>
      </c>
      <c r="G144" s="2"/>
      <c r="H144" s="2" t="s">
        <v>274</v>
      </c>
      <c r="I144" s="2" t="s">
        <v>274</v>
      </c>
      <c r="J144" s="2" t="s">
        <v>18</v>
      </c>
      <c r="K144" s="2"/>
      <c r="L144" s="2" t="s">
        <v>19</v>
      </c>
      <c r="M144" s="2"/>
    </row>
    <row r="145" spans="1:13" x14ac:dyDescent="0.3">
      <c r="A145" s="2" t="s">
        <v>118</v>
      </c>
      <c r="B145" s="2" t="s">
        <v>119</v>
      </c>
      <c r="C145" s="2"/>
      <c r="D145" s="2"/>
      <c r="E145" s="2" t="s">
        <v>145</v>
      </c>
      <c r="F145" s="2" t="s">
        <v>275</v>
      </c>
      <c r="G145" s="2"/>
      <c r="H145" s="2" t="s">
        <v>276</v>
      </c>
      <c r="I145" s="2" t="s">
        <v>277</v>
      </c>
      <c r="J145" s="2" t="s">
        <v>57</v>
      </c>
      <c r="K145" s="2" t="s">
        <v>32</v>
      </c>
      <c r="L145" s="2" t="s">
        <v>33</v>
      </c>
      <c r="M145" s="2"/>
    </row>
    <row r="146" spans="1:13" x14ac:dyDescent="0.3">
      <c r="A146" s="2" t="s">
        <v>118</v>
      </c>
      <c r="B146" s="2" t="s">
        <v>119</v>
      </c>
      <c r="C146" s="2"/>
      <c r="D146" s="2"/>
      <c r="E146" s="2" t="s">
        <v>145</v>
      </c>
      <c r="F146" s="2" t="s">
        <v>278</v>
      </c>
      <c r="G146" s="2"/>
      <c r="H146" s="2" t="s">
        <v>279</v>
      </c>
      <c r="I146" s="2" t="s">
        <v>279</v>
      </c>
      <c r="J146" s="2" t="s">
        <v>18</v>
      </c>
      <c r="K146" s="2"/>
      <c r="L146" s="2" t="s">
        <v>19</v>
      </c>
      <c r="M146" s="2"/>
    </row>
    <row r="147" spans="1:13" x14ac:dyDescent="0.3">
      <c r="A147" s="2" t="s">
        <v>118</v>
      </c>
      <c r="B147" s="2" t="s">
        <v>119</v>
      </c>
      <c r="C147" s="2"/>
      <c r="D147" s="2"/>
      <c r="E147" s="2" t="s">
        <v>145</v>
      </c>
      <c r="F147" s="2" t="s">
        <v>280</v>
      </c>
      <c r="G147" s="2"/>
      <c r="H147" s="2" t="s">
        <v>281</v>
      </c>
      <c r="I147" s="2" t="s">
        <v>282</v>
      </c>
      <c r="J147" s="2" t="s">
        <v>57</v>
      </c>
      <c r="K147" s="2" t="s">
        <v>32</v>
      </c>
      <c r="L147" s="2" t="s">
        <v>33</v>
      </c>
      <c r="M147" s="2"/>
    </row>
    <row r="148" spans="1:13" x14ac:dyDescent="0.3">
      <c r="A148" s="2" t="s">
        <v>118</v>
      </c>
      <c r="B148" s="2" t="s">
        <v>119</v>
      </c>
      <c r="C148" s="2"/>
      <c r="D148" s="2"/>
      <c r="E148" s="2" t="s">
        <v>145</v>
      </c>
      <c r="F148" s="2" t="s">
        <v>283</v>
      </c>
      <c r="G148" s="2"/>
      <c r="H148" s="2" t="s">
        <v>284</v>
      </c>
      <c r="I148" s="2" t="s">
        <v>284</v>
      </c>
      <c r="J148" s="2" t="s">
        <v>18</v>
      </c>
      <c r="K148" s="2"/>
      <c r="L148" s="2" t="s">
        <v>19</v>
      </c>
      <c r="M148" s="2"/>
    </row>
    <row r="149" spans="1:13" x14ac:dyDescent="0.3">
      <c r="A149" s="2" t="s">
        <v>118</v>
      </c>
      <c r="B149" s="2" t="s">
        <v>119</v>
      </c>
      <c r="C149" s="2"/>
      <c r="D149" s="2"/>
      <c r="E149" s="2" t="s">
        <v>145</v>
      </c>
      <c r="F149" s="2" t="s">
        <v>285</v>
      </c>
      <c r="G149" s="2"/>
      <c r="H149" s="2" t="s">
        <v>286</v>
      </c>
      <c r="I149" s="2" t="s">
        <v>287</v>
      </c>
      <c r="J149" s="2" t="s">
        <v>57</v>
      </c>
      <c r="K149" s="2" t="s">
        <v>32</v>
      </c>
      <c r="L149" s="2" t="s">
        <v>33</v>
      </c>
      <c r="M149" s="2"/>
    </row>
    <row r="150" spans="1:13" x14ac:dyDescent="0.3">
      <c r="A150" s="2" t="s">
        <v>118</v>
      </c>
      <c r="B150" s="2" t="s">
        <v>119</v>
      </c>
      <c r="C150" s="2"/>
      <c r="D150" s="2"/>
      <c r="E150" s="2" t="s">
        <v>145</v>
      </c>
      <c r="F150" s="2" t="s">
        <v>288</v>
      </c>
      <c r="G150" s="2"/>
      <c r="H150" s="2" t="s">
        <v>289</v>
      </c>
      <c r="I150" s="2" t="s">
        <v>289</v>
      </c>
      <c r="J150" s="2" t="s">
        <v>18</v>
      </c>
      <c r="K150" s="2"/>
      <c r="L150" s="2" t="s">
        <v>19</v>
      </c>
      <c r="M150" s="2"/>
    </row>
    <row r="151" spans="1:13" x14ac:dyDescent="0.3">
      <c r="A151" s="2" t="s">
        <v>118</v>
      </c>
      <c r="B151" s="2" t="s">
        <v>119</v>
      </c>
      <c r="C151" s="2"/>
      <c r="D151" s="2"/>
      <c r="E151" s="2"/>
      <c r="F151" s="2" t="s">
        <v>290</v>
      </c>
      <c r="G151" s="2"/>
      <c r="H151" s="2" t="s">
        <v>291</v>
      </c>
      <c r="I151" s="2" t="s">
        <v>291</v>
      </c>
      <c r="J151" s="2" t="s">
        <v>57</v>
      </c>
      <c r="K151" s="2" t="s">
        <v>32</v>
      </c>
      <c r="L151" s="2" t="s">
        <v>33</v>
      </c>
      <c r="M151" s="2" t="s">
        <v>20</v>
      </c>
    </row>
    <row r="152" spans="1:13" x14ac:dyDescent="0.3">
      <c r="A152" s="2" t="s">
        <v>292</v>
      </c>
      <c r="B152" s="2" t="s">
        <v>293</v>
      </c>
      <c r="C152" s="2"/>
      <c r="D152" s="2"/>
      <c r="E152" s="2" t="s">
        <v>246</v>
      </c>
      <c r="F152" s="2" t="s">
        <v>294</v>
      </c>
      <c r="G152" s="2"/>
      <c r="H152" s="2" t="s">
        <v>295</v>
      </c>
      <c r="I152" s="2" t="s">
        <v>295</v>
      </c>
      <c r="J152" s="2" t="s">
        <v>57</v>
      </c>
      <c r="K152" s="2" t="s">
        <v>32</v>
      </c>
      <c r="L152" s="2" t="s">
        <v>33</v>
      </c>
      <c r="M152" s="2"/>
    </row>
    <row r="153" spans="1:13" x14ac:dyDescent="0.3">
      <c r="A153" s="2" t="s">
        <v>292</v>
      </c>
      <c r="B153" s="2" t="s">
        <v>293</v>
      </c>
      <c r="C153" s="2"/>
      <c r="D153" s="2"/>
      <c r="E153" s="2" t="s">
        <v>246</v>
      </c>
      <c r="F153" s="2" t="s">
        <v>173</v>
      </c>
      <c r="G153" s="2"/>
      <c r="H153" s="2" t="s">
        <v>174</v>
      </c>
      <c r="I153" s="2" t="s">
        <v>174</v>
      </c>
      <c r="J153" s="2" t="s">
        <v>57</v>
      </c>
      <c r="K153" s="2" t="s">
        <v>32</v>
      </c>
      <c r="L153" s="2" t="s">
        <v>33</v>
      </c>
      <c r="M153" s="2"/>
    </row>
    <row r="154" spans="1:13" x14ac:dyDescent="0.3">
      <c r="A154" s="2" t="s">
        <v>292</v>
      </c>
      <c r="B154" s="2" t="s">
        <v>293</v>
      </c>
      <c r="C154" s="2"/>
      <c r="D154" s="2"/>
      <c r="E154" s="2" t="s">
        <v>246</v>
      </c>
      <c r="F154" s="2" t="s">
        <v>175</v>
      </c>
      <c r="G154" s="2"/>
      <c r="H154" s="2" t="s">
        <v>176</v>
      </c>
      <c r="I154" s="2" t="s">
        <v>176</v>
      </c>
      <c r="J154" s="2" t="s">
        <v>57</v>
      </c>
      <c r="K154" s="2" t="s">
        <v>32</v>
      </c>
      <c r="L154" s="2" t="s">
        <v>33</v>
      </c>
      <c r="M154" s="2"/>
    </row>
    <row r="155" spans="1:13" x14ac:dyDescent="0.3">
      <c r="A155" s="2" t="s">
        <v>292</v>
      </c>
      <c r="B155" s="2" t="s">
        <v>293</v>
      </c>
      <c r="C155" s="2"/>
      <c r="D155" s="2"/>
      <c r="E155" s="2" t="s">
        <v>246</v>
      </c>
      <c r="F155" s="2" t="s">
        <v>177</v>
      </c>
      <c r="G155" s="2"/>
      <c r="H155" s="2" t="s">
        <v>178</v>
      </c>
      <c r="I155" s="2" t="s">
        <v>178</v>
      </c>
      <c r="J155" s="2" t="s">
        <v>57</v>
      </c>
      <c r="K155" s="2" t="s">
        <v>32</v>
      </c>
      <c r="L155" s="2" t="s">
        <v>33</v>
      </c>
      <c r="M155" s="2"/>
    </row>
    <row r="156" spans="1:13" x14ac:dyDescent="0.3">
      <c r="A156" s="2" t="s">
        <v>292</v>
      </c>
      <c r="B156" s="2" t="s">
        <v>293</v>
      </c>
      <c r="C156" s="2"/>
      <c r="D156" s="2"/>
      <c r="E156" s="2" t="s">
        <v>246</v>
      </c>
      <c r="F156" s="2" t="s">
        <v>179</v>
      </c>
      <c r="G156" s="2"/>
      <c r="H156" s="2" t="s">
        <v>180</v>
      </c>
      <c r="I156" s="2" t="s">
        <v>180</v>
      </c>
      <c r="J156" s="2" t="s">
        <v>57</v>
      </c>
      <c r="K156" s="2" t="s">
        <v>32</v>
      </c>
      <c r="L156" s="2" t="s">
        <v>33</v>
      </c>
      <c r="M156" s="2"/>
    </row>
    <row r="157" spans="1:13" x14ac:dyDescent="0.3">
      <c r="A157" s="2" t="s">
        <v>292</v>
      </c>
      <c r="B157" s="2" t="s">
        <v>293</v>
      </c>
      <c r="C157" s="2"/>
      <c r="D157" s="2"/>
      <c r="E157" s="2" t="s">
        <v>246</v>
      </c>
      <c r="F157" s="2" t="s">
        <v>185</v>
      </c>
      <c r="G157" s="2"/>
      <c r="H157" s="2" t="s">
        <v>186</v>
      </c>
      <c r="I157" s="2" t="s">
        <v>186</v>
      </c>
      <c r="J157" s="2" t="s">
        <v>133</v>
      </c>
      <c r="K157" s="2"/>
      <c r="L157" s="2" t="s">
        <v>19</v>
      </c>
      <c r="M157" s="2"/>
    </row>
    <row r="158" spans="1:13" x14ac:dyDescent="0.3">
      <c r="A158" s="2" t="s">
        <v>292</v>
      </c>
      <c r="B158" s="2" t="s">
        <v>293</v>
      </c>
      <c r="C158" s="2"/>
      <c r="D158" s="2"/>
      <c r="E158" s="2" t="s">
        <v>246</v>
      </c>
      <c r="F158" s="2" t="s">
        <v>187</v>
      </c>
      <c r="G158" s="2"/>
      <c r="H158" s="2" t="s">
        <v>188</v>
      </c>
      <c r="I158" s="2" t="s">
        <v>188</v>
      </c>
      <c r="J158" s="2" t="s">
        <v>133</v>
      </c>
      <c r="K158" s="2"/>
      <c r="L158" s="2" t="s">
        <v>19</v>
      </c>
      <c r="M158" s="2"/>
    </row>
    <row r="159" spans="1:13" x14ac:dyDescent="0.3">
      <c r="A159" s="2" t="s">
        <v>292</v>
      </c>
      <c r="B159" s="2" t="s">
        <v>293</v>
      </c>
      <c r="C159" s="2"/>
      <c r="D159" s="2"/>
      <c r="E159" s="2" t="s">
        <v>246</v>
      </c>
      <c r="F159" s="2" t="s">
        <v>158</v>
      </c>
      <c r="G159" s="2" t="s">
        <v>102</v>
      </c>
      <c r="H159" s="2" t="s">
        <v>159</v>
      </c>
      <c r="I159" s="2" t="s">
        <v>159</v>
      </c>
      <c r="J159" s="2" t="s">
        <v>57</v>
      </c>
      <c r="K159" s="2" t="s">
        <v>32</v>
      </c>
      <c r="L159" s="2" t="s">
        <v>33</v>
      </c>
      <c r="M159" s="2"/>
    </row>
    <row r="160" spans="1:13" x14ac:dyDescent="0.3">
      <c r="A160" s="2" t="s">
        <v>292</v>
      </c>
      <c r="B160" s="2" t="s">
        <v>293</v>
      </c>
      <c r="C160" s="2"/>
      <c r="D160" s="2"/>
      <c r="E160" s="2" t="s">
        <v>246</v>
      </c>
      <c r="F160" s="2" t="s">
        <v>134</v>
      </c>
      <c r="G160" s="2" t="s">
        <v>10</v>
      </c>
      <c r="H160" s="2" t="s">
        <v>135</v>
      </c>
      <c r="I160" s="2" t="s">
        <v>135</v>
      </c>
      <c r="J160" s="2" t="s">
        <v>57</v>
      </c>
      <c r="K160" s="2" t="s">
        <v>32</v>
      </c>
      <c r="L160" s="2" t="s">
        <v>33</v>
      </c>
      <c r="M160" s="2"/>
    </row>
    <row r="161" spans="1:13" x14ac:dyDescent="0.3">
      <c r="A161" s="2" t="s">
        <v>292</v>
      </c>
      <c r="B161" s="2" t="s">
        <v>293</v>
      </c>
      <c r="C161" s="2"/>
      <c r="D161" s="2"/>
      <c r="E161" s="2" t="s">
        <v>246</v>
      </c>
      <c r="F161" s="2" t="s">
        <v>296</v>
      </c>
      <c r="G161" s="2" t="s">
        <v>102</v>
      </c>
      <c r="H161" s="2" t="s">
        <v>157</v>
      </c>
      <c r="I161" s="2" t="s">
        <v>157</v>
      </c>
      <c r="J161" s="2" t="s">
        <v>57</v>
      </c>
      <c r="K161" s="2" t="s">
        <v>32</v>
      </c>
      <c r="L161" s="2" t="s">
        <v>33</v>
      </c>
      <c r="M161" s="2"/>
    </row>
    <row r="162" spans="1:13" ht="27.6" x14ac:dyDescent="0.3">
      <c r="A162" s="2" t="s">
        <v>292</v>
      </c>
      <c r="B162" s="2" t="s">
        <v>293</v>
      </c>
      <c r="C162" s="2"/>
      <c r="D162" s="2"/>
      <c r="E162" s="2" t="s">
        <v>246</v>
      </c>
      <c r="F162" s="2" t="s">
        <v>297</v>
      </c>
      <c r="G162" s="2"/>
      <c r="H162" s="2" t="s">
        <v>298</v>
      </c>
      <c r="I162" s="2" t="s">
        <v>298</v>
      </c>
      <c r="J162" s="2" t="s">
        <v>18</v>
      </c>
      <c r="K162" s="2"/>
      <c r="L162" s="2" t="s">
        <v>19</v>
      </c>
      <c r="M162" s="2"/>
    </row>
    <row r="163" spans="1:13" x14ac:dyDescent="0.3">
      <c r="A163" s="2" t="s">
        <v>292</v>
      </c>
      <c r="B163" s="2" t="s">
        <v>293</v>
      </c>
      <c r="C163" s="2"/>
      <c r="D163" s="2"/>
      <c r="E163" s="2" t="s">
        <v>246</v>
      </c>
      <c r="F163" s="2" t="s">
        <v>299</v>
      </c>
      <c r="G163" s="2" t="s">
        <v>10</v>
      </c>
      <c r="H163" s="2" t="s">
        <v>155</v>
      </c>
      <c r="I163" s="2" t="s">
        <v>155</v>
      </c>
      <c r="J163" s="2" t="s">
        <v>18</v>
      </c>
      <c r="K163" s="2"/>
      <c r="L163" s="2" t="s">
        <v>19</v>
      </c>
      <c r="M163" s="2"/>
    </row>
    <row r="164" spans="1:13" x14ac:dyDescent="0.3">
      <c r="A164" s="2" t="s">
        <v>292</v>
      </c>
      <c r="B164" s="2" t="s">
        <v>293</v>
      </c>
      <c r="C164" s="2"/>
      <c r="D164" s="2"/>
      <c r="E164" s="2" t="s">
        <v>246</v>
      </c>
      <c r="F164" s="2" t="s">
        <v>300</v>
      </c>
      <c r="G164" s="2" t="s">
        <v>102</v>
      </c>
      <c r="H164" s="2" t="s">
        <v>301</v>
      </c>
      <c r="I164" s="2" t="s">
        <v>301</v>
      </c>
      <c r="J164" s="2" t="s">
        <v>18</v>
      </c>
      <c r="K164" s="2"/>
      <c r="L164" s="2" t="s">
        <v>19</v>
      </c>
      <c r="M164" s="2"/>
    </row>
    <row r="165" spans="1:13" x14ac:dyDescent="0.3">
      <c r="A165" s="2" t="s">
        <v>292</v>
      </c>
      <c r="B165" s="2" t="s">
        <v>293</v>
      </c>
      <c r="C165" s="2"/>
      <c r="D165" s="2"/>
      <c r="E165" s="2" t="s">
        <v>246</v>
      </c>
      <c r="F165" s="2" t="s">
        <v>302</v>
      </c>
      <c r="G165" s="2" t="s">
        <v>102</v>
      </c>
      <c r="H165" s="2" t="s">
        <v>303</v>
      </c>
      <c r="I165" s="2" t="s">
        <v>303</v>
      </c>
      <c r="J165" s="2" t="s">
        <v>18</v>
      </c>
      <c r="K165" s="2"/>
      <c r="L165" s="2" t="s">
        <v>19</v>
      </c>
      <c r="M165" s="2"/>
    </row>
    <row r="166" spans="1:13" x14ac:dyDescent="0.3">
      <c r="A166" s="2" t="s">
        <v>292</v>
      </c>
      <c r="B166" s="2" t="s">
        <v>293</v>
      </c>
      <c r="C166" s="2"/>
      <c r="D166" s="2"/>
      <c r="E166" s="2" t="s">
        <v>246</v>
      </c>
      <c r="F166" s="2" t="s">
        <v>304</v>
      </c>
      <c r="G166" s="2" t="s">
        <v>102</v>
      </c>
      <c r="H166" s="2">
        <v>1284</v>
      </c>
      <c r="I166" s="2">
        <v>1284</v>
      </c>
      <c r="J166" s="2" t="s">
        <v>50</v>
      </c>
      <c r="K166" s="2"/>
      <c r="L166" s="2" t="s">
        <v>19</v>
      </c>
      <c r="M166" s="2"/>
    </row>
    <row r="167" spans="1:13" x14ac:dyDescent="0.3">
      <c r="A167" s="2" t="s">
        <v>292</v>
      </c>
      <c r="B167" s="2" t="s">
        <v>293</v>
      </c>
      <c r="C167" s="2"/>
      <c r="D167" s="2"/>
      <c r="E167" s="2" t="s">
        <v>246</v>
      </c>
      <c r="F167" s="2" t="s">
        <v>305</v>
      </c>
      <c r="G167" s="2" t="s">
        <v>102</v>
      </c>
      <c r="H167" s="2" t="s">
        <v>306</v>
      </c>
      <c r="I167" s="2" t="s">
        <v>306</v>
      </c>
      <c r="J167" s="2" t="s">
        <v>18</v>
      </c>
      <c r="K167" s="2"/>
      <c r="L167" s="2" t="s">
        <v>19</v>
      </c>
      <c r="M167" s="2"/>
    </row>
    <row r="168" spans="1:13" x14ac:dyDescent="0.3">
      <c r="A168" s="2" t="s">
        <v>292</v>
      </c>
      <c r="B168" s="2" t="s">
        <v>293</v>
      </c>
      <c r="C168" s="2"/>
      <c r="D168" s="2"/>
      <c r="E168" s="2" t="s">
        <v>246</v>
      </c>
      <c r="F168" s="2" t="s">
        <v>307</v>
      </c>
      <c r="G168" s="2" t="s">
        <v>102</v>
      </c>
      <c r="H168" s="2" t="s">
        <v>308</v>
      </c>
      <c r="I168" s="2" t="s">
        <v>308</v>
      </c>
      <c r="J168" s="2" t="s">
        <v>18</v>
      </c>
      <c r="K168" s="2"/>
      <c r="L168" s="2" t="s">
        <v>19</v>
      </c>
      <c r="M168" s="2"/>
    </row>
    <row r="169" spans="1:13" x14ac:dyDescent="0.3">
      <c r="A169" s="2" t="s">
        <v>292</v>
      </c>
      <c r="B169" s="2" t="s">
        <v>293</v>
      </c>
      <c r="C169" s="2"/>
      <c r="D169" s="2"/>
      <c r="E169" s="2" t="s">
        <v>246</v>
      </c>
      <c r="F169" s="2" t="s">
        <v>309</v>
      </c>
      <c r="G169" s="2" t="s">
        <v>102</v>
      </c>
      <c r="H169" s="2" t="s">
        <v>310</v>
      </c>
      <c r="I169" s="2" t="s">
        <v>310</v>
      </c>
      <c r="J169" s="2" t="s">
        <v>57</v>
      </c>
      <c r="K169" s="2" t="s">
        <v>32</v>
      </c>
      <c r="L169" s="2" t="s">
        <v>33</v>
      </c>
      <c r="M169" s="2"/>
    </row>
    <row r="170" spans="1:13" x14ac:dyDescent="0.3">
      <c r="A170" s="2" t="s">
        <v>292</v>
      </c>
      <c r="B170" s="2" t="s">
        <v>293</v>
      </c>
      <c r="C170" s="2"/>
      <c r="D170" s="2"/>
      <c r="E170" s="2" t="s">
        <v>246</v>
      </c>
      <c r="F170" s="2" t="s">
        <v>311</v>
      </c>
      <c r="G170" s="2" t="s">
        <v>10</v>
      </c>
      <c r="H170" s="2" t="s">
        <v>312</v>
      </c>
      <c r="I170" s="2" t="s">
        <v>313</v>
      </c>
      <c r="J170" s="2" t="s">
        <v>57</v>
      </c>
      <c r="K170" s="2" t="s">
        <v>35</v>
      </c>
      <c r="L170" s="2" t="s">
        <v>33</v>
      </c>
      <c r="M170" s="2"/>
    </row>
    <row r="171" spans="1:13" x14ac:dyDescent="0.3">
      <c r="A171" s="2" t="s">
        <v>292</v>
      </c>
      <c r="B171" s="2" t="s">
        <v>293</v>
      </c>
      <c r="C171" s="2"/>
      <c r="D171" s="2"/>
      <c r="E171" s="2" t="s">
        <v>246</v>
      </c>
      <c r="F171" s="2" t="s">
        <v>314</v>
      </c>
      <c r="G171" s="2" t="s">
        <v>10</v>
      </c>
      <c r="H171" s="2" t="s">
        <v>315</v>
      </c>
      <c r="I171" s="2" t="s">
        <v>315</v>
      </c>
      <c r="J171" s="2" t="s">
        <v>18</v>
      </c>
      <c r="K171" s="2"/>
      <c r="L171" s="2" t="s">
        <v>19</v>
      </c>
      <c r="M171" s="2"/>
    </row>
    <row r="172" spans="1:13" x14ac:dyDescent="0.3">
      <c r="A172" s="2" t="s">
        <v>292</v>
      </c>
      <c r="B172" s="2" t="s">
        <v>293</v>
      </c>
      <c r="C172" s="2"/>
      <c r="D172" s="2"/>
      <c r="E172" s="2" t="s">
        <v>246</v>
      </c>
      <c r="F172" s="2" t="s">
        <v>160</v>
      </c>
      <c r="G172" s="2" t="s">
        <v>10</v>
      </c>
      <c r="H172" s="2" t="s">
        <v>161</v>
      </c>
      <c r="I172" s="2" t="s">
        <v>161</v>
      </c>
      <c r="J172" s="2" t="s">
        <v>18</v>
      </c>
      <c r="K172" s="2"/>
      <c r="L172" s="2" t="s">
        <v>19</v>
      </c>
      <c r="M172" s="2"/>
    </row>
    <row r="173" spans="1:13" x14ac:dyDescent="0.3">
      <c r="A173" s="2" t="s">
        <v>292</v>
      </c>
      <c r="B173" s="2" t="s">
        <v>293</v>
      </c>
      <c r="C173" s="2"/>
      <c r="D173" s="2"/>
      <c r="E173" s="2" t="s">
        <v>246</v>
      </c>
      <c r="F173" s="2" t="s">
        <v>162</v>
      </c>
      <c r="G173" s="2" t="s">
        <v>10</v>
      </c>
      <c r="H173" s="2" t="s">
        <v>163</v>
      </c>
      <c r="I173" s="2" t="s">
        <v>163</v>
      </c>
      <c r="J173" s="2" t="s">
        <v>18</v>
      </c>
      <c r="K173" s="2"/>
      <c r="L173" s="2" t="s">
        <v>19</v>
      </c>
      <c r="M173" s="2"/>
    </row>
    <row r="174" spans="1:13" x14ac:dyDescent="0.3">
      <c r="A174" s="2" t="s">
        <v>292</v>
      </c>
      <c r="B174" s="2" t="s">
        <v>293</v>
      </c>
      <c r="C174" s="2"/>
      <c r="D174" s="2"/>
      <c r="E174" s="2" t="s">
        <v>246</v>
      </c>
      <c r="F174" s="2" t="s">
        <v>316</v>
      </c>
      <c r="G174" s="2"/>
      <c r="H174" s="2" t="s">
        <v>317</v>
      </c>
      <c r="I174" s="2" t="s">
        <v>317</v>
      </c>
      <c r="J174" s="2" t="s">
        <v>18</v>
      </c>
      <c r="K174" s="2"/>
      <c r="L174" s="2" t="s">
        <v>19</v>
      </c>
      <c r="M174" s="2"/>
    </row>
    <row r="175" spans="1:13" x14ac:dyDescent="0.3">
      <c r="A175" s="2" t="s">
        <v>292</v>
      </c>
      <c r="B175" s="2" t="s">
        <v>293</v>
      </c>
      <c r="C175" s="2"/>
      <c r="D175" s="2"/>
      <c r="E175" s="2" t="s">
        <v>246</v>
      </c>
      <c r="F175" s="2" t="s">
        <v>181</v>
      </c>
      <c r="G175" s="2"/>
      <c r="H175" s="2" t="s">
        <v>182</v>
      </c>
      <c r="I175" s="2" t="s">
        <v>182</v>
      </c>
      <c r="J175" s="2" t="s">
        <v>18</v>
      </c>
      <c r="K175" s="2" t="s">
        <v>318</v>
      </c>
      <c r="L175" s="2" t="s">
        <v>19</v>
      </c>
      <c r="M175" s="2"/>
    </row>
    <row r="176" spans="1:13" x14ac:dyDescent="0.3">
      <c r="A176" s="2" t="s">
        <v>292</v>
      </c>
      <c r="B176" s="2" t="s">
        <v>293</v>
      </c>
      <c r="C176" s="2"/>
      <c r="D176" s="2"/>
      <c r="E176" s="2" t="s">
        <v>246</v>
      </c>
      <c r="F176" s="2" t="s">
        <v>319</v>
      </c>
      <c r="G176" s="2" t="s">
        <v>10</v>
      </c>
      <c r="H176" s="2" t="s">
        <v>320</v>
      </c>
      <c r="I176" s="2" t="s">
        <v>320</v>
      </c>
      <c r="J176" s="2" t="s">
        <v>18</v>
      </c>
      <c r="K176" s="2"/>
      <c r="L176" s="2" t="s">
        <v>19</v>
      </c>
      <c r="M176" s="2"/>
    </row>
    <row r="177" spans="1:13" x14ac:dyDescent="0.3">
      <c r="A177" s="2" t="s">
        <v>292</v>
      </c>
      <c r="B177" s="2" t="s">
        <v>293</v>
      </c>
      <c r="C177" s="2"/>
      <c r="D177" s="2"/>
      <c r="E177" s="2" t="s">
        <v>246</v>
      </c>
      <c r="F177" s="2" t="s">
        <v>321</v>
      </c>
      <c r="G177" s="2"/>
      <c r="H177" s="2" t="s">
        <v>184</v>
      </c>
      <c r="I177" s="2" t="s">
        <v>184</v>
      </c>
      <c r="J177" s="2" t="s">
        <v>18</v>
      </c>
      <c r="K177" s="2"/>
      <c r="L177" s="2" t="s">
        <v>19</v>
      </c>
      <c r="M177" s="2"/>
    </row>
    <row r="178" spans="1:13" x14ac:dyDescent="0.3">
      <c r="A178" s="2" t="s">
        <v>292</v>
      </c>
      <c r="B178" s="2" t="s">
        <v>293</v>
      </c>
      <c r="C178" s="2"/>
      <c r="D178" s="2"/>
      <c r="E178" s="2" t="s">
        <v>246</v>
      </c>
      <c r="F178" s="2" t="s">
        <v>322</v>
      </c>
      <c r="G178" s="2" t="s">
        <v>10</v>
      </c>
      <c r="H178" s="2" t="s">
        <v>323</v>
      </c>
      <c r="I178" s="2" t="s">
        <v>323</v>
      </c>
      <c r="J178" s="2" t="s">
        <v>18</v>
      </c>
      <c r="K178" s="2"/>
      <c r="L178" s="2" t="s">
        <v>19</v>
      </c>
      <c r="M178" s="2"/>
    </row>
    <row r="179" spans="1:13" x14ac:dyDescent="0.3">
      <c r="A179" s="2" t="s">
        <v>292</v>
      </c>
      <c r="B179" s="2" t="s">
        <v>293</v>
      </c>
      <c r="C179" s="2"/>
      <c r="D179" s="2"/>
      <c r="E179" s="2" t="s">
        <v>246</v>
      </c>
      <c r="F179" s="2" t="s">
        <v>324</v>
      </c>
      <c r="G179" s="2" t="s">
        <v>10</v>
      </c>
      <c r="H179" s="2" t="s">
        <v>325</v>
      </c>
      <c r="I179" s="2" t="s">
        <v>325</v>
      </c>
      <c r="J179" s="2" t="s">
        <v>18</v>
      </c>
      <c r="K179" s="2"/>
      <c r="L179" s="2" t="s">
        <v>19</v>
      </c>
      <c r="M179" s="2"/>
    </row>
    <row r="180" spans="1:13" x14ac:dyDescent="0.3">
      <c r="A180" s="2" t="s">
        <v>292</v>
      </c>
      <c r="B180" s="2" t="s">
        <v>293</v>
      </c>
      <c r="C180" s="2"/>
      <c r="D180" s="2"/>
      <c r="E180" s="2" t="s">
        <v>246</v>
      </c>
      <c r="F180" s="2" t="s">
        <v>43</v>
      </c>
      <c r="G180" s="2" t="s">
        <v>10</v>
      </c>
      <c r="H180" s="2" t="s">
        <v>164</v>
      </c>
      <c r="I180" s="2" t="s">
        <v>164</v>
      </c>
      <c r="J180" s="2" t="s">
        <v>18</v>
      </c>
      <c r="K180" s="2"/>
      <c r="L180" s="2" t="s">
        <v>19</v>
      </c>
      <c r="M180" s="2"/>
    </row>
    <row r="181" spans="1:13" x14ac:dyDescent="0.3">
      <c r="A181" s="2" t="s">
        <v>292</v>
      </c>
      <c r="B181" s="2" t="s">
        <v>293</v>
      </c>
      <c r="C181" s="2"/>
      <c r="D181" s="2"/>
      <c r="E181" s="2" t="s">
        <v>246</v>
      </c>
      <c r="F181" s="2" t="s">
        <v>244</v>
      </c>
      <c r="G181" s="2"/>
      <c r="H181" s="2" t="s">
        <v>245</v>
      </c>
      <c r="I181" s="2" t="s">
        <v>245</v>
      </c>
      <c r="J181" s="2" t="s">
        <v>57</v>
      </c>
      <c r="K181" s="2"/>
      <c r="L181" s="2" t="s">
        <v>19</v>
      </c>
      <c r="M181" s="2"/>
    </row>
    <row r="182" spans="1:13" x14ac:dyDescent="0.3">
      <c r="A182" s="2" t="s">
        <v>292</v>
      </c>
      <c r="B182" s="2" t="s">
        <v>293</v>
      </c>
      <c r="C182" s="2"/>
      <c r="D182" s="2"/>
      <c r="E182" s="2" t="s">
        <v>246</v>
      </c>
      <c r="F182" s="2" t="s">
        <v>247</v>
      </c>
      <c r="G182" s="2"/>
      <c r="H182" s="2" t="s">
        <v>248</v>
      </c>
      <c r="I182" s="2" t="s">
        <v>248</v>
      </c>
      <c r="J182" s="2" t="s">
        <v>18</v>
      </c>
      <c r="K182" s="2"/>
      <c r="L182" s="2" t="s">
        <v>19</v>
      </c>
      <c r="M182" s="2"/>
    </row>
    <row r="183" spans="1:13" x14ac:dyDescent="0.3">
      <c r="A183" s="2" t="s">
        <v>292</v>
      </c>
      <c r="B183" s="2" t="s">
        <v>293</v>
      </c>
      <c r="C183" s="2"/>
      <c r="D183" s="2"/>
      <c r="E183" s="2" t="s">
        <v>246</v>
      </c>
      <c r="F183" s="2" t="s">
        <v>326</v>
      </c>
      <c r="G183" s="2"/>
      <c r="H183" s="2" t="s">
        <v>327</v>
      </c>
      <c r="I183" s="2" t="s">
        <v>327</v>
      </c>
      <c r="J183" s="2" t="s">
        <v>18</v>
      </c>
      <c r="K183" s="2"/>
      <c r="L183" s="2" t="s">
        <v>19</v>
      </c>
      <c r="M183" s="2"/>
    </row>
    <row r="184" spans="1:13" x14ac:dyDescent="0.3">
      <c r="A184" s="2" t="s">
        <v>292</v>
      </c>
      <c r="B184" s="2" t="s">
        <v>293</v>
      </c>
      <c r="C184" s="2"/>
      <c r="D184" s="2"/>
      <c r="E184" s="2" t="s">
        <v>246</v>
      </c>
      <c r="F184" s="2" t="s">
        <v>328</v>
      </c>
      <c r="G184" s="2"/>
      <c r="H184" s="2" t="s">
        <v>329</v>
      </c>
      <c r="I184" s="2" t="s">
        <v>329</v>
      </c>
      <c r="J184" s="2" t="s">
        <v>18</v>
      </c>
      <c r="K184" s="2"/>
      <c r="L184" s="2" t="s">
        <v>19</v>
      </c>
      <c r="M184" s="2"/>
    </row>
    <row r="185" spans="1:13" x14ac:dyDescent="0.3">
      <c r="A185" s="2" t="s">
        <v>292</v>
      </c>
      <c r="B185" s="2" t="s">
        <v>293</v>
      </c>
      <c r="C185" s="2"/>
      <c r="D185" s="2"/>
      <c r="E185" s="2" t="s">
        <v>145</v>
      </c>
      <c r="F185" s="2" t="s">
        <v>330</v>
      </c>
      <c r="G185" s="2"/>
      <c r="H185" s="2" t="s">
        <v>331</v>
      </c>
      <c r="I185" s="2" t="s">
        <v>331</v>
      </c>
      <c r="J185" s="2" t="s">
        <v>18</v>
      </c>
      <c r="K185" s="2"/>
      <c r="L185" s="2" t="s">
        <v>19</v>
      </c>
      <c r="M185" s="2"/>
    </row>
    <row r="186" spans="1:13" x14ac:dyDescent="0.3">
      <c r="A186" s="2" t="s">
        <v>292</v>
      </c>
      <c r="B186" s="2" t="s">
        <v>293</v>
      </c>
      <c r="C186" s="2"/>
      <c r="D186" s="2"/>
      <c r="E186" s="2" t="s">
        <v>246</v>
      </c>
      <c r="F186" s="2" t="s">
        <v>332</v>
      </c>
      <c r="G186" s="2"/>
      <c r="H186" s="2" t="s">
        <v>333</v>
      </c>
      <c r="I186" s="2" t="s">
        <v>334</v>
      </c>
      <c r="J186" s="2" t="s">
        <v>57</v>
      </c>
      <c r="K186" s="2" t="s">
        <v>32</v>
      </c>
      <c r="L186" s="2" t="s">
        <v>33</v>
      </c>
      <c r="M186" s="2"/>
    </row>
    <row r="187" spans="1:13" x14ac:dyDescent="0.3">
      <c r="A187" s="2" t="s">
        <v>292</v>
      </c>
      <c r="B187" s="2" t="s">
        <v>293</v>
      </c>
      <c r="C187" s="2"/>
      <c r="D187" s="2"/>
      <c r="E187" s="2" t="s">
        <v>246</v>
      </c>
      <c r="F187" s="2" t="s">
        <v>335</v>
      </c>
      <c r="G187" s="2"/>
      <c r="H187" s="2" t="s">
        <v>336</v>
      </c>
      <c r="I187" s="2" t="s">
        <v>337</v>
      </c>
      <c r="J187" s="2" t="s">
        <v>57</v>
      </c>
      <c r="K187" s="2" t="s">
        <v>32</v>
      </c>
      <c r="L187" s="2" t="s">
        <v>33</v>
      </c>
      <c r="M187" s="2"/>
    </row>
    <row r="188" spans="1:13" x14ac:dyDescent="0.3">
      <c r="A188" s="2" t="s">
        <v>292</v>
      </c>
      <c r="B188" s="2" t="s">
        <v>293</v>
      </c>
      <c r="C188" s="2"/>
      <c r="D188" s="2"/>
      <c r="E188" s="2" t="s">
        <v>246</v>
      </c>
      <c r="F188" s="2" t="s">
        <v>338</v>
      </c>
      <c r="G188" s="2"/>
      <c r="H188" s="2" t="s">
        <v>339</v>
      </c>
      <c r="I188" s="2" t="s">
        <v>339</v>
      </c>
      <c r="J188" s="2" t="s">
        <v>18</v>
      </c>
      <c r="K188" s="2"/>
      <c r="L188" s="2" t="s">
        <v>19</v>
      </c>
      <c r="M188" s="2"/>
    </row>
    <row r="189" spans="1:13" x14ac:dyDescent="0.3">
      <c r="A189" s="2" t="s">
        <v>292</v>
      </c>
      <c r="B189" s="2" t="s">
        <v>293</v>
      </c>
      <c r="C189" s="2"/>
      <c r="D189" s="2"/>
      <c r="E189" s="2" t="s">
        <v>246</v>
      </c>
      <c r="F189" s="2" t="s">
        <v>340</v>
      </c>
      <c r="G189" s="2"/>
      <c r="H189" s="2" t="s">
        <v>267</v>
      </c>
      <c r="I189" s="2" t="s">
        <v>140</v>
      </c>
      <c r="J189" s="2" t="s">
        <v>57</v>
      </c>
      <c r="K189" s="2" t="s">
        <v>32</v>
      </c>
      <c r="L189" s="2" t="s">
        <v>33</v>
      </c>
      <c r="M189" s="2"/>
    </row>
    <row r="190" spans="1:13" x14ac:dyDescent="0.3">
      <c r="A190" s="2" t="s">
        <v>292</v>
      </c>
      <c r="B190" s="2" t="s">
        <v>293</v>
      </c>
      <c r="C190" s="2"/>
      <c r="D190" s="2"/>
      <c r="E190" s="2" t="s">
        <v>246</v>
      </c>
      <c r="F190" s="2" t="s">
        <v>341</v>
      </c>
      <c r="G190" s="2"/>
      <c r="H190" s="2" t="s">
        <v>342</v>
      </c>
      <c r="I190" s="2" t="s">
        <v>342</v>
      </c>
      <c r="J190" s="2" t="s">
        <v>18</v>
      </c>
      <c r="K190" s="2"/>
      <c r="L190" s="2" t="s">
        <v>19</v>
      </c>
      <c r="M190" s="2"/>
    </row>
    <row r="191" spans="1:13" x14ac:dyDescent="0.3">
      <c r="A191" s="2" t="s">
        <v>292</v>
      </c>
      <c r="B191" s="2" t="s">
        <v>293</v>
      </c>
      <c r="C191" s="2"/>
      <c r="D191" s="2"/>
      <c r="E191" s="2" t="s">
        <v>246</v>
      </c>
      <c r="F191" s="2" t="s">
        <v>343</v>
      </c>
      <c r="G191" s="2"/>
      <c r="H191" s="2" t="s">
        <v>344</v>
      </c>
      <c r="I191" s="2" t="s">
        <v>345</v>
      </c>
      <c r="J191" s="2" t="s">
        <v>57</v>
      </c>
      <c r="K191" s="2" t="s">
        <v>32</v>
      </c>
      <c r="L191" s="2" t="s">
        <v>33</v>
      </c>
      <c r="M191" s="2"/>
    </row>
    <row r="192" spans="1:13" x14ac:dyDescent="0.3">
      <c r="A192" s="2" t="s">
        <v>292</v>
      </c>
      <c r="B192" s="2" t="s">
        <v>293</v>
      </c>
      <c r="C192" s="2"/>
      <c r="D192" s="2"/>
      <c r="E192" s="2" t="s">
        <v>246</v>
      </c>
      <c r="F192" s="2" t="s">
        <v>346</v>
      </c>
      <c r="G192" s="2"/>
      <c r="H192" s="2" t="s">
        <v>347</v>
      </c>
      <c r="I192" s="2" t="s">
        <v>348</v>
      </c>
      <c r="J192" s="2" t="s">
        <v>57</v>
      </c>
      <c r="K192" s="2" t="s">
        <v>32</v>
      </c>
      <c r="L192" s="2" t="s">
        <v>33</v>
      </c>
      <c r="M192" s="2"/>
    </row>
    <row r="193" spans="1:13" x14ac:dyDescent="0.3">
      <c r="A193" s="2" t="s">
        <v>292</v>
      </c>
      <c r="B193" s="2" t="s">
        <v>293</v>
      </c>
      <c r="C193" s="2"/>
      <c r="D193" s="2"/>
      <c r="E193" s="2" t="s">
        <v>246</v>
      </c>
      <c r="F193" s="2" t="s">
        <v>349</v>
      </c>
      <c r="G193" s="2"/>
      <c r="H193" s="2" t="s">
        <v>350</v>
      </c>
      <c r="I193" s="2" t="s">
        <v>351</v>
      </c>
      <c r="J193" s="2" t="s">
        <v>57</v>
      </c>
      <c r="K193" s="2" t="s">
        <v>32</v>
      </c>
      <c r="L193" s="2" t="s">
        <v>33</v>
      </c>
      <c r="M193" s="2"/>
    </row>
    <row r="194" spans="1:13" x14ac:dyDescent="0.3">
      <c r="A194" s="2" t="s">
        <v>292</v>
      </c>
      <c r="B194" s="2" t="s">
        <v>293</v>
      </c>
      <c r="C194" s="2"/>
      <c r="D194" s="2"/>
      <c r="E194" s="2" t="s">
        <v>246</v>
      </c>
      <c r="F194" s="2" t="s">
        <v>352</v>
      </c>
      <c r="G194" s="2"/>
      <c r="H194" s="2" t="s">
        <v>353</v>
      </c>
      <c r="I194" s="2" t="s">
        <v>353</v>
      </c>
      <c r="J194" s="2" t="s">
        <v>18</v>
      </c>
      <c r="K194" s="2"/>
      <c r="L194" s="2" t="s">
        <v>19</v>
      </c>
      <c r="M194" s="2"/>
    </row>
    <row r="195" spans="1:13" x14ac:dyDescent="0.3">
      <c r="A195" s="2" t="s">
        <v>354</v>
      </c>
      <c r="B195" s="2" t="s">
        <v>293</v>
      </c>
      <c r="C195" s="2"/>
      <c r="D195" s="2"/>
      <c r="E195" s="2" t="s">
        <v>145</v>
      </c>
      <c r="F195" s="2" t="s">
        <v>355</v>
      </c>
      <c r="G195" s="2"/>
      <c r="H195" s="2" t="s">
        <v>356</v>
      </c>
      <c r="I195" s="2" t="s">
        <v>266</v>
      </c>
      <c r="J195" s="2" t="s">
        <v>57</v>
      </c>
      <c r="K195" s="2" t="s">
        <v>32</v>
      </c>
      <c r="L195" s="2" t="s">
        <v>33</v>
      </c>
      <c r="M195" s="2"/>
    </row>
    <row r="196" spans="1:13" x14ac:dyDescent="0.3">
      <c r="A196" s="2" t="s">
        <v>354</v>
      </c>
      <c r="B196" s="2" t="s">
        <v>293</v>
      </c>
      <c r="C196" s="2"/>
      <c r="D196" s="2"/>
      <c r="E196" s="2" t="s">
        <v>145</v>
      </c>
      <c r="F196" s="2" t="s">
        <v>357</v>
      </c>
      <c r="G196" s="2"/>
      <c r="H196" s="2" t="s">
        <v>358</v>
      </c>
      <c r="I196" s="2" t="s">
        <v>358</v>
      </c>
      <c r="J196" s="2" t="s">
        <v>18</v>
      </c>
      <c r="K196" s="2"/>
      <c r="L196" s="2" t="s">
        <v>19</v>
      </c>
      <c r="M196" s="2"/>
    </row>
    <row r="197" spans="1:13" ht="27.6" x14ac:dyDescent="0.3">
      <c r="A197" s="2" t="s">
        <v>359</v>
      </c>
      <c r="B197" s="2" t="s">
        <v>360</v>
      </c>
      <c r="C197" s="2"/>
      <c r="D197" s="2"/>
      <c r="E197" s="2" t="s">
        <v>145</v>
      </c>
      <c r="F197" s="2" t="s">
        <v>361</v>
      </c>
      <c r="G197" s="2" t="s">
        <v>10</v>
      </c>
      <c r="H197" s="2"/>
      <c r="I197" s="2" t="s">
        <v>362</v>
      </c>
      <c r="J197" s="2" t="s">
        <v>363</v>
      </c>
      <c r="K197" s="2" t="s">
        <v>32</v>
      </c>
      <c r="L197" s="2" t="s">
        <v>33</v>
      </c>
      <c r="M197" s="2"/>
    </row>
    <row r="198" spans="1:13" ht="27.6" x14ac:dyDescent="0.3">
      <c r="A198" s="2" t="s">
        <v>359</v>
      </c>
      <c r="B198" s="2" t="s">
        <v>360</v>
      </c>
      <c r="C198" s="2"/>
      <c r="D198" s="2"/>
      <c r="E198" s="2" t="s">
        <v>145</v>
      </c>
      <c r="F198" s="2" t="s">
        <v>364</v>
      </c>
      <c r="G198" s="2"/>
      <c r="H198" s="2"/>
      <c r="I198" s="2" t="s">
        <v>365</v>
      </c>
      <c r="J198" s="2" t="s">
        <v>18</v>
      </c>
      <c r="K198" s="2"/>
      <c r="L198" s="2" t="s">
        <v>19</v>
      </c>
      <c r="M198" s="2"/>
    </row>
    <row r="199" spans="1:13" ht="27.6" x14ac:dyDescent="0.3">
      <c r="A199" s="2" t="s">
        <v>359</v>
      </c>
      <c r="B199" s="2" t="s">
        <v>360</v>
      </c>
      <c r="C199" s="2"/>
      <c r="D199" s="2"/>
      <c r="E199" s="2" t="s">
        <v>145</v>
      </c>
      <c r="F199" s="2" t="s">
        <v>366</v>
      </c>
      <c r="G199" s="2"/>
      <c r="H199" s="2"/>
      <c r="I199" s="2" t="s">
        <v>367</v>
      </c>
      <c r="J199" s="2" t="s">
        <v>57</v>
      </c>
      <c r="K199" s="2" t="s">
        <v>32</v>
      </c>
      <c r="L199" s="2" t="s">
        <v>33</v>
      </c>
      <c r="M199" s="2"/>
    </row>
    <row r="200" spans="1:13" ht="27.6" x14ac:dyDescent="0.3">
      <c r="A200" s="2" t="s">
        <v>359</v>
      </c>
      <c r="B200" s="2" t="s">
        <v>360</v>
      </c>
      <c r="C200" s="2"/>
      <c r="D200" s="2"/>
      <c r="E200" s="2" t="s">
        <v>145</v>
      </c>
      <c r="F200" s="2" t="s">
        <v>368</v>
      </c>
      <c r="G200" s="2"/>
      <c r="H200" s="2"/>
      <c r="I200" s="2" t="s">
        <v>369</v>
      </c>
      <c r="J200" s="2" t="s">
        <v>18</v>
      </c>
      <c r="K200" s="2"/>
      <c r="L200" s="2" t="s">
        <v>19</v>
      </c>
      <c r="M200" s="2"/>
    </row>
    <row r="201" spans="1:13" x14ac:dyDescent="0.3">
      <c r="A201" s="2" t="s">
        <v>359</v>
      </c>
      <c r="B201" s="2" t="s">
        <v>360</v>
      </c>
      <c r="C201" s="2"/>
      <c r="D201" s="2"/>
      <c r="E201" s="2" t="s">
        <v>120</v>
      </c>
      <c r="F201" s="2" t="s">
        <v>370</v>
      </c>
      <c r="G201" s="2"/>
      <c r="H201" s="2"/>
      <c r="I201" s="2" t="s">
        <v>371</v>
      </c>
      <c r="J201" s="2" t="s">
        <v>57</v>
      </c>
      <c r="K201" s="2" t="s">
        <v>32</v>
      </c>
      <c r="L201" s="2" t="s">
        <v>33</v>
      </c>
      <c r="M201" s="2"/>
    </row>
    <row r="202" spans="1:13" ht="27.6" x14ac:dyDescent="0.3">
      <c r="A202" s="2" t="s">
        <v>359</v>
      </c>
      <c r="B202" s="2" t="s">
        <v>360</v>
      </c>
      <c r="C202" s="2"/>
      <c r="D202" s="2"/>
      <c r="E202" s="2" t="s">
        <v>120</v>
      </c>
      <c r="F202" s="2" t="s">
        <v>372</v>
      </c>
      <c r="G202" s="2"/>
      <c r="H202" s="2"/>
      <c r="I202" s="2" t="s">
        <v>373</v>
      </c>
      <c r="J202" s="2" t="s">
        <v>18</v>
      </c>
      <c r="K202" s="2"/>
      <c r="L202" s="2" t="s">
        <v>19</v>
      </c>
      <c r="M202" s="2"/>
    </row>
    <row r="203" spans="1:13" x14ac:dyDescent="0.3">
      <c r="A203" s="2" t="s">
        <v>359</v>
      </c>
      <c r="B203" s="2" t="s">
        <v>360</v>
      </c>
      <c r="C203" s="2"/>
      <c r="D203" s="2"/>
      <c r="E203" s="2" t="s">
        <v>120</v>
      </c>
      <c r="F203" s="2" t="s">
        <v>374</v>
      </c>
      <c r="G203" s="2"/>
      <c r="H203" s="2"/>
      <c r="I203" s="2" t="s">
        <v>375</v>
      </c>
      <c r="J203" s="2" t="s">
        <v>57</v>
      </c>
      <c r="K203" s="2" t="s">
        <v>32</v>
      </c>
      <c r="L203" s="2" t="s">
        <v>33</v>
      </c>
      <c r="M203" s="2"/>
    </row>
    <row r="204" spans="1:13" ht="27.6" x14ac:dyDescent="0.3">
      <c r="A204" s="2" t="s">
        <v>359</v>
      </c>
      <c r="B204" s="2" t="s">
        <v>360</v>
      </c>
      <c r="C204" s="2"/>
      <c r="D204" s="2"/>
      <c r="E204" s="2" t="s">
        <v>120</v>
      </c>
      <c r="F204" s="2" t="s">
        <v>376</v>
      </c>
      <c r="G204" s="2"/>
      <c r="H204" s="2"/>
      <c r="I204" s="2" t="s">
        <v>377</v>
      </c>
      <c r="J204" s="2" t="s">
        <v>18</v>
      </c>
      <c r="K204" s="2"/>
      <c r="L204" s="2" t="s">
        <v>19</v>
      </c>
      <c r="M204" s="2"/>
    </row>
    <row r="205" spans="1:13" x14ac:dyDescent="0.3">
      <c r="A205" s="2" t="s">
        <v>359</v>
      </c>
      <c r="B205" s="2" t="s">
        <v>360</v>
      </c>
      <c r="C205" s="2"/>
      <c r="D205" s="2"/>
      <c r="E205" s="2" t="s">
        <v>120</v>
      </c>
      <c r="F205" s="2" t="s">
        <v>378</v>
      </c>
      <c r="G205" s="2"/>
      <c r="H205" s="2"/>
      <c r="I205" s="2" t="s">
        <v>379</v>
      </c>
      <c r="J205" s="2" t="s">
        <v>57</v>
      </c>
      <c r="K205" s="2" t="s">
        <v>32</v>
      </c>
      <c r="L205" s="2" t="s">
        <v>33</v>
      </c>
      <c r="M205" s="2"/>
    </row>
    <row r="206" spans="1:13" x14ac:dyDescent="0.3">
      <c r="A206" s="2" t="s">
        <v>359</v>
      </c>
      <c r="B206" s="2" t="s">
        <v>360</v>
      </c>
      <c r="C206" s="2"/>
      <c r="D206" s="2"/>
      <c r="E206" s="2" t="s">
        <v>120</v>
      </c>
      <c r="F206" s="2" t="s">
        <v>380</v>
      </c>
      <c r="G206" s="2"/>
      <c r="H206" s="2"/>
      <c r="I206" s="2" t="s">
        <v>381</v>
      </c>
      <c r="J206" s="2" t="s">
        <v>18</v>
      </c>
      <c r="K206" s="2"/>
      <c r="L206" s="2" t="s">
        <v>19</v>
      </c>
      <c r="M206" s="2"/>
    </row>
    <row r="207" spans="1:13" ht="27.6" x14ac:dyDescent="0.3">
      <c r="A207" s="2" t="s">
        <v>359</v>
      </c>
      <c r="B207" s="2" t="s">
        <v>360</v>
      </c>
      <c r="C207" s="2"/>
      <c r="D207" s="2"/>
      <c r="E207" s="2"/>
      <c r="F207" s="2" t="s">
        <v>382</v>
      </c>
      <c r="G207" s="2"/>
      <c r="H207" s="2" t="s">
        <v>383</v>
      </c>
      <c r="I207" s="2"/>
      <c r="J207" s="2"/>
      <c r="K207" s="2"/>
      <c r="L207" s="2" t="s">
        <v>19</v>
      </c>
      <c r="M207" s="2" t="s">
        <v>20</v>
      </c>
    </row>
  </sheetData>
  <autoFilter ref="A1:M207" xr:uid="{00000000-0009-0000-0000-000001000000}"/>
  <conditionalFormatting sqref="E2:E207">
    <cfRule type="cellIs" dxfId="13" priority="2" operator="equal">
      <formula>""</formula>
    </cfRule>
  </conditionalFormatting>
  <conditionalFormatting sqref="M2:M207">
    <cfRule type="cellIs" dxfId="12" priority="1" operator="equal">
      <formula>"YES"</formula>
    </cfRule>
  </conditionalFormatting>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539F-D41F-43B5-A258-E162A8647B5C}">
  <sheetPr>
    <tabColor rgb="FF00B050"/>
  </sheetPr>
  <dimension ref="A4:Y137"/>
  <sheetViews>
    <sheetView workbookViewId="0">
      <selection activeCell="F3" sqref="F3"/>
    </sheetView>
  </sheetViews>
  <sheetFormatPr defaultRowHeight="14.4" x14ac:dyDescent="0.3"/>
  <cols>
    <col min="1" max="1" width="15" bestFit="1" customWidth="1"/>
    <col min="2" max="2" width="8" bestFit="1" customWidth="1"/>
    <col min="3" max="3" width="20.5546875" bestFit="1" customWidth="1"/>
    <col min="4" max="4" width="98.44140625" bestFit="1" customWidth="1"/>
    <col min="5" max="7" width="10.5546875" style="110" bestFit="1" customWidth="1"/>
    <col min="8" max="9" width="7.88671875" style="110" bestFit="1" customWidth="1"/>
    <col min="10" max="10" width="13.21875" style="110" bestFit="1" customWidth="1"/>
    <col min="11" max="14" width="7.88671875" style="110" bestFit="1" customWidth="1"/>
    <col min="15" max="15" width="13.21875" style="110" bestFit="1" customWidth="1"/>
    <col min="16" max="16" width="10.5546875" style="110" bestFit="1" customWidth="1"/>
    <col min="17" max="17" width="7.88671875" style="110" bestFit="1" customWidth="1"/>
    <col min="18" max="18" width="13.21875" style="110" bestFit="1" customWidth="1"/>
    <col min="19" max="23" width="7.88671875" style="110" bestFit="1" customWidth="1"/>
    <col min="24" max="24" width="13.21875" style="110" bestFit="1" customWidth="1"/>
    <col min="25" max="25" width="10.5546875" style="110" bestFit="1" customWidth="1"/>
  </cols>
  <sheetData>
    <row r="4" spans="1:25" ht="115.2" x14ac:dyDescent="0.3">
      <c r="A4" s="107" t="s">
        <v>7</v>
      </c>
      <c r="B4" s="107" t="s">
        <v>5939</v>
      </c>
      <c r="C4" s="107" t="s">
        <v>2</v>
      </c>
      <c r="D4" s="107" t="s">
        <v>1</v>
      </c>
      <c r="E4" s="111" t="s">
        <v>5930</v>
      </c>
      <c r="F4" s="111" t="s">
        <v>759</v>
      </c>
      <c r="G4" s="111" t="s">
        <v>5932</v>
      </c>
      <c r="H4" s="111" t="s">
        <v>785</v>
      </c>
      <c r="I4" s="111" t="s">
        <v>5933</v>
      </c>
      <c r="J4" s="111" t="s">
        <v>5934</v>
      </c>
      <c r="K4" s="111" t="s">
        <v>816</v>
      </c>
      <c r="L4" s="111" t="s">
        <v>820</v>
      </c>
      <c r="M4" s="111" t="s">
        <v>487</v>
      </c>
      <c r="N4" s="111" t="s">
        <v>665</v>
      </c>
      <c r="O4" s="111" t="s">
        <v>828</v>
      </c>
      <c r="P4" s="111" t="s">
        <v>864</v>
      </c>
      <c r="Q4" s="111" t="s">
        <v>710</v>
      </c>
      <c r="R4" s="111" t="s">
        <v>868</v>
      </c>
      <c r="S4" s="111" t="s">
        <v>510</v>
      </c>
      <c r="T4" s="111" t="s">
        <v>715</v>
      </c>
      <c r="U4" s="111" t="s">
        <v>5935</v>
      </c>
      <c r="V4" s="111" t="s">
        <v>717</v>
      </c>
      <c r="W4" s="111" t="s">
        <v>719</v>
      </c>
      <c r="X4" s="111" t="s">
        <v>873</v>
      </c>
      <c r="Y4" s="111" t="s">
        <v>876</v>
      </c>
    </row>
    <row r="5" spans="1:25" x14ac:dyDescent="0.3">
      <c r="A5" s="108" t="s">
        <v>15</v>
      </c>
      <c r="B5" s="108">
        <v>1</v>
      </c>
      <c r="C5" s="108" t="s">
        <v>387</v>
      </c>
      <c r="D5" s="108" t="s">
        <v>1632</v>
      </c>
      <c r="E5" s="109" t="s">
        <v>5938</v>
      </c>
      <c r="F5" s="109" t="s">
        <v>5938</v>
      </c>
      <c r="G5" s="109" t="s">
        <v>5938</v>
      </c>
      <c r="H5" s="109" t="s">
        <v>5938</v>
      </c>
      <c r="I5" s="109" t="s">
        <v>5938</v>
      </c>
      <c r="J5" s="109" t="s">
        <v>5938</v>
      </c>
      <c r="K5" s="109" t="s">
        <v>5938</v>
      </c>
      <c r="L5" s="109" t="s">
        <v>5938</v>
      </c>
      <c r="M5" s="109" t="s">
        <v>5938</v>
      </c>
      <c r="N5" s="109" t="s">
        <v>5938</v>
      </c>
      <c r="O5" s="109" t="s">
        <v>5938</v>
      </c>
      <c r="P5" s="109" t="s">
        <v>5938</v>
      </c>
      <c r="Q5" s="109" t="s">
        <v>5938</v>
      </c>
      <c r="R5" s="109" t="s">
        <v>5938</v>
      </c>
      <c r="S5" s="109" t="s">
        <v>5938</v>
      </c>
      <c r="T5" s="109" t="s">
        <v>5938</v>
      </c>
      <c r="U5" s="109" t="s">
        <v>5938</v>
      </c>
      <c r="V5" s="109" t="s">
        <v>5938</v>
      </c>
      <c r="W5" s="109" t="s">
        <v>5938</v>
      </c>
      <c r="X5" s="109" t="s">
        <v>5938</v>
      </c>
      <c r="Y5" s="109" t="s">
        <v>5938</v>
      </c>
    </row>
    <row r="6" spans="1:25" x14ac:dyDescent="0.3">
      <c r="A6" s="108" t="s">
        <v>15</v>
      </c>
      <c r="B6" s="108">
        <v>2</v>
      </c>
      <c r="C6" s="108" t="s">
        <v>124</v>
      </c>
      <c r="D6" s="108" t="s">
        <v>136</v>
      </c>
      <c r="E6" s="109" t="s">
        <v>5938</v>
      </c>
      <c r="F6" s="109" t="s">
        <v>5938</v>
      </c>
      <c r="G6" s="109" t="s">
        <v>5938</v>
      </c>
      <c r="H6" s="109" t="s">
        <v>5938</v>
      </c>
      <c r="I6" s="109" t="s">
        <v>5938</v>
      </c>
      <c r="J6" s="109" t="s">
        <v>5938</v>
      </c>
      <c r="K6" s="109" t="s">
        <v>5938</v>
      </c>
      <c r="L6" s="109" t="s">
        <v>5938</v>
      </c>
      <c r="M6" s="109" t="s">
        <v>5938</v>
      </c>
      <c r="N6" s="109" t="s">
        <v>5938</v>
      </c>
      <c r="O6" s="109" t="s">
        <v>5938</v>
      </c>
      <c r="P6" s="109" t="s">
        <v>5938</v>
      </c>
      <c r="Q6" s="109" t="s">
        <v>5938</v>
      </c>
      <c r="R6" s="109" t="s">
        <v>5938</v>
      </c>
      <c r="S6" s="109" t="s">
        <v>5938</v>
      </c>
      <c r="T6" s="109" t="s">
        <v>5938</v>
      </c>
      <c r="U6" s="109" t="s">
        <v>5938</v>
      </c>
      <c r="V6" s="109" t="s">
        <v>5938</v>
      </c>
      <c r="W6" s="109" t="s">
        <v>5938</v>
      </c>
      <c r="X6" s="109" t="s">
        <v>5938</v>
      </c>
      <c r="Y6" s="109" t="s">
        <v>5938</v>
      </c>
    </row>
    <row r="7" spans="1:25" x14ac:dyDescent="0.3">
      <c r="A7" s="108" t="s">
        <v>15</v>
      </c>
      <c r="B7" s="108">
        <v>3</v>
      </c>
      <c r="C7" s="108" t="s">
        <v>132</v>
      </c>
      <c r="D7" s="108" t="s">
        <v>131</v>
      </c>
      <c r="E7" s="109" t="s">
        <v>5938</v>
      </c>
      <c r="F7" s="109" t="s">
        <v>5938</v>
      </c>
      <c r="G7" s="109" t="s">
        <v>5938</v>
      </c>
      <c r="H7" s="109" t="s">
        <v>5938</v>
      </c>
      <c r="I7" s="109" t="s">
        <v>5938</v>
      </c>
      <c r="J7" s="109" t="s">
        <v>5938</v>
      </c>
      <c r="K7" s="109" t="s">
        <v>5938</v>
      </c>
      <c r="L7" s="109" t="s">
        <v>5938</v>
      </c>
      <c r="M7" s="109" t="s">
        <v>5938</v>
      </c>
      <c r="N7" s="109" t="s">
        <v>5938</v>
      </c>
      <c r="O7" s="109" t="s">
        <v>5938</v>
      </c>
      <c r="P7" s="109" t="s">
        <v>5938</v>
      </c>
      <c r="Q7" s="109" t="s">
        <v>5938</v>
      </c>
      <c r="R7" s="109" t="s">
        <v>5938</v>
      </c>
      <c r="S7" s="109" t="s">
        <v>5938</v>
      </c>
      <c r="T7" s="109" t="s">
        <v>5938</v>
      </c>
      <c r="U7" s="109" t="s">
        <v>5938</v>
      </c>
      <c r="V7" s="109" t="s">
        <v>5938</v>
      </c>
      <c r="W7" s="109" t="s">
        <v>5938</v>
      </c>
      <c r="X7" s="109" t="s">
        <v>5938</v>
      </c>
      <c r="Y7" s="109" t="s">
        <v>5938</v>
      </c>
    </row>
    <row r="8" spans="1:25" x14ac:dyDescent="0.3">
      <c r="A8" s="108" t="s">
        <v>15</v>
      </c>
      <c r="B8" s="108">
        <v>4</v>
      </c>
      <c r="C8" s="108" t="s">
        <v>135</v>
      </c>
      <c r="D8" s="108" t="s">
        <v>134</v>
      </c>
      <c r="E8" s="109" t="s">
        <v>5938</v>
      </c>
      <c r="F8" s="109" t="s">
        <v>5938</v>
      </c>
      <c r="G8" s="109" t="s">
        <v>5938</v>
      </c>
      <c r="H8" s="109" t="s">
        <v>5938</v>
      </c>
      <c r="I8" s="109" t="s">
        <v>5938</v>
      </c>
      <c r="J8" s="109" t="s">
        <v>5938</v>
      </c>
      <c r="K8" s="109" t="s">
        <v>5938</v>
      </c>
      <c r="L8" s="109" t="s">
        <v>5938</v>
      </c>
      <c r="M8" s="109" t="s">
        <v>5938</v>
      </c>
      <c r="N8" s="109" t="s">
        <v>5938</v>
      </c>
      <c r="O8" s="109" t="s">
        <v>5938</v>
      </c>
      <c r="P8" s="109" t="s">
        <v>5938</v>
      </c>
      <c r="Q8" s="109" t="s">
        <v>5938</v>
      </c>
      <c r="R8" s="109" t="s">
        <v>5938</v>
      </c>
      <c r="S8" s="109" t="s">
        <v>5938</v>
      </c>
      <c r="T8" s="109" t="s">
        <v>5938</v>
      </c>
      <c r="U8" s="109" t="s">
        <v>5938</v>
      </c>
      <c r="V8" s="109" t="s">
        <v>5938</v>
      </c>
      <c r="W8" s="109" t="s">
        <v>5938</v>
      </c>
      <c r="X8" s="109" t="s">
        <v>5938</v>
      </c>
      <c r="Y8" s="109" t="s">
        <v>5938</v>
      </c>
    </row>
    <row r="9" spans="1:25" x14ac:dyDescent="0.3">
      <c r="A9" s="108" t="s">
        <v>15</v>
      </c>
      <c r="B9" s="108">
        <v>5</v>
      </c>
      <c r="C9" s="108" t="s">
        <v>356</v>
      </c>
      <c r="D9" s="108" t="s">
        <v>389</v>
      </c>
      <c r="E9" s="109" t="s">
        <v>5938</v>
      </c>
      <c r="F9" s="109" t="s">
        <v>5938</v>
      </c>
      <c r="G9" s="109" t="s">
        <v>5938</v>
      </c>
      <c r="H9" s="109" t="s">
        <v>5938</v>
      </c>
      <c r="I9" s="109" t="s">
        <v>5938</v>
      </c>
      <c r="J9" s="109" t="s">
        <v>5938</v>
      </c>
      <c r="K9" s="109" t="s">
        <v>5938</v>
      </c>
      <c r="L9" s="109" t="s">
        <v>5938</v>
      </c>
      <c r="M9" s="109" t="s">
        <v>5938</v>
      </c>
      <c r="N9" s="109" t="s">
        <v>5938</v>
      </c>
      <c r="O9" s="109" t="s">
        <v>5938</v>
      </c>
      <c r="P9" s="109" t="s">
        <v>5938</v>
      </c>
      <c r="Q9" s="109" t="s">
        <v>5938</v>
      </c>
      <c r="R9" s="109" t="s">
        <v>5938</v>
      </c>
      <c r="S9" s="109" t="s">
        <v>5938</v>
      </c>
      <c r="T9" s="109" t="s">
        <v>5938</v>
      </c>
      <c r="U9" s="109" t="s">
        <v>5938</v>
      </c>
      <c r="V9" s="109" t="s">
        <v>5938</v>
      </c>
      <c r="W9" s="109" t="s">
        <v>5938</v>
      </c>
      <c r="X9" s="109" t="s">
        <v>5938</v>
      </c>
      <c r="Y9" s="109" t="s">
        <v>5938</v>
      </c>
    </row>
    <row r="10" spans="1:25" x14ac:dyDescent="0.3">
      <c r="A10" s="108" t="s">
        <v>15</v>
      </c>
      <c r="B10" s="108">
        <v>6</v>
      </c>
      <c r="C10" s="108" t="s">
        <v>144</v>
      </c>
      <c r="D10" s="108" t="s">
        <v>3431</v>
      </c>
      <c r="E10" s="109" t="s">
        <v>5938</v>
      </c>
      <c r="F10" s="109" t="s">
        <v>5938</v>
      </c>
      <c r="G10" s="109" t="s">
        <v>5938</v>
      </c>
      <c r="H10" s="109" t="s">
        <v>5938</v>
      </c>
      <c r="I10" s="109" t="s">
        <v>5938</v>
      </c>
      <c r="J10" s="109" t="s">
        <v>5938</v>
      </c>
      <c r="K10" s="109" t="s">
        <v>5938</v>
      </c>
      <c r="L10" s="109" t="s">
        <v>5938</v>
      </c>
      <c r="M10" s="109" t="s">
        <v>5938</v>
      </c>
      <c r="N10" s="109" t="s">
        <v>5938</v>
      </c>
      <c r="O10" s="109" t="s">
        <v>5938</v>
      </c>
      <c r="P10" s="109" t="s">
        <v>5938</v>
      </c>
      <c r="Q10" s="109" t="s">
        <v>5938</v>
      </c>
      <c r="R10" s="109" t="s">
        <v>5938</v>
      </c>
      <c r="S10" s="109" t="s">
        <v>5938</v>
      </c>
      <c r="T10" s="109" t="s">
        <v>5938</v>
      </c>
      <c r="U10" s="109" t="s">
        <v>5938</v>
      </c>
      <c r="V10" s="109" t="s">
        <v>5938</v>
      </c>
      <c r="W10" s="109" t="s">
        <v>5938</v>
      </c>
      <c r="X10" s="109" t="s">
        <v>5938</v>
      </c>
      <c r="Y10" s="109" t="s">
        <v>5938</v>
      </c>
    </row>
    <row r="11" spans="1:25" x14ac:dyDescent="0.3">
      <c r="A11" s="108" t="s">
        <v>15</v>
      </c>
      <c r="B11" s="108">
        <v>7</v>
      </c>
      <c r="C11" s="108" t="s">
        <v>141</v>
      </c>
      <c r="D11" s="108" t="s">
        <v>139</v>
      </c>
      <c r="E11" s="109" t="s">
        <v>5938</v>
      </c>
      <c r="F11" s="109" t="s">
        <v>5938</v>
      </c>
      <c r="G11" s="109" t="s">
        <v>5938</v>
      </c>
      <c r="H11" s="109" t="s">
        <v>5938</v>
      </c>
      <c r="I11" s="109" t="s">
        <v>5938</v>
      </c>
      <c r="J11" s="109" t="s">
        <v>5938</v>
      </c>
      <c r="K11" s="109" t="s">
        <v>5938</v>
      </c>
      <c r="L11" s="109" t="s">
        <v>5938</v>
      </c>
      <c r="M11" s="109" t="s">
        <v>5938</v>
      </c>
      <c r="N11" s="109" t="s">
        <v>5938</v>
      </c>
      <c r="O11" s="109" t="s">
        <v>5938</v>
      </c>
      <c r="P11" s="109" t="s">
        <v>5938</v>
      </c>
      <c r="Q11" s="109" t="s">
        <v>5938</v>
      </c>
      <c r="R11" s="109" t="s">
        <v>5938</v>
      </c>
      <c r="S11" s="109" t="s">
        <v>5938</v>
      </c>
      <c r="T11" s="109" t="s">
        <v>5938</v>
      </c>
      <c r="U11" s="109" t="s">
        <v>5938</v>
      </c>
      <c r="V11" s="109" t="s">
        <v>5938</v>
      </c>
      <c r="W11" s="109" t="s">
        <v>5938</v>
      </c>
      <c r="X11" s="109" t="s">
        <v>5938</v>
      </c>
      <c r="Y11" s="109" t="s">
        <v>5938</v>
      </c>
    </row>
    <row r="12" spans="1:25" x14ac:dyDescent="0.3">
      <c r="A12" s="108" t="s">
        <v>15</v>
      </c>
      <c r="B12" s="108">
        <v>9</v>
      </c>
      <c r="C12" s="108" t="s">
        <v>393</v>
      </c>
      <c r="D12" s="108" t="s">
        <v>392</v>
      </c>
      <c r="E12" s="109" t="s">
        <v>5938</v>
      </c>
      <c r="F12" s="109" t="s">
        <v>5938</v>
      </c>
      <c r="G12" s="109" t="s">
        <v>5938</v>
      </c>
      <c r="H12" s="109" t="s">
        <v>5938</v>
      </c>
      <c r="I12" s="109" t="s">
        <v>5938</v>
      </c>
      <c r="J12" s="109" t="s">
        <v>5938</v>
      </c>
      <c r="K12" s="109" t="s">
        <v>5938</v>
      </c>
      <c r="L12" s="109" t="s">
        <v>5938</v>
      </c>
      <c r="M12" s="109" t="s">
        <v>5938</v>
      </c>
      <c r="N12" s="109" t="s">
        <v>5938</v>
      </c>
      <c r="O12" s="109" t="s">
        <v>5938</v>
      </c>
      <c r="P12" s="109" t="s">
        <v>5938</v>
      </c>
      <c r="Q12" s="109" t="s">
        <v>5938</v>
      </c>
      <c r="R12" s="109" t="s">
        <v>5938</v>
      </c>
      <c r="S12" s="109" t="s">
        <v>5938</v>
      </c>
      <c r="T12" s="109" t="s">
        <v>5938</v>
      </c>
      <c r="U12" s="109" t="s">
        <v>5938</v>
      </c>
      <c r="V12" s="109" t="s">
        <v>5938</v>
      </c>
      <c r="W12" s="109" t="s">
        <v>5938</v>
      </c>
      <c r="X12" s="109" t="s">
        <v>5938</v>
      </c>
      <c r="Y12" s="109" t="s">
        <v>5938</v>
      </c>
    </row>
    <row r="13" spans="1:25" x14ac:dyDescent="0.3">
      <c r="A13" s="108" t="s">
        <v>15</v>
      </c>
      <c r="B13" s="108">
        <v>10</v>
      </c>
      <c r="C13" s="108" t="s">
        <v>395</v>
      </c>
      <c r="D13" s="108" t="s">
        <v>394</v>
      </c>
      <c r="E13" s="109" t="s">
        <v>5938</v>
      </c>
      <c r="F13" s="109" t="s">
        <v>5938</v>
      </c>
      <c r="G13" s="109" t="s">
        <v>5938</v>
      </c>
      <c r="H13" s="109" t="s">
        <v>5938</v>
      </c>
      <c r="I13" s="109" t="s">
        <v>5938</v>
      </c>
      <c r="J13" s="109" t="s">
        <v>5938</v>
      </c>
      <c r="K13" s="109" t="s">
        <v>5938</v>
      </c>
      <c r="L13" s="109" t="s">
        <v>5938</v>
      </c>
      <c r="M13" s="109" t="s">
        <v>5938</v>
      </c>
      <c r="N13" s="109" t="s">
        <v>5938</v>
      </c>
      <c r="O13" s="109" t="s">
        <v>5938</v>
      </c>
      <c r="P13" s="109" t="s">
        <v>5938</v>
      </c>
      <c r="Q13" s="109" t="s">
        <v>5938</v>
      </c>
      <c r="R13" s="109" t="s">
        <v>5938</v>
      </c>
      <c r="S13" s="109" t="s">
        <v>5938</v>
      </c>
      <c r="T13" s="109" t="s">
        <v>5938</v>
      </c>
      <c r="U13" s="109" t="s">
        <v>5938</v>
      </c>
      <c r="V13" s="109" t="s">
        <v>5938</v>
      </c>
      <c r="W13" s="109" t="s">
        <v>5938</v>
      </c>
      <c r="X13" s="109" t="s">
        <v>5938</v>
      </c>
      <c r="Y13" s="109" t="s">
        <v>5938</v>
      </c>
    </row>
    <row r="14" spans="1:25" x14ac:dyDescent="0.3">
      <c r="A14" s="108" t="s">
        <v>15</v>
      </c>
      <c r="B14" s="108">
        <v>11</v>
      </c>
      <c r="C14" s="108" t="s">
        <v>398</v>
      </c>
      <c r="D14" s="108" t="s">
        <v>396</v>
      </c>
      <c r="E14" s="109" t="s">
        <v>5938</v>
      </c>
      <c r="F14" s="109" t="s">
        <v>5938</v>
      </c>
      <c r="G14" s="109" t="s">
        <v>5938</v>
      </c>
      <c r="H14" s="109" t="s">
        <v>5938</v>
      </c>
      <c r="I14" s="109" t="s">
        <v>5938</v>
      </c>
      <c r="J14" s="109" t="s">
        <v>5938</v>
      </c>
      <c r="K14" s="109" t="s">
        <v>5938</v>
      </c>
      <c r="L14" s="109" t="s">
        <v>5938</v>
      </c>
      <c r="M14" s="109" t="s">
        <v>5938</v>
      </c>
      <c r="N14" s="109" t="s">
        <v>5938</v>
      </c>
      <c r="O14" s="109" t="s">
        <v>5938</v>
      </c>
      <c r="P14" s="109" t="s">
        <v>5938</v>
      </c>
      <c r="Q14" s="109" t="s">
        <v>5938</v>
      </c>
      <c r="R14" s="109" t="s">
        <v>5938</v>
      </c>
      <c r="S14" s="109" t="s">
        <v>5938</v>
      </c>
      <c r="T14" s="109" t="s">
        <v>5938</v>
      </c>
      <c r="U14" s="109" t="s">
        <v>5938</v>
      </c>
      <c r="V14" s="109" t="s">
        <v>5938</v>
      </c>
      <c r="W14" s="109" t="s">
        <v>5938</v>
      </c>
      <c r="X14" s="109" t="s">
        <v>5938</v>
      </c>
      <c r="Y14" s="109" t="s">
        <v>5938</v>
      </c>
    </row>
    <row r="15" spans="1:25" x14ac:dyDescent="0.3">
      <c r="A15" s="108" t="s">
        <v>15</v>
      </c>
      <c r="B15" s="108">
        <v>12</v>
      </c>
      <c r="C15" s="108" t="s">
        <v>281</v>
      </c>
      <c r="D15" s="108" t="s">
        <v>399</v>
      </c>
      <c r="E15" s="109" t="s">
        <v>5938</v>
      </c>
      <c r="F15" s="109" t="s">
        <v>5938</v>
      </c>
      <c r="G15" s="109" t="s">
        <v>5938</v>
      </c>
      <c r="H15" s="109" t="s">
        <v>5938</v>
      </c>
      <c r="I15" s="109" t="s">
        <v>5938</v>
      </c>
      <c r="J15" s="109" t="s">
        <v>5938</v>
      </c>
      <c r="K15" s="109" t="s">
        <v>5938</v>
      </c>
      <c r="L15" s="109" t="s">
        <v>5938</v>
      </c>
      <c r="M15" s="109" t="s">
        <v>5938</v>
      </c>
      <c r="N15" s="109" t="s">
        <v>5938</v>
      </c>
      <c r="O15" s="109" t="s">
        <v>5938</v>
      </c>
      <c r="P15" s="109" t="s">
        <v>5938</v>
      </c>
      <c r="Q15" s="109" t="s">
        <v>5938</v>
      </c>
      <c r="R15" s="109" t="s">
        <v>5938</v>
      </c>
      <c r="S15" s="109" t="s">
        <v>5938</v>
      </c>
      <c r="T15" s="109" t="s">
        <v>5938</v>
      </c>
      <c r="U15" s="109" t="s">
        <v>5938</v>
      </c>
      <c r="V15" s="109" t="s">
        <v>5938</v>
      </c>
      <c r="W15" s="109" t="s">
        <v>5938</v>
      </c>
      <c r="X15" s="109" t="s">
        <v>5938</v>
      </c>
      <c r="Y15" s="109" t="s">
        <v>5938</v>
      </c>
    </row>
    <row r="16" spans="1:25" x14ac:dyDescent="0.3">
      <c r="A16" s="108" t="s">
        <v>15</v>
      </c>
      <c r="B16" s="108">
        <v>13</v>
      </c>
      <c r="C16" s="108" t="s">
        <v>286</v>
      </c>
      <c r="D16" s="108" t="s">
        <v>3455</v>
      </c>
      <c r="E16" s="109" t="s">
        <v>5938</v>
      </c>
      <c r="F16" s="109" t="s">
        <v>5938</v>
      </c>
      <c r="G16" s="109" t="s">
        <v>5938</v>
      </c>
      <c r="H16" s="109" t="s">
        <v>5938</v>
      </c>
      <c r="I16" s="109" t="s">
        <v>5938</v>
      </c>
      <c r="J16" s="109" t="s">
        <v>5938</v>
      </c>
      <c r="K16" s="109" t="s">
        <v>5938</v>
      </c>
      <c r="L16" s="109" t="s">
        <v>5938</v>
      </c>
      <c r="M16" s="109" t="s">
        <v>5938</v>
      </c>
      <c r="N16" s="109" t="s">
        <v>5938</v>
      </c>
      <c r="O16" s="109" t="s">
        <v>5938</v>
      </c>
      <c r="P16" s="109" t="s">
        <v>5938</v>
      </c>
      <c r="Q16" s="109" t="s">
        <v>5938</v>
      </c>
      <c r="R16" s="109" t="s">
        <v>5938</v>
      </c>
      <c r="S16" s="109" t="s">
        <v>5938</v>
      </c>
      <c r="T16" s="109" t="s">
        <v>5938</v>
      </c>
      <c r="U16" s="109" t="s">
        <v>5938</v>
      </c>
      <c r="V16" s="109" t="s">
        <v>5938</v>
      </c>
      <c r="W16" s="109" t="s">
        <v>5938</v>
      </c>
      <c r="X16" s="109" t="s">
        <v>5938</v>
      </c>
      <c r="Y16" s="109" t="s">
        <v>5938</v>
      </c>
    </row>
    <row r="17" spans="1:25" x14ac:dyDescent="0.3">
      <c r="A17" s="108" t="s">
        <v>15</v>
      </c>
      <c r="B17" s="108">
        <v>14</v>
      </c>
      <c r="C17" s="108" t="s">
        <v>403</v>
      </c>
      <c r="D17" s="108" t="s">
        <v>223</v>
      </c>
      <c r="E17" s="109" t="s">
        <v>5938</v>
      </c>
      <c r="F17" s="109" t="s">
        <v>5938</v>
      </c>
      <c r="G17" s="109" t="s">
        <v>5938</v>
      </c>
      <c r="H17" s="109" t="s">
        <v>5938</v>
      </c>
      <c r="I17" s="109" t="s">
        <v>5938</v>
      </c>
      <c r="J17" s="109" t="s">
        <v>5938</v>
      </c>
      <c r="K17" s="109" t="s">
        <v>5938</v>
      </c>
      <c r="L17" s="109" t="s">
        <v>5938</v>
      </c>
      <c r="M17" s="109" t="s">
        <v>5938</v>
      </c>
      <c r="N17" s="109" t="s">
        <v>5938</v>
      </c>
      <c r="O17" s="109" t="s">
        <v>5938</v>
      </c>
      <c r="P17" s="109" t="s">
        <v>5938</v>
      </c>
      <c r="Q17" s="109" t="s">
        <v>5938</v>
      </c>
      <c r="R17" s="109" t="s">
        <v>5938</v>
      </c>
      <c r="S17" s="109" t="s">
        <v>5938</v>
      </c>
      <c r="T17" s="109" t="s">
        <v>5938</v>
      </c>
      <c r="U17" s="109" t="s">
        <v>5938</v>
      </c>
      <c r="V17" s="109" t="s">
        <v>5938</v>
      </c>
      <c r="W17" s="109" t="s">
        <v>5938</v>
      </c>
      <c r="X17" s="109" t="s">
        <v>5938</v>
      </c>
      <c r="Y17" s="109" t="s">
        <v>5938</v>
      </c>
    </row>
    <row r="18" spans="1:25" x14ac:dyDescent="0.3">
      <c r="A18" s="108" t="s">
        <v>15</v>
      </c>
      <c r="B18" s="108">
        <v>15</v>
      </c>
      <c r="C18" s="108" t="s">
        <v>406</v>
      </c>
      <c r="D18" s="108" t="s">
        <v>404</v>
      </c>
      <c r="E18" s="109" t="s">
        <v>5938</v>
      </c>
      <c r="F18" s="109" t="s">
        <v>5938</v>
      </c>
      <c r="G18" s="109" t="s">
        <v>5938</v>
      </c>
      <c r="H18" s="109" t="s">
        <v>5938</v>
      </c>
      <c r="I18" s="109" t="s">
        <v>5938</v>
      </c>
      <c r="J18" s="109" t="s">
        <v>5938</v>
      </c>
      <c r="K18" s="109" t="s">
        <v>5938</v>
      </c>
      <c r="L18" s="109" t="s">
        <v>5938</v>
      </c>
      <c r="M18" s="109" t="s">
        <v>5938</v>
      </c>
      <c r="N18" s="109" t="s">
        <v>5938</v>
      </c>
      <c r="O18" s="109" t="s">
        <v>5938</v>
      </c>
      <c r="P18" s="109" t="s">
        <v>5938</v>
      </c>
      <c r="Q18" s="109" t="s">
        <v>5938</v>
      </c>
      <c r="R18" s="109" t="s">
        <v>5938</v>
      </c>
      <c r="S18" s="109" t="s">
        <v>5938</v>
      </c>
      <c r="T18" s="109" t="s">
        <v>5938</v>
      </c>
      <c r="U18" s="109" t="s">
        <v>5938</v>
      </c>
      <c r="V18" s="109" t="s">
        <v>5938</v>
      </c>
      <c r="W18" s="109" t="s">
        <v>5938</v>
      </c>
      <c r="X18" s="109" t="s">
        <v>5938</v>
      </c>
      <c r="Y18" s="109" t="s">
        <v>5938</v>
      </c>
    </row>
    <row r="19" spans="1:25" x14ac:dyDescent="0.3">
      <c r="A19" s="108" t="s">
        <v>15</v>
      </c>
      <c r="B19" s="108">
        <v>16</v>
      </c>
      <c r="C19" s="108" t="s">
        <v>409</v>
      </c>
      <c r="D19" s="108" t="s">
        <v>407</v>
      </c>
      <c r="E19" s="109" t="s">
        <v>5938</v>
      </c>
      <c r="F19" s="109" t="s">
        <v>5938</v>
      </c>
      <c r="G19" s="109" t="s">
        <v>5938</v>
      </c>
      <c r="H19" s="109" t="s">
        <v>5938</v>
      </c>
      <c r="I19" s="109" t="s">
        <v>5938</v>
      </c>
      <c r="J19" s="109" t="s">
        <v>5938</v>
      </c>
      <c r="K19" s="109" t="s">
        <v>5938</v>
      </c>
      <c r="L19" s="109" t="s">
        <v>5938</v>
      </c>
      <c r="M19" s="109" t="s">
        <v>5938</v>
      </c>
      <c r="N19" s="109" t="s">
        <v>5938</v>
      </c>
      <c r="O19" s="109" t="s">
        <v>5938</v>
      </c>
      <c r="P19" s="109" t="s">
        <v>5938</v>
      </c>
      <c r="Q19" s="109" t="s">
        <v>5938</v>
      </c>
      <c r="R19" s="109" t="s">
        <v>5938</v>
      </c>
      <c r="S19" s="109" t="s">
        <v>5938</v>
      </c>
      <c r="T19" s="109" t="s">
        <v>5938</v>
      </c>
      <c r="U19" s="109" t="s">
        <v>5938</v>
      </c>
      <c r="V19" s="109" t="s">
        <v>5938</v>
      </c>
      <c r="W19" s="109" t="s">
        <v>5938</v>
      </c>
      <c r="X19" s="109" t="s">
        <v>5938</v>
      </c>
      <c r="Y19" s="109" t="s">
        <v>5938</v>
      </c>
    </row>
    <row r="20" spans="1:25" x14ac:dyDescent="0.3">
      <c r="A20" s="108" t="s">
        <v>15</v>
      </c>
      <c r="B20" s="108">
        <v>17</v>
      </c>
      <c r="C20" s="108" t="s">
        <v>412</v>
      </c>
      <c r="D20" s="108" t="s">
        <v>410</v>
      </c>
      <c r="E20" s="109" t="s">
        <v>5938</v>
      </c>
      <c r="F20" s="109" t="s">
        <v>5938</v>
      </c>
      <c r="G20" s="109" t="s">
        <v>5938</v>
      </c>
      <c r="H20" s="109" t="s">
        <v>5938</v>
      </c>
      <c r="I20" s="109" t="s">
        <v>5938</v>
      </c>
      <c r="J20" s="109" t="s">
        <v>5938</v>
      </c>
      <c r="K20" s="109" t="s">
        <v>5938</v>
      </c>
      <c r="L20" s="109" t="s">
        <v>5938</v>
      </c>
      <c r="M20" s="109" t="s">
        <v>5938</v>
      </c>
      <c r="N20" s="109" t="s">
        <v>5938</v>
      </c>
      <c r="O20" s="109" t="s">
        <v>5938</v>
      </c>
      <c r="P20" s="109" t="s">
        <v>5938</v>
      </c>
      <c r="Q20" s="109" t="s">
        <v>5938</v>
      </c>
      <c r="R20" s="109" t="s">
        <v>5938</v>
      </c>
      <c r="S20" s="109" t="s">
        <v>5938</v>
      </c>
      <c r="T20" s="109" t="s">
        <v>5938</v>
      </c>
      <c r="U20" s="109" t="s">
        <v>5938</v>
      </c>
      <c r="V20" s="109" t="s">
        <v>5938</v>
      </c>
      <c r="W20" s="109" t="s">
        <v>5938</v>
      </c>
      <c r="X20" s="109" t="s">
        <v>5938</v>
      </c>
      <c r="Y20" s="109" t="s">
        <v>5938</v>
      </c>
    </row>
    <row r="21" spans="1:25" x14ac:dyDescent="0.3">
      <c r="A21" s="108" t="s">
        <v>15</v>
      </c>
      <c r="B21" s="108">
        <v>18</v>
      </c>
      <c r="C21" s="108" t="s">
        <v>415</v>
      </c>
      <c r="D21" s="108" t="s">
        <v>413</v>
      </c>
      <c r="E21" s="109" t="s">
        <v>5938</v>
      </c>
      <c r="F21" s="109" t="s">
        <v>5938</v>
      </c>
      <c r="G21" s="109" t="s">
        <v>5938</v>
      </c>
      <c r="H21" s="109" t="s">
        <v>5938</v>
      </c>
      <c r="I21" s="109" t="s">
        <v>5938</v>
      </c>
      <c r="J21" s="109" t="s">
        <v>5938</v>
      </c>
      <c r="K21" s="109" t="s">
        <v>5938</v>
      </c>
      <c r="L21" s="109" t="s">
        <v>5938</v>
      </c>
      <c r="M21" s="109" t="s">
        <v>5938</v>
      </c>
      <c r="N21" s="109" t="s">
        <v>5938</v>
      </c>
      <c r="O21" s="109" t="s">
        <v>5938</v>
      </c>
      <c r="P21" s="109" t="s">
        <v>5938</v>
      </c>
      <c r="Q21" s="109" t="s">
        <v>5938</v>
      </c>
      <c r="R21" s="109" t="s">
        <v>5938</v>
      </c>
      <c r="S21" s="109" t="s">
        <v>5938</v>
      </c>
      <c r="T21" s="109" t="s">
        <v>5938</v>
      </c>
      <c r="U21" s="109" t="s">
        <v>5938</v>
      </c>
      <c r="V21" s="109" t="s">
        <v>5938</v>
      </c>
      <c r="W21" s="109" t="s">
        <v>5938</v>
      </c>
      <c r="X21" s="109" t="s">
        <v>5938</v>
      </c>
      <c r="Y21" s="109" t="s">
        <v>5938</v>
      </c>
    </row>
    <row r="22" spans="1:25" x14ac:dyDescent="0.3">
      <c r="A22" s="108" t="s">
        <v>15</v>
      </c>
      <c r="B22" s="108">
        <v>19</v>
      </c>
      <c r="C22" s="108" t="s">
        <v>418</v>
      </c>
      <c r="D22" s="108" t="s">
        <v>416</v>
      </c>
      <c r="E22" s="109" t="s">
        <v>5938</v>
      </c>
      <c r="F22" s="109" t="s">
        <v>5938</v>
      </c>
      <c r="G22" s="109" t="s">
        <v>5938</v>
      </c>
      <c r="H22" s="109" t="s">
        <v>5938</v>
      </c>
      <c r="I22" s="109" t="s">
        <v>5938</v>
      </c>
      <c r="J22" s="109" t="s">
        <v>5938</v>
      </c>
      <c r="K22" s="109" t="s">
        <v>5938</v>
      </c>
      <c r="L22" s="109" t="s">
        <v>5938</v>
      </c>
      <c r="M22" s="109" t="s">
        <v>5938</v>
      </c>
      <c r="N22" s="109" t="s">
        <v>5938</v>
      </c>
      <c r="O22" s="109" t="s">
        <v>5938</v>
      </c>
      <c r="P22" s="109" t="s">
        <v>5938</v>
      </c>
      <c r="Q22" s="109" t="s">
        <v>5938</v>
      </c>
      <c r="R22" s="109" t="s">
        <v>5938</v>
      </c>
      <c r="S22" s="109" t="s">
        <v>5938</v>
      </c>
      <c r="T22" s="109" t="s">
        <v>5938</v>
      </c>
      <c r="U22" s="109" t="s">
        <v>5938</v>
      </c>
      <c r="V22" s="109" t="s">
        <v>5938</v>
      </c>
      <c r="W22" s="109" t="s">
        <v>5938</v>
      </c>
      <c r="X22" s="109" t="s">
        <v>5938</v>
      </c>
      <c r="Y22" s="109" t="s">
        <v>5938</v>
      </c>
    </row>
    <row r="23" spans="1:25" x14ac:dyDescent="0.3">
      <c r="A23" s="108" t="s">
        <v>15</v>
      </c>
      <c r="B23" s="108">
        <v>20</v>
      </c>
      <c r="C23" s="108" t="s">
        <v>421</v>
      </c>
      <c r="D23" s="108" t="s">
        <v>419</v>
      </c>
      <c r="E23" s="109" t="s">
        <v>5938</v>
      </c>
      <c r="F23" s="109" t="s">
        <v>5938</v>
      </c>
      <c r="G23" s="109" t="s">
        <v>5938</v>
      </c>
      <c r="H23" s="109" t="s">
        <v>5938</v>
      </c>
      <c r="I23" s="109" t="s">
        <v>5938</v>
      </c>
      <c r="J23" s="109" t="s">
        <v>5938</v>
      </c>
      <c r="K23" s="109" t="s">
        <v>5938</v>
      </c>
      <c r="L23" s="109" t="s">
        <v>5938</v>
      </c>
      <c r="M23" s="109" t="s">
        <v>5938</v>
      </c>
      <c r="N23" s="109" t="s">
        <v>5938</v>
      </c>
      <c r="O23" s="109" t="s">
        <v>5938</v>
      </c>
      <c r="P23" s="109" t="s">
        <v>5938</v>
      </c>
      <c r="Q23" s="109" t="s">
        <v>5938</v>
      </c>
      <c r="R23" s="109" t="s">
        <v>5938</v>
      </c>
      <c r="S23" s="109" t="s">
        <v>5938</v>
      </c>
      <c r="T23" s="109" t="s">
        <v>5938</v>
      </c>
      <c r="U23" s="109" t="s">
        <v>5938</v>
      </c>
      <c r="V23" s="109" t="s">
        <v>5938</v>
      </c>
      <c r="W23" s="109" t="s">
        <v>5938</v>
      </c>
      <c r="X23" s="109" t="s">
        <v>5938</v>
      </c>
      <c r="Y23" s="109" t="s">
        <v>5938</v>
      </c>
    </row>
    <row r="24" spans="1:25" x14ac:dyDescent="0.3">
      <c r="A24" s="108" t="s">
        <v>15</v>
      </c>
      <c r="B24" s="108">
        <v>21</v>
      </c>
      <c r="C24" s="108" t="s">
        <v>424</v>
      </c>
      <c r="D24" s="108" t="s">
        <v>422</v>
      </c>
      <c r="E24" s="109" t="s">
        <v>5938</v>
      </c>
      <c r="F24" s="109" t="s">
        <v>5938</v>
      </c>
      <c r="G24" s="109" t="s">
        <v>5938</v>
      </c>
      <c r="H24" s="109" t="s">
        <v>5938</v>
      </c>
      <c r="I24" s="109" t="s">
        <v>5938</v>
      </c>
      <c r="J24" s="109" t="s">
        <v>5938</v>
      </c>
      <c r="K24" s="109" t="s">
        <v>5938</v>
      </c>
      <c r="L24" s="109" t="s">
        <v>5938</v>
      </c>
      <c r="M24" s="109" t="s">
        <v>5938</v>
      </c>
      <c r="N24" s="109" t="s">
        <v>5938</v>
      </c>
      <c r="O24" s="109" t="s">
        <v>5938</v>
      </c>
      <c r="P24" s="109" t="s">
        <v>5938</v>
      </c>
      <c r="Q24" s="109" t="s">
        <v>5938</v>
      </c>
      <c r="R24" s="109" t="s">
        <v>5938</v>
      </c>
      <c r="S24" s="109" t="s">
        <v>5938</v>
      </c>
      <c r="T24" s="109" t="s">
        <v>5938</v>
      </c>
      <c r="U24" s="109" t="s">
        <v>5938</v>
      </c>
      <c r="V24" s="109" t="s">
        <v>5938</v>
      </c>
      <c r="W24" s="109" t="s">
        <v>5938</v>
      </c>
      <c r="X24" s="109" t="s">
        <v>5938</v>
      </c>
      <c r="Y24" s="109" t="s">
        <v>5938</v>
      </c>
    </row>
    <row r="25" spans="1:25" x14ac:dyDescent="0.3">
      <c r="A25" s="108" t="s">
        <v>15</v>
      </c>
      <c r="B25" s="108">
        <v>22</v>
      </c>
      <c r="C25" s="108" t="s">
        <v>427</v>
      </c>
      <c r="D25" s="108" t="s">
        <v>425</v>
      </c>
      <c r="E25" s="109" t="s">
        <v>5938</v>
      </c>
      <c r="F25" s="109" t="s">
        <v>5938</v>
      </c>
      <c r="G25" s="109" t="s">
        <v>5938</v>
      </c>
      <c r="H25" s="109" t="s">
        <v>5938</v>
      </c>
      <c r="I25" s="109" t="s">
        <v>5938</v>
      </c>
      <c r="J25" s="109" t="s">
        <v>5938</v>
      </c>
      <c r="K25" s="109" t="s">
        <v>5938</v>
      </c>
      <c r="L25" s="109" t="s">
        <v>5938</v>
      </c>
      <c r="M25" s="109" t="s">
        <v>5938</v>
      </c>
      <c r="N25" s="109" t="s">
        <v>5938</v>
      </c>
      <c r="O25" s="109" t="s">
        <v>5938</v>
      </c>
      <c r="P25" s="109" t="s">
        <v>5938</v>
      </c>
      <c r="Q25" s="109" t="s">
        <v>5938</v>
      </c>
      <c r="R25" s="109" t="s">
        <v>5938</v>
      </c>
      <c r="S25" s="109" t="s">
        <v>5938</v>
      </c>
      <c r="T25" s="109" t="s">
        <v>5938</v>
      </c>
      <c r="U25" s="109" t="s">
        <v>5938</v>
      </c>
      <c r="V25" s="109" t="s">
        <v>5938</v>
      </c>
      <c r="W25" s="109" t="s">
        <v>5938</v>
      </c>
      <c r="X25" s="109" t="s">
        <v>5938</v>
      </c>
      <c r="Y25" s="109" t="s">
        <v>5938</v>
      </c>
    </row>
    <row r="26" spans="1:25" x14ac:dyDescent="0.3">
      <c r="A26" s="108" t="s">
        <v>15</v>
      </c>
      <c r="B26" s="108">
        <v>23</v>
      </c>
      <c r="C26" s="108" t="s">
        <v>430</v>
      </c>
      <c r="D26" s="108" t="s">
        <v>428</v>
      </c>
      <c r="E26" s="109" t="s">
        <v>497</v>
      </c>
      <c r="F26" s="109" t="s">
        <v>497</v>
      </c>
      <c r="G26" s="109" t="s">
        <v>497</v>
      </c>
      <c r="H26" s="109" t="s">
        <v>5931</v>
      </c>
      <c r="I26" s="109" t="s">
        <v>5938</v>
      </c>
      <c r="J26" s="109" t="s">
        <v>5938</v>
      </c>
      <c r="K26" s="109" t="s">
        <v>5938</v>
      </c>
      <c r="L26" s="109" t="s">
        <v>5938</v>
      </c>
      <c r="M26" s="109" t="s">
        <v>5938</v>
      </c>
      <c r="N26" s="109" t="s">
        <v>5938</v>
      </c>
      <c r="O26" s="109" t="s">
        <v>5938</v>
      </c>
      <c r="P26" s="109" t="s">
        <v>5938</v>
      </c>
      <c r="Q26" s="109" t="s">
        <v>5938</v>
      </c>
      <c r="R26" s="109" t="s">
        <v>5938</v>
      </c>
      <c r="S26" s="109" t="s">
        <v>5938</v>
      </c>
      <c r="T26" s="109" t="s">
        <v>5938</v>
      </c>
      <c r="U26" s="109" t="s">
        <v>5938</v>
      </c>
      <c r="V26" s="109" t="s">
        <v>5938</v>
      </c>
      <c r="W26" s="109" t="s">
        <v>5938</v>
      </c>
      <c r="X26" s="109" t="s">
        <v>5938</v>
      </c>
      <c r="Y26" s="109" t="s">
        <v>5938</v>
      </c>
    </row>
    <row r="27" spans="1:25" x14ac:dyDescent="0.3">
      <c r="A27" s="108" t="s">
        <v>15</v>
      </c>
      <c r="B27" s="108">
        <v>24</v>
      </c>
      <c r="C27" s="108" t="s">
        <v>432</v>
      </c>
      <c r="D27" s="108" t="s">
        <v>431</v>
      </c>
      <c r="E27" s="109" t="s">
        <v>5938</v>
      </c>
      <c r="F27" s="109" t="s">
        <v>5938</v>
      </c>
      <c r="G27" s="109" t="s">
        <v>5938</v>
      </c>
      <c r="H27" s="109" t="s">
        <v>5938</v>
      </c>
      <c r="I27" s="109" t="s">
        <v>5938</v>
      </c>
      <c r="J27" s="109" t="s">
        <v>5938</v>
      </c>
      <c r="K27" s="109" t="s">
        <v>5938</v>
      </c>
      <c r="L27" s="109" t="s">
        <v>5938</v>
      </c>
      <c r="M27" s="109" t="s">
        <v>5938</v>
      </c>
      <c r="N27" s="109" t="s">
        <v>5938</v>
      </c>
      <c r="O27" s="109" t="s">
        <v>5938</v>
      </c>
      <c r="P27" s="109" t="s">
        <v>5938</v>
      </c>
      <c r="Q27" s="109" t="s">
        <v>5938</v>
      </c>
      <c r="R27" s="109" t="s">
        <v>5938</v>
      </c>
      <c r="S27" s="109" t="s">
        <v>5938</v>
      </c>
      <c r="T27" s="109" t="s">
        <v>5938</v>
      </c>
      <c r="U27" s="109" t="s">
        <v>5938</v>
      </c>
      <c r="V27" s="109" t="s">
        <v>5938</v>
      </c>
      <c r="W27" s="109" t="s">
        <v>5938</v>
      </c>
      <c r="X27" s="109" t="s">
        <v>5938</v>
      </c>
      <c r="Y27" s="109" t="s">
        <v>5938</v>
      </c>
    </row>
    <row r="28" spans="1:25" x14ac:dyDescent="0.3">
      <c r="A28" s="108" t="s">
        <v>15</v>
      </c>
      <c r="B28" s="108">
        <v>25</v>
      </c>
      <c r="C28" s="108" t="s">
        <v>434</v>
      </c>
      <c r="D28" s="108" t="s">
        <v>433</v>
      </c>
      <c r="E28" s="109" t="s">
        <v>5938</v>
      </c>
      <c r="F28" s="109" t="s">
        <v>5938</v>
      </c>
      <c r="G28" s="109" t="s">
        <v>5938</v>
      </c>
      <c r="H28" s="109" t="s">
        <v>5938</v>
      </c>
      <c r="I28" s="109" t="s">
        <v>5938</v>
      </c>
      <c r="J28" s="109" t="s">
        <v>5938</v>
      </c>
      <c r="K28" s="109" t="s">
        <v>5938</v>
      </c>
      <c r="L28" s="109" t="s">
        <v>5938</v>
      </c>
      <c r="M28" s="109" t="s">
        <v>5938</v>
      </c>
      <c r="N28" s="109" t="s">
        <v>5938</v>
      </c>
      <c r="O28" s="109" t="s">
        <v>5938</v>
      </c>
      <c r="P28" s="109" t="s">
        <v>5938</v>
      </c>
      <c r="Q28" s="109" t="s">
        <v>5938</v>
      </c>
      <c r="R28" s="109" t="s">
        <v>5938</v>
      </c>
      <c r="S28" s="109" t="s">
        <v>5938</v>
      </c>
      <c r="T28" s="109" t="s">
        <v>5938</v>
      </c>
      <c r="U28" s="109" t="s">
        <v>5938</v>
      </c>
      <c r="V28" s="109" t="s">
        <v>5938</v>
      </c>
      <c r="W28" s="109" t="s">
        <v>5938</v>
      </c>
      <c r="X28" s="109" t="s">
        <v>5938</v>
      </c>
      <c r="Y28" s="109" t="s">
        <v>5938</v>
      </c>
    </row>
    <row r="29" spans="1:25" x14ac:dyDescent="0.3">
      <c r="A29" s="108" t="s">
        <v>15</v>
      </c>
      <c r="B29" s="108">
        <v>26</v>
      </c>
      <c r="C29" s="108" t="s">
        <v>436</v>
      </c>
      <c r="D29" s="108" t="s">
        <v>435</v>
      </c>
      <c r="E29" s="109" t="s">
        <v>5938</v>
      </c>
      <c r="F29" s="109" t="s">
        <v>5938</v>
      </c>
      <c r="G29" s="109" t="s">
        <v>5938</v>
      </c>
      <c r="H29" s="109" t="s">
        <v>5938</v>
      </c>
      <c r="I29" s="109" t="s">
        <v>5938</v>
      </c>
      <c r="J29" s="109" t="s">
        <v>5938</v>
      </c>
      <c r="K29" s="109" t="s">
        <v>5938</v>
      </c>
      <c r="L29" s="109" t="s">
        <v>5938</v>
      </c>
      <c r="M29" s="109" t="s">
        <v>5938</v>
      </c>
      <c r="N29" s="109" t="s">
        <v>5938</v>
      </c>
      <c r="O29" s="109" t="s">
        <v>5938</v>
      </c>
      <c r="P29" s="109" t="s">
        <v>5938</v>
      </c>
      <c r="Q29" s="109" t="s">
        <v>5938</v>
      </c>
      <c r="R29" s="109" t="s">
        <v>5938</v>
      </c>
      <c r="S29" s="109" t="s">
        <v>5938</v>
      </c>
      <c r="T29" s="109" t="s">
        <v>5938</v>
      </c>
      <c r="U29" s="109" t="s">
        <v>5938</v>
      </c>
      <c r="V29" s="109" t="s">
        <v>5938</v>
      </c>
      <c r="W29" s="109" t="s">
        <v>5938</v>
      </c>
      <c r="X29" s="109" t="s">
        <v>5938</v>
      </c>
      <c r="Y29" s="109" t="s">
        <v>5938</v>
      </c>
    </row>
    <row r="30" spans="1:25" x14ac:dyDescent="0.3">
      <c r="A30" s="108" t="s">
        <v>15</v>
      </c>
      <c r="B30" s="108">
        <v>27</v>
      </c>
      <c r="C30" s="108" t="s">
        <v>320</v>
      </c>
      <c r="D30" s="108" t="s">
        <v>437</v>
      </c>
      <c r="E30" s="109" t="s">
        <v>5938</v>
      </c>
      <c r="F30" s="109" t="s">
        <v>5938</v>
      </c>
      <c r="G30" s="109" t="s">
        <v>5938</v>
      </c>
      <c r="H30" s="109" t="s">
        <v>5938</v>
      </c>
      <c r="I30" s="109" t="s">
        <v>5938</v>
      </c>
      <c r="J30" s="109" t="s">
        <v>5938</v>
      </c>
      <c r="K30" s="109" t="s">
        <v>5938</v>
      </c>
      <c r="L30" s="109" t="s">
        <v>5938</v>
      </c>
      <c r="M30" s="109" t="s">
        <v>5938</v>
      </c>
      <c r="N30" s="109" t="s">
        <v>5938</v>
      </c>
      <c r="O30" s="109" t="s">
        <v>5938</v>
      </c>
      <c r="P30" s="109" t="s">
        <v>5938</v>
      </c>
      <c r="Q30" s="109" t="s">
        <v>5938</v>
      </c>
      <c r="R30" s="109" t="s">
        <v>5938</v>
      </c>
      <c r="S30" s="109" t="s">
        <v>5938</v>
      </c>
      <c r="T30" s="109" t="s">
        <v>5938</v>
      </c>
      <c r="U30" s="109" t="s">
        <v>5938</v>
      </c>
      <c r="V30" s="109" t="s">
        <v>5938</v>
      </c>
      <c r="W30" s="109" t="s">
        <v>5938</v>
      </c>
      <c r="X30" s="109" t="s">
        <v>5938</v>
      </c>
      <c r="Y30" s="109" t="s">
        <v>5938</v>
      </c>
    </row>
    <row r="31" spans="1:25" x14ac:dyDescent="0.3">
      <c r="A31" s="108" t="s">
        <v>15</v>
      </c>
      <c r="B31" s="108">
        <v>28</v>
      </c>
      <c r="C31" s="108" t="s">
        <v>164</v>
      </c>
      <c r="D31" s="108" t="s">
        <v>43</v>
      </c>
      <c r="E31" s="109" t="s">
        <v>5938</v>
      </c>
      <c r="F31" s="109" t="s">
        <v>5938</v>
      </c>
      <c r="G31" s="109" t="s">
        <v>5938</v>
      </c>
      <c r="H31" s="109" t="s">
        <v>5938</v>
      </c>
      <c r="I31" s="109" t="s">
        <v>5938</v>
      </c>
      <c r="J31" s="109" t="s">
        <v>5938</v>
      </c>
      <c r="K31" s="109" t="s">
        <v>5938</v>
      </c>
      <c r="L31" s="109" t="s">
        <v>5938</v>
      </c>
      <c r="M31" s="109" t="s">
        <v>5938</v>
      </c>
      <c r="N31" s="109" t="s">
        <v>5938</v>
      </c>
      <c r="O31" s="109" t="s">
        <v>5938</v>
      </c>
      <c r="P31" s="109" t="s">
        <v>5938</v>
      </c>
      <c r="Q31" s="109" t="s">
        <v>5938</v>
      </c>
      <c r="R31" s="109" t="s">
        <v>5938</v>
      </c>
      <c r="S31" s="109" t="s">
        <v>5938</v>
      </c>
      <c r="T31" s="109" t="s">
        <v>5938</v>
      </c>
      <c r="U31" s="109" t="s">
        <v>5938</v>
      </c>
      <c r="V31" s="109" t="s">
        <v>5938</v>
      </c>
      <c r="W31" s="109" t="s">
        <v>5938</v>
      </c>
      <c r="X31" s="109" t="s">
        <v>5938</v>
      </c>
      <c r="Y31" s="109" t="s">
        <v>5938</v>
      </c>
    </row>
    <row r="32" spans="1:25" x14ac:dyDescent="0.3">
      <c r="A32" s="108" t="s">
        <v>15</v>
      </c>
      <c r="B32" s="108">
        <v>29</v>
      </c>
      <c r="C32" s="108" t="s">
        <v>172</v>
      </c>
      <c r="D32" s="108" t="s">
        <v>440</v>
      </c>
      <c r="E32" s="109" t="s">
        <v>5938</v>
      </c>
      <c r="F32" s="109" t="s">
        <v>5938</v>
      </c>
      <c r="G32" s="109" t="s">
        <v>5938</v>
      </c>
      <c r="H32" s="109" t="s">
        <v>5938</v>
      </c>
      <c r="I32" s="109" t="s">
        <v>5938</v>
      </c>
      <c r="J32" s="109" t="s">
        <v>5938</v>
      </c>
      <c r="K32" s="109" t="s">
        <v>5938</v>
      </c>
      <c r="L32" s="109" t="s">
        <v>5938</v>
      </c>
      <c r="M32" s="109" t="s">
        <v>5938</v>
      </c>
      <c r="N32" s="109" t="s">
        <v>5938</v>
      </c>
      <c r="O32" s="109" t="s">
        <v>5938</v>
      </c>
      <c r="P32" s="109" t="s">
        <v>5938</v>
      </c>
      <c r="Q32" s="109" t="s">
        <v>5938</v>
      </c>
      <c r="R32" s="109" t="s">
        <v>5938</v>
      </c>
      <c r="S32" s="109" t="s">
        <v>5938</v>
      </c>
      <c r="T32" s="109" t="s">
        <v>5938</v>
      </c>
      <c r="U32" s="109" t="s">
        <v>5938</v>
      </c>
      <c r="V32" s="109" t="s">
        <v>5938</v>
      </c>
      <c r="W32" s="109" t="s">
        <v>5938</v>
      </c>
      <c r="X32" s="109" t="s">
        <v>5938</v>
      </c>
      <c r="Y32" s="109" t="s">
        <v>5938</v>
      </c>
    </row>
    <row r="33" spans="1:25" x14ac:dyDescent="0.3">
      <c r="A33" s="108" t="s">
        <v>15</v>
      </c>
      <c r="B33" s="108">
        <v>33</v>
      </c>
      <c r="C33" s="108" t="s">
        <v>211</v>
      </c>
      <c r="D33" s="108" t="s">
        <v>441</v>
      </c>
      <c r="E33" s="109" t="s">
        <v>5938</v>
      </c>
      <c r="F33" s="109" t="s">
        <v>5938</v>
      </c>
      <c r="G33" s="109" t="s">
        <v>5938</v>
      </c>
      <c r="H33" s="109" t="s">
        <v>5938</v>
      </c>
      <c r="I33" s="109" t="s">
        <v>5938</v>
      </c>
      <c r="J33" s="109" t="s">
        <v>5938</v>
      </c>
      <c r="K33" s="109" t="s">
        <v>5938</v>
      </c>
      <c r="L33" s="109" t="s">
        <v>5938</v>
      </c>
      <c r="M33" s="109" t="s">
        <v>5938</v>
      </c>
      <c r="N33" s="109" t="s">
        <v>5938</v>
      </c>
      <c r="O33" s="109" t="s">
        <v>5938</v>
      </c>
      <c r="P33" s="109" t="s">
        <v>5938</v>
      </c>
      <c r="Q33" s="109" t="s">
        <v>5938</v>
      </c>
      <c r="R33" s="109" t="s">
        <v>5938</v>
      </c>
      <c r="S33" s="109" t="s">
        <v>5938</v>
      </c>
      <c r="T33" s="109" t="s">
        <v>5938</v>
      </c>
      <c r="U33" s="109" t="s">
        <v>5938</v>
      </c>
      <c r="V33" s="109" t="s">
        <v>5938</v>
      </c>
      <c r="W33" s="109" t="s">
        <v>5938</v>
      </c>
      <c r="X33" s="109" t="s">
        <v>5938</v>
      </c>
      <c r="Y33" s="109" t="s">
        <v>5938</v>
      </c>
    </row>
    <row r="34" spans="1:25" x14ac:dyDescent="0.3">
      <c r="A34" s="108" t="s">
        <v>15</v>
      </c>
      <c r="B34" s="108">
        <v>34</v>
      </c>
      <c r="C34" s="108" t="s">
        <v>443</v>
      </c>
      <c r="D34" s="108" t="s">
        <v>442</v>
      </c>
      <c r="E34" s="109" t="s">
        <v>5938</v>
      </c>
      <c r="F34" s="109" t="s">
        <v>5938</v>
      </c>
      <c r="G34" s="109" t="s">
        <v>5938</v>
      </c>
      <c r="H34" s="109" t="s">
        <v>5938</v>
      </c>
      <c r="I34" s="109" t="s">
        <v>5938</v>
      </c>
      <c r="J34" s="109" t="s">
        <v>5938</v>
      </c>
      <c r="K34" s="109" t="s">
        <v>5938</v>
      </c>
      <c r="L34" s="109" t="s">
        <v>5938</v>
      </c>
      <c r="M34" s="109" t="s">
        <v>5938</v>
      </c>
      <c r="N34" s="109" t="s">
        <v>5938</v>
      </c>
      <c r="O34" s="109" t="s">
        <v>5938</v>
      </c>
      <c r="P34" s="109" t="s">
        <v>5938</v>
      </c>
      <c r="Q34" s="109" t="s">
        <v>5938</v>
      </c>
      <c r="R34" s="109" t="s">
        <v>5938</v>
      </c>
      <c r="S34" s="109" t="s">
        <v>5938</v>
      </c>
      <c r="T34" s="109" t="s">
        <v>5938</v>
      </c>
      <c r="U34" s="109" t="s">
        <v>5938</v>
      </c>
      <c r="V34" s="109" t="s">
        <v>5938</v>
      </c>
      <c r="W34" s="109" t="s">
        <v>5938</v>
      </c>
      <c r="X34" s="109" t="s">
        <v>5938</v>
      </c>
      <c r="Y34" s="109" t="s">
        <v>5938</v>
      </c>
    </row>
    <row r="35" spans="1:25" x14ac:dyDescent="0.3">
      <c r="A35" s="108" t="s">
        <v>15</v>
      </c>
      <c r="B35" s="108">
        <v>35</v>
      </c>
      <c r="C35" s="108" t="s">
        <v>446</v>
      </c>
      <c r="D35" s="108" t="s">
        <v>444</v>
      </c>
      <c r="E35" s="109" t="s">
        <v>5938</v>
      </c>
      <c r="F35" s="109" t="s">
        <v>5938</v>
      </c>
      <c r="G35" s="109" t="s">
        <v>5938</v>
      </c>
      <c r="H35" s="109" t="s">
        <v>5938</v>
      </c>
      <c r="I35" s="109" t="s">
        <v>5938</v>
      </c>
      <c r="J35" s="109" t="s">
        <v>5938</v>
      </c>
      <c r="K35" s="109" t="s">
        <v>5938</v>
      </c>
      <c r="L35" s="109" t="s">
        <v>5938</v>
      </c>
      <c r="M35" s="109" t="s">
        <v>5938</v>
      </c>
      <c r="N35" s="109" t="s">
        <v>5938</v>
      </c>
      <c r="O35" s="109" t="s">
        <v>5938</v>
      </c>
      <c r="P35" s="109" t="s">
        <v>5938</v>
      </c>
      <c r="Q35" s="109" t="s">
        <v>5938</v>
      </c>
      <c r="R35" s="109" t="s">
        <v>5938</v>
      </c>
      <c r="S35" s="109" t="s">
        <v>5938</v>
      </c>
      <c r="T35" s="109" t="s">
        <v>5938</v>
      </c>
      <c r="U35" s="109" t="s">
        <v>5938</v>
      </c>
      <c r="V35" s="109" t="s">
        <v>5938</v>
      </c>
      <c r="W35" s="109" t="s">
        <v>5938</v>
      </c>
      <c r="X35" s="109" t="s">
        <v>5938</v>
      </c>
      <c r="Y35" s="109" t="s">
        <v>5938</v>
      </c>
    </row>
    <row r="36" spans="1:25" x14ac:dyDescent="0.3">
      <c r="A36" s="108" t="s">
        <v>15</v>
      </c>
      <c r="B36" s="108">
        <v>36</v>
      </c>
      <c r="C36" s="108" t="s">
        <v>448</v>
      </c>
      <c r="D36" s="108" t="s">
        <v>447</v>
      </c>
      <c r="E36" s="109" t="s">
        <v>5938</v>
      </c>
      <c r="F36" s="109" t="s">
        <v>5938</v>
      </c>
      <c r="G36" s="109" t="s">
        <v>5938</v>
      </c>
      <c r="H36" s="109" t="s">
        <v>5938</v>
      </c>
      <c r="I36" s="109" t="s">
        <v>5938</v>
      </c>
      <c r="J36" s="109" t="s">
        <v>5938</v>
      </c>
      <c r="K36" s="109" t="s">
        <v>5938</v>
      </c>
      <c r="L36" s="109" t="s">
        <v>5938</v>
      </c>
      <c r="M36" s="109" t="s">
        <v>5938</v>
      </c>
      <c r="N36" s="109" t="s">
        <v>5938</v>
      </c>
      <c r="O36" s="109" t="s">
        <v>5938</v>
      </c>
      <c r="P36" s="109" t="s">
        <v>5938</v>
      </c>
      <c r="Q36" s="109" t="s">
        <v>5938</v>
      </c>
      <c r="R36" s="109" t="s">
        <v>5938</v>
      </c>
      <c r="S36" s="109" t="s">
        <v>5938</v>
      </c>
      <c r="T36" s="109" t="s">
        <v>5938</v>
      </c>
      <c r="U36" s="109" t="s">
        <v>5938</v>
      </c>
      <c r="V36" s="109" t="s">
        <v>5938</v>
      </c>
      <c r="W36" s="109" t="s">
        <v>5938</v>
      </c>
      <c r="X36" s="109" t="s">
        <v>5938</v>
      </c>
      <c r="Y36" s="109" t="s">
        <v>5938</v>
      </c>
    </row>
    <row r="37" spans="1:25" x14ac:dyDescent="0.3">
      <c r="A37" s="108" t="s">
        <v>15</v>
      </c>
      <c r="B37" s="108">
        <v>37</v>
      </c>
      <c r="C37" s="108" t="s">
        <v>450</v>
      </c>
      <c r="D37" s="108" t="s">
        <v>449</v>
      </c>
      <c r="E37" s="109" t="s">
        <v>5938</v>
      </c>
      <c r="F37" s="109" t="s">
        <v>5938</v>
      </c>
      <c r="G37" s="109" t="s">
        <v>5938</v>
      </c>
      <c r="H37" s="109" t="s">
        <v>5938</v>
      </c>
      <c r="I37" s="109" t="s">
        <v>5938</v>
      </c>
      <c r="J37" s="109" t="s">
        <v>5938</v>
      </c>
      <c r="K37" s="109" t="s">
        <v>5938</v>
      </c>
      <c r="L37" s="109" t="s">
        <v>5938</v>
      </c>
      <c r="M37" s="109" t="s">
        <v>5938</v>
      </c>
      <c r="N37" s="109" t="s">
        <v>5938</v>
      </c>
      <c r="O37" s="109" t="s">
        <v>5938</v>
      </c>
      <c r="P37" s="109" t="s">
        <v>5938</v>
      </c>
      <c r="Q37" s="109" t="s">
        <v>5938</v>
      </c>
      <c r="R37" s="109" t="s">
        <v>5938</v>
      </c>
      <c r="S37" s="109" t="s">
        <v>5938</v>
      </c>
      <c r="T37" s="109" t="s">
        <v>5938</v>
      </c>
      <c r="U37" s="109" t="s">
        <v>5938</v>
      </c>
      <c r="V37" s="109" t="s">
        <v>5938</v>
      </c>
      <c r="W37" s="109" t="s">
        <v>5938</v>
      </c>
      <c r="X37" s="109" t="s">
        <v>5938</v>
      </c>
      <c r="Y37" s="109" t="s">
        <v>5938</v>
      </c>
    </row>
    <row r="38" spans="1:25" x14ac:dyDescent="0.3">
      <c r="A38" s="108" t="s">
        <v>15</v>
      </c>
      <c r="B38" s="108">
        <v>38</v>
      </c>
      <c r="C38" s="108" t="s">
        <v>452</v>
      </c>
      <c r="D38" s="108" t="s">
        <v>451</v>
      </c>
      <c r="E38" s="109" t="s">
        <v>5938</v>
      </c>
      <c r="F38" s="109" t="s">
        <v>5938</v>
      </c>
      <c r="G38" s="109" t="s">
        <v>5938</v>
      </c>
      <c r="H38" s="109" t="s">
        <v>5938</v>
      </c>
      <c r="I38" s="109" t="s">
        <v>5938</v>
      </c>
      <c r="J38" s="109" t="s">
        <v>5938</v>
      </c>
      <c r="K38" s="109" t="s">
        <v>5938</v>
      </c>
      <c r="L38" s="109" t="s">
        <v>5938</v>
      </c>
      <c r="M38" s="109" t="s">
        <v>5938</v>
      </c>
      <c r="N38" s="109" t="s">
        <v>5938</v>
      </c>
      <c r="O38" s="109" t="s">
        <v>5938</v>
      </c>
      <c r="P38" s="109" t="s">
        <v>5938</v>
      </c>
      <c r="Q38" s="109" t="s">
        <v>5938</v>
      </c>
      <c r="R38" s="109" t="s">
        <v>5938</v>
      </c>
      <c r="S38" s="109" t="s">
        <v>5938</v>
      </c>
      <c r="T38" s="109" t="s">
        <v>5938</v>
      </c>
      <c r="U38" s="109" t="s">
        <v>5938</v>
      </c>
      <c r="V38" s="109" t="s">
        <v>5938</v>
      </c>
      <c r="W38" s="109" t="s">
        <v>5938</v>
      </c>
      <c r="X38" s="109" t="s">
        <v>5938</v>
      </c>
      <c r="Y38" s="109" t="s">
        <v>5938</v>
      </c>
    </row>
    <row r="39" spans="1:25" x14ac:dyDescent="0.3">
      <c r="A39" s="108" t="s">
        <v>15</v>
      </c>
      <c r="B39" s="108">
        <v>39</v>
      </c>
      <c r="C39" s="108" t="s">
        <v>454</v>
      </c>
      <c r="D39" s="108" t="s">
        <v>453</v>
      </c>
      <c r="E39" s="109" t="s">
        <v>5938</v>
      </c>
      <c r="F39" s="109" t="s">
        <v>5938</v>
      </c>
      <c r="G39" s="109" t="s">
        <v>5938</v>
      </c>
      <c r="H39" s="109" t="s">
        <v>5938</v>
      </c>
      <c r="I39" s="109" t="s">
        <v>5938</v>
      </c>
      <c r="J39" s="109" t="s">
        <v>5938</v>
      </c>
      <c r="K39" s="109" t="s">
        <v>5938</v>
      </c>
      <c r="L39" s="109" t="s">
        <v>5938</v>
      </c>
      <c r="M39" s="109" t="s">
        <v>5938</v>
      </c>
      <c r="N39" s="109" t="s">
        <v>5938</v>
      </c>
      <c r="O39" s="109" t="s">
        <v>5938</v>
      </c>
      <c r="P39" s="109" t="s">
        <v>5938</v>
      </c>
      <c r="Q39" s="109" t="s">
        <v>5938</v>
      </c>
      <c r="R39" s="109" t="s">
        <v>5938</v>
      </c>
      <c r="S39" s="109" t="s">
        <v>5938</v>
      </c>
      <c r="T39" s="109" t="s">
        <v>5938</v>
      </c>
      <c r="U39" s="109" t="s">
        <v>5938</v>
      </c>
      <c r="V39" s="109" t="s">
        <v>5938</v>
      </c>
      <c r="W39" s="109" t="s">
        <v>5938</v>
      </c>
      <c r="X39" s="109" t="s">
        <v>5938</v>
      </c>
      <c r="Y39" s="109" t="s">
        <v>5938</v>
      </c>
    </row>
    <row r="40" spans="1:25" x14ac:dyDescent="0.3">
      <c r="A40" s="108" t="s">
        <v>15</v>
      </c>
      <c r="B40" s="108">
        <v>40</v>
      </c>
      <c r="C40" s="108" t="s">
        <v>456</v>
      </c>
      <c r="D40" s="108" t="s">
        <v>455</v>
      </c>
      <c r="E40" s="109" t="s">
        <v>5938</v>
      </c>
      <c r="F40" s="109" t="s">
        <v>5938</v>
      </c>
      <c r="G40" s="109" t="s">
        <v>5938</v>
      </c>
      <c r="H40" s="109" t="s">
        <v>5938</v>
      </c>
      <c r="I40" s="109" t="s">
        <v>5938</v>
      </c>
      <c r="J40" s="109" t="s">
        <v>5938</v>
      </c>
      <c r="K40" s="109" t="s">
        <v>5938</v>
      </c>
      <c r="L40" s="109" t="s">
        <v>5938</v>
      </c>
      <c r="M40" s="109" t="s">
        <v>5938</v>
      </c>
      <c r="N40" s="109" t="s">
        <v>5938</v>
      </c>
      <c r="O40" s="109" t="s">
        <v>5938</v>
      </c>
      <c r="P40" s="109" t="s">
        <v>5938</v>
      </c>
      <c r="Q40" s="109" t="s">
        <v>5938</v>
      </c>
      <c r="R40" s="109" t="s">
        <v>5938</v>
      </c>
      <c r="S40" s="109" t="s">
        <v>5938</v>
      </c>
      <c r="T40" s="109" t="s">
        <v>5938</v>
      </c>
      <c r="U40" s="109" t="s">
        <v>5938</v>
      </c>
      <c r="V40" s="109" t="s">
        <v>5938</v>
      </c>
      <c r="W40" s="109" t="s">
        <v>5938</v>
      </c>
      <c r="X40" s="109" t="s">
        <v>5938</v>
      </c>
      <c r="Y40" s="109" t="s">
        <v>5938</v>
      </c>
    </row>
    <row r="41" spans="1:25" x14ac:dyDescent="0.3">
      <c r="A41" s="108" t="s">
        <v>15</v>
      </c>
      <c r="B41" s="108">
        <v>41</v>
      </c>
      <c r="C41" s="108" t="s">
        <v>458</v>
      </c>
      <c r="D41" s="108" t="s">
        <v>457</v>
      </c>
      <c r="E41" s="109" t="s">
        <v>5938</v>
      </c>
      <c r="F41" s="109" t="s">
        <v>5938</v>
      </c>
      <c r="G41" s="109" t="s">
        <v>5938</v>
      </c>
      <c r="H41" s="109" t="s">
        <v>5938</v>
      </c>
      <c r="I41" s="109" t="s">
        <v>5938</v>
      </c>
      <c r="J41" s="109" t="s">
        <v>5938</v>
      </c>
      <c r="K41" s="109" t="s">
        <v>5938</v>
      </c>
      <c r="L41" s="109" t="s">
        <v>5938</v>
      </c>
      <c r="M41" s="109" t="s">
        <v>5938</v>
      </c>
      <c r="N41" s="109" t="s">
        <v>5938</v>
      </c>
      <c r="O41" s="109" t="s">
        <v>5938</v>
      </c>
      <c r="P41" s="109" t="s">
        <v>5938</v>
      </c>
      <c r="Q41" s="109" t="s">
        <v>5938</v>
      </c>
      <c r="R41" s="109" t="s">
        <v>5938</v>
      </c>
      <c r="S41" s="109" t="s">
        <v>5938</v>
      </c>
      <c r="T41" s="109" t="s">
        <v>5938</v>
      </c>
      <c r="U41" s="109" t="s">
        <v>5938</v>
      </c>
      <c r="V41" s="109" t="s">
        <v>5938</v>
      </c>
      <c r="W41" s="109" t="s">
        <v>5938</v>
      </c>
      <c r="X41" s="109" t="s">
        <v>5938</v>
      </c>
      <c r="Y41" s="109" t="s">
        <v>5938</v>
      </c>
    </row>
    <row r="42" spans="1:25" x14ac:dyDescent="0.3">
      <c r="A42" s="108" t="s">
        <v>15</v>
      </c>
      <c r="B42" s="108">
        <v>42</v>
      </c>
      <c r="C42" s="108" t="s">
        <v>460</v>
      </c>
      <c r="D42" s="108" t="s">
        <v>459</v>
      </c>
      <c r="E42" s="109" t="s">
        <v>5938</v>
      </c>
      <c r="F42" s="109" t="s">
        <v>5938</v>
      </c>
      <c r="G42" s="109" t="s">
        <v>5938</v>
      </c>
      <c r="H42" s="109" t="s">
        <v>5938</v>
      </c>
      <c r="I42" s="109" t="s">
        <v>5938</v>
      </c>
      <c r="J42" s="109" t="s">
        <v>5938</v>
      </c>
      <c r="K42" s="109" t="s">
        <v>5938</v>
      </c>
      <c r="L42" s="109" t="s">
        <v>5938</v>
      </c>
      <c r="M42" s="109" t="s">
        <v>5938</v>
      </c>
      <c r="N42" s="109" t="s">
        <v>5938</v>
      </c>
      <c r="O42" s="109" t="s">
        <v>5938</v>
      </c>
      <c r="P42" s="109" t="s">
        <v>5938</v>
      </c>
      <c r="Q42" s="109" t="s">
        <v>5938</v>
      </c>
      <c r="R42" s="109" t="s">
        <v>5938</v>
      </c>
      <c r="S42" s="109" t="s">
        <v>5938</v>
      </c>
      <c r="T42" s="109" t="s">
        <v>5938</v>
      </c>
      <c r="U42" s="109" t="s">
        <v>5938</v>
      </c>
      <c r="V42" s="109" t="s">
        <v>5938</v>
      </c>
      <c r="W42" s="109" t="s">
        <v>5938</v>
      </c>
      <c r="X42" s="109" t="s">
        <v>5938</v>
      </c>
      <c r="Y42" s="109" t="s">
        <v>5938</v>
      </c>
    </row>
    <row r="43" spans="1:25" x14ac:dyDescent="0.3">
      <c r="A43" s="108" t="s">
        <v>15</v>
      </c>
      <c r="B43" s="108">
        <v>43</v>
      </c>
      <c r="C43" s="108" t="s">
        <v>463</v>
      </c>
      <c r="D43" s="108" t="s">
        <v>461</v>
      </c>
      <c r="E43" s="109" t="s">
        <v>5938</v>
      </c>
      <c r="F43" s="109" t="s">
        <v>5938</v>
      </c>
      <c r="G43" s="109" t="s">
        <v>5938</v>
      </c>
      <c r="H43" s="109" t="s">
        <v>5938</v>
      </c>
      <c r="I43" s="109" t="s">
        <v>5938</v>
      </c>
      <c r="J43" s="109" t="s">
        <v>5938</v>
      </c>
      <c r="K43" s="109" t="s">
        <v>5938</v>
      </c>
      <c r="L43" s="109" t="s">
        <v>5938</v>
      </c>
      <c r="M43" s="109" t="s">
        <v>5938</v>
      </c>
      <c r="N43" s="109" t="s">
        <v>5938</v>
      </c>
      <c r="O43" s="109" t="s">
        <v>5938</v>
      </c>
      <c r="P43" s="109" t="s">
        <v>5938</v>
      </c>
      <c r="Q43" s="109" t="s">
        <v>5938</v>
      </c>
      <c r="R43" s="109" t="s">
        <v>5938</v>
      </c>
      <c r="S43" s="109" t="s">
        <v>5938</v>
      </c>
      <c r="T43" s="109" t="s">
        <v>5938</v>
      </c>
      <c r="U43" s="109" t="s">
        <v>5938</v>
      </c>
      <c r="V43" s="109" t="s">
        <v>5938</v>
      </c>
      <c r="W43" s="109" t="s">
        <v>5938</v>
      </c>
      <c r="X43" s="109" t="s">
        <v>5938</v>
      </c>
      <c r="Y43" s="109" t="s">
        <v>5938</v>
      </c>
    </row>
    <row r="44" spans="1:25" x14ac:dyDescent="0.3">
      <c r="A44" s="108" t="s">
        <v>15</v>
      </c>
      <c r="B44" s="108">
        <v>44</v>
      </c>
      <c r="C44" s="108" t="s">
        <v>466</v>
      </c>
      <c r="D44" s="108" t="s">
        <v>464</v>
      </c>
      <c r="E44" s="109" t="s">
        <v>5938</v>
      </c>
      <c r="F44" s="109" t="s">
        <v>5938</v>
      </c>
      <c r="G44" s="109" t="s">
        <v>5938</v>
      </c>
      <c r="H44" s="109" t="s">
        <v>5938</v>
      </c>
      <c r="I44" s="109" t="s">
        <v>5938</v>
      </c>
      <c r="J44" s="109" t="s">
        <v>5938</v>
      </c>
      <c r="K44" s="109" t="s">
        <v>5938</v>
      </c>
      <c r="L44" s="109" t="s">
        <v>5938</v>
      </c>
      <c r="M44" s="109" t="s">
        <v>5938</v>
      </c>
      <c r="N44" s="109" t="s">
        <v>5938</v>
      </c>
      <c r="O44" s="109" t="s">
        <v>5938</v>
      </c>
      <c r="P44" s="109" t="s">
        <v>5938</v>
      </c>
      <c r="Q44" s="109" t="s">
        <v>5938</v>
      </c>
      <c r="R44" s="109" t="s">
        <v>5938</v>
      </c>
      <c r="S44" s="109" t="s">
        <v>5938</v>
      </c>
      <c r="T44" s="109" t="s">
        <v>5938</v>
      </c>
      <c r="U44" s="109" t="s">
        <v>5938</v>
      </c>
      <c r="V44" s="109" t="s">
        <v>5938</v>
      </c>
      <c r="W44" s="109" t="s">
        <v>5938</v>
      </c>
      <c r="X44" s="109" t="s">
        <v>5938</v>
      </c>
      <c r="Y44" s="109" t="s">
        <v>5938</v>
      </c>
    </row>
    <row r="45" spans="1:25" x14ac:dyDescent="0.3">
      <c r="A45" s="108" t="s">
        <v>15</v>
      </c>
      <c r="B45" s="108">
        <v>45</v>
      </c>
      <c r="C45" s="108" t="s">
        <v>5937</v>
      </c>
      <c r="D45" s="108" t="s">
        <v>3496</v>
      </c>
      <c r="E45" s="109" t="s">
        <v>5938</v>
      </c>
      <c r="F45" s="109" t="s">
        <v>5938</v>
      </c>
      <c r="G45" s="109" t="s">
        <v>5938</v>
      </c>
      <c r="H45" s="109" t="s">
        <v>5938</v>
      </c>
      <c r="I45" s="109" t="s">
        <v>5938</v>
      </c>
      <c r="J45" s="109" t="s">
        <v>5938</v>
      </c>
      <c r="K45" s="109" t="s">
        <v>5938</v>
      </c>
      <c r="L45" s="109" t="s">
        <v>5938</v>
      </c>
      <c r="M45" s="109" t="s">
        <v>5938</v>
      </c>
      <c r="N45" s="109" t="s">
        <v>5938</v>
      </c>
      <c r="O45" s="109" t="s">
        <v>5938</v>
      </c>
      <c r="P45" s="109" t="s">
        <v>5938</v>
      </c>
      <c r="Q45" s="109" t="s">
        <v>5938</v>
      </c>
      <c r="R45" s="109" t="s">
        <v>5938</v>
      </c>
      <c r="S45" s="109" t="s">
        <v>5938</v>
      </c>
      <c r="T45" s="109" t="s">
        <v>5938</v>
      </c>
      <c r="U45" s="109" t="s">
        <v>5938</v>
      </c>
      <c r="V45" s="109" t="s">
        <v>5938</v>
      </c>
      <c r="W45" s="109" t="s">
        <v>5938</v>
      </c>
      <c r="X45" s="109" t="s">
        <v>5938</v>
      </c>
      <c r="Y45" s="109" t="s">
        <v>5938</v>
      </c>
    </row>
    <row r="46" spans="1:25" x14ac:dyDescent="0.3">
      <c r="A46" s="108" t="s">
        <v>15</v>
      </c>
      <c r="B46" s="108">
        <v>46</v>
      </c>
      <c r="C46" s="108">
        <v>191005</v>
      </c>
      <c r="D46" s="108" t="s">
        <v>3494</v>
      </c>
      <c r="E46" s="109" t="s">
        <v>5938</v>
      </c>
      <c r="F46" s="109" t="s">
        <v>5938</v>
      </c>
      <c r="G46" s="109" t="s">
        <v>5938</v>
      </c>
      <c r="H46" s="109" t="s">
        <v>5938</v>
      </c>
      <c r="I46" s="109" t="s">
        <v>5938</v>
      </c>
      <c r="J46" s="109" t="s">
        <v>5938</v>
      </c>
      <c r="K46" s="109" t="s">
        <v>5938</v>
      </c>
      <c r="L46" s="109" t="s">
        <v>5938</v>
      </c>
      <c r="M46" s="109" t="s">
        <v>5938</v>
      </c>
      <c r="N46" s="109" t="s">
        <v>5938</v>
      </c>
      <c r="O46" s="109" t="s">
        <v>5938</v>
      </c>
      <c r="P46" s="109" t="s">
        <v>5938</v>
      </c>
      <c r="Q46" s="109" t="s">
        <v>5938</v>
      </c>
      <c r="R46" s="109" t="s">
        <v>5938</v>
      </c>
      <c r="S46" s="109" t="s">
        <v>5938</v>
      </c>
      <c r="T46" s="109" t="s">
        <v>5938</v>
      </c>
      <c r="U46" s="109" t="s">
        <v>5938</v>
      </c>
      <c r="V46" s="109" t="s">
        <v>5938</v>
      </c>
      <c r="W46" s="109" t="s">
        <v>5938</v>
      </c>
      <c r="X46" s="109" t="s">
        <v>5938</v>
      </c>
      <c r="Y46" s="109" t="s">
        <v>5938</v>
      </c>
    </row>
    <row r="47" spans="1:25" x14ac:dyDescent="0.3">
      <c r="A47" s="108" t="s">
        <v>15</v>
      </c>
      <c r="B47" s="108">
        <v>47</v>
      </c>
      <c r="C47" s="108">
        <v>96100</v>
      </c>
      <c r="D47" s="108" t="s">
        <v>3495</v>
      </c>
      <c r="E47" s="109" t="s">
        <v>5938</v>
      </c>
      <c r="F47" s="109" t="s">
        <v>5938</v>
      </c>
      <c r="G47" s="109" t="s">
        <v>5938</v>
      </c>
      <c r="H47" s="109" t="s">
        <v>5938</v>
      </c>
      <c r="I47" s="109" t="s">
        <v>5938</v>
      </c>
      <c r="J47" s="109" t="s">
        <v>5938</v>
      </c>
      <c r="K47" s="109" t="s">
        <v>5938</v>
      </c>
      <c r="L47" s="109" t="s">
        <v>5938</v>
      </c>
      <c r="M47" s="109" t="s">
        <v>5938</v>
      </c>
      <c r="N47" s="109" t="s">
        <v>5938</v>
      </c>
      <c r="O47" s="109" t="s">
        <v>5938</v>
      </c>
      <c r="P47" s="109" t="s">
        <v>5938</v>
      </c>
      <c r="Q47" s="109" t="s">
        <v>5938</v>
      </c>
      <c r="R47" s="109" t="s">
        <v>5938</v>
      </c>
      <c r="S47" s="109" t="s">
        <v>5938</v>
      </c>
      <c r="T47" s="109" t="s">
        <v>5938</v>
      </c>
      <c r="U47" s="109" t="s">
        <v>5938</v>
      </c>
      <c r="V47" s="109" t="s">
        <v>5938</v>
      </c>
      <c r="W47" s="109" t="s">
        <v>5938</v>
      </c>
      <c r="X47" s="109" t="s">
        <v>5938</v>
      </c>
      <c r="Y47" s="109" t="s">
        <v>5938</v>
      </c>
    </row>
    <row r="48" spans="1:25" x14ac:dyDescent="0.3">
      <c r="A48" s="108" t="s">
        <v>15</v>
      </c>
      <c r="B48" s="108">
        <v>48</v>
      </c>
      <c r="C48" s="108">
        <v>191248</v>
      </c>
      <c r="D48" s="108" t="s">
        <v>470</v>
      </c>
      <c r="E48" s="109" t="s">
        <v>5938</v>
      </c>
      <c r="F48" s="109" t="s">
        <v>5938</v>
      </c>
      <c r="G48" s="109" t="s">
        <v>5938</v>
      </c>
      <c r="H48" s="109" t="s">
        <v>5938</v>
      </c>
      <c r="I48" s="109" t="s">
        <v>5938</v>
      </c>
      <c r="J48" s="109" t="s">
        <v>5938</v>
      </c>
      <c r="K48" s="109" t="s">
        <v>5938</v>
      </c>
      <c r="L48" s="109" t="s">
        <v>5938</v>
      </c>
      <c r="M48" s="109" t="s">
        <v>5938</v>
      </c>
      <c r="N48" s="109" t="s">
        <v>5938</v>
      </c>
      <c r="O48" s="109" t="s">
        <v>5938</v>
      </c>
      <c r="P48" s="109" t="s">
        <v>5938</v>
      </c>
      <c r="Q48" s="109" t="s">
        <v>5938</v>
      </c>
      <c r="R48" s="109" t="s">
        <v>5938</v>
      </c>
      <c r="S48" s="109" t="s">
        <v>5938</v>
      </c>
      <c r="T48" s="109" t="s">
        <v>5938</v>
      </c>
      <c r="U48" s="109" t="s">
        <v>5938</v>
      </c>
      <c r="V48" s="109" t="s">
        <v>5938</v>
      </c>
      <c r="W48" s="109" t="s">
        <v>5938</v>
      </c>
      <c r="X48" s="109" t="s">
        <v>5938</v>
      </c>
      <c r="Y48" s="109" t="s">
        <v>5938</v>
      </c>
    </row>
    <row r="49" spans="1:25" x14ac:dyDescent="0.3">
      <c r="A49" s="108" t="s">
        <v>15</v>
      </c>
      <c r="B49" s="108">
        <v>49</v>
      </c>
      <c r="C49" s="108">
        <v>191004</v>
      </c>
      <c r="D49" s="108" t="s">
        <v>147</v>
      </c>
      <c r="E49" s="109" t="s">
        <v>5938</v>
      </c>
      <c r="F49" s="109" t="s">
        <v>5938</v>
      </c>
      <c r="G49" s="109" t="s">
        <v>5938</v>
      </c>
      <c r="H49" s="109" t="s">
        <v>5938</v>
      </c>
      <c r="I49" s="109" t="s">
        <v>5938</v>
      </c>
      <c r="J49" s="109" t="s">
        <v>5938</v>
      </c>
      <c r="K49" s="109" t="s">
        <v>5938</v>
      </c>
      <c r="L49" s="109" t="s">
        <v>5938</v>
      </c>
      <c r="M49" s="109" t="s">
        <v>5938</v>
      </c>
      <c r="N49" s="109" t="s">
        <v>5938</v>
      </c>
      <c r="O49" s="109" t="s">
        <v>5938</v>
      </c>
      <c r="P49" s="109" t="s">
        <v>5938</v>
      </c>
      <c r="Q49" s="109" t="s">
        <v>5938</v>
      </c>
      <c r="R49" s="109" t="s">
        <v>5938</v>
      </c>
      <c r="S49" s="109" t="s">
        <v>5938</v>
      </c>
      <c r="T49" s="109" t="s">
        <v>5938</v>
      </c>
      <c r="U49" s="109" t="s">
        <v>5938</v>
      </c>
      <c r="V49" s="109" t="s">
        <v>5938</v>
      </c>
      <c r="W49" s="109" t="s">
        <v>5938</v>
      </c>
      <c r="X49" s="109" t="s">
        <v>5938</v>
      </c>
      <c r="Y49" s="109" t="s">
        <v>5938</v>
      </c>
    </row>
    <row r="50" spans="1:25" x14ac:dyDescent="0.3">
      <c r="A50" s="108" t="s">
        <v>15</v>
      </c>
      <c r="B50" s="108">
        <v>50</v>
      </c>
      <c r="C50" s="108">
        <v>190987</v>
      </c>
      <c r="D50" s="108" t="s">
        <v>38</v>
      </c>
      <c r="E50" s="109" t="s">
        <v>5938</v>
      </c>
      <c r="F50" s="109" t="s">
        <v>5938</v>
      </c>
      <c r="G50" s="109" t="s">
        <v>5938</v>
      </c>
      <c r="H50" s="109" t="s">
        <v>5938</v>
      </c>
      <c r="I50" s="109" t="s">
        <v>5938</v>
      </c>
      <c r="J50" s="109" t="s">
        <v>5938</v>
      </c>
      <c r="K50" s="109" t="s">
        <v>5938</v>
      </c>
      <c r="L50" s="109" t="s">
        <v>5938</v>
      </c>
      <c r="M50" s="109" t="s">
        <v>5938</v>
      </c>
      <c r="N50" s="109" t="s">
        <v>5938</v>
      </c>
      <c r="O50" s="109" t="s">
        <v>5938</v>
      </c>
      <c r="P50" s="109" t="s">
        <v>5938</v>
      </c>
      <c r="Q50" s="109" t="s">
        <v>5938</v>
      </c>
      <c r="R50" s="109" t="s">
        <v>5938</v>
      </c>
      <c r="S50" s="109" t="s">
        <v>5938</v>
      </c>
      <c r="T50" s="109" t="s">
        <v>5938</v>
      </c>
      <c r="U50" s="109" t="s">
        <v>5938</v>
      </c>
      <c r="V50" s="109" t="s">
        <v>5938</v>
      </c>
      <c r="W50" s="109" t="s">
        <v>5938</v>
      </c>
      <c r="X50" s="109" t="s">
        <v>5938</v>
      </c>
      <c r="Y50" s="109" t="s">
        <v>5938</v>
      </c>
    </row>
    <row r="51" spans="1:25" x14ac:dyDescent="0.3">
      <c r="A51" s="108" t="s">
        <v>15</v>
      </c>
      <c r="B51" s="108">
        <v>51</v>
      </c>
      <c r="C51" s="108">
        <v>190988</v>
      </c>
      <c r="D51" s="108" t="s">
        <v>471</v>
      </c>
      <c r="E51" s="109" t="s">
        <v>5938</v>
      </c>
      <c r="F51" s="109" t="s">
        <v>5938</v>
      </c>
      <c r="G51" s="109" t="s">
        <v>5938</v>
      </c>
      <c r="H51" s="109" t="s">
        <v>5938</v>
      </c>
      <c r="I51" s="109" t="s">
        <v>5938</v>
      </c>
      <c r="J51" s="109" t="s">
        <v>5938</v>
      </c>
      <c r="K51" s="109" t="s">
        <v>5938</v>
      </c>
      <c r="L51" s="109" t="s">
        <v>5938</v>
      </c>
      <c r="M51" s="109" t="s">
        <v>5938</v>
      </c>
      <c r="N51" s="109" t="s">
        <v>5938</v>
      </c>
      <c r="O51" s="109" t="s">
        <v>5938</v>
      </c>
      <c r="P51" s="109" t="s">
        <v>5938</v>
      </c>
      <c r="Q51" s="109" t="s">
        <v>5938</v>
      </c>
      <c r="R51" s="109" t="s">
        <v>5938</v>
      </c>
      <c r="S51" s="109" t="s">
        <v>5938</v>
      </c>
      <c r="T51" s="109" t="s">
        <v>5938</v>
      </c>
      <c r="U51" s="109" t="s">
        <v>5938</v>
      </c>
      <c r="V51" s="109" t="s">
        <v>5938</v>
      </c>
      <c r="W51" s="109" t="s">
        <v>5938</v>
      </c>
      <c r="X51" s="109" t="s">
        <v>5938</v>
      </c>
      <c r="Y51" s="109" t="s">
        <v>5938</v>
      </c>
    </row>
    <row r="52" spans="1:25" x14ac:dyDescent="0.3">
      <c r="A52" s="108" t="s">
        <v>15</v>
      </c>
      <c r="B52" s="108">
        <v>53</v>
      </c>
      <c r="C52" s="108" t="s">
        <v>474</v>
      </c>
      <c r="D52" s="108" t="s">
        <v>3454</v>
      </c>
      <c r="E52" s="109" t="s">
        <v>5938</v>
      </c>
      <c r="F52" s="109" t="s">
        <v>5938</v>
      </c>
      <c r="G52" s="109" t="s">
        <v>5938</v>
      </c>
      <c r="H52" s="109" t="s">
        <v>5938</v>
      </c>
      <c r="I52" s="109" t="s">
        <v>5938</v>
      </c>
      <c r="J52" s="109" t="s">
        <v>5938</v>
      </c>
      <c r="K52" s="109" t="s">
        <v>5938</v>
      </c>
      <c r="L52" s="109" t="s">
        <v>5938</v>
      </c>
      <c r="M52" s="109" t="s">
        <v>5938</v>
      </c>
      <c r="N52" s="109" t="s">
        <v>5938</v>
      </c>
      <c r="O52" s="109" t="s">
        <v>5938</v>
      </c>
      <c r="P52" s="109" t="s">
        <v>5938</v>
      </c>
      <c r="Q52" s="109" t="s">
        <v>5938</v>
      </c>
      <c r="R52" s="109" t="s">
        <v>5938</v>
      </c>
      <c r="S52" s="109" t="s">
        <v>5938</v>
      </c>
      <c r="T52" s="109" t="s">
        <v>5938</v>
      </c>
      <c r="U52" s="109" t="s">
        <v>5938</v>
      </c>
      <c r="V52" s="109" t="s">
        <v>5938</v>
      </c>
      <c r="W52" s="109" t="s">
        <v>5938</v>
      </c>
      <c r="X52" s="109" t="s">
        <v>5938</v>
      </c>
      <c r="Y52" s="109" t="s">
        <v>5938</v>
      </c>
    </row>
    <row r="53" spans="1:25" x14ac:dyDescent="0.3">
      <c r="A53" s="108" t="s">
        <v>15</v>
      </c>
      <c r="B53" s="108">
        <v>54</v>
      </c>
      <c r="C53" s="108" t="s">
        <v>477</v>
      </c>
      <c r="D53" s="108" t="s">
        <v>475</v>
      </c>
      <c r="E53" s="109" t="s">
        <v>5938</v>
      </c>
      <c r="F53" s="109" t="s">
        <v>5938</v>
      </c>
      <c r="G53" s="109" t="s">
        <v>5938</v>
      </c>
      <c r="H53" s="109" t="s">
        <v>5938</v>
      </c>
      <c r="I53" s="109" t="s">
        <v>5938</v>
      </c>
      <c r="J53" s="109" t="s">
        <v>5938</v>
      </c>
      <c r="K53" s="109" t="s">
        <v>5938</v>
      </c>
      <c r="L53" s="109" t="s">
        <v>5938</v>
      </c>
      <c r="M53" s="109" t="s">
        <v>5938</v>
      </c>
      <c r="N53" s="109" t="s">
        <v>5938</v>
      </c>
      <c r="O53" s="109" t="s">
        <v>5938</v>
      </c>
      <c r="P53" s="109" t="s">
        <v>5938</v>
      </c>
      <c r="Q53" s="109" t="s">
        <v>5938</v>
      </c>
      <c r="R53" s="109" t="s">
        <v>5938</v>
      </c>
      <c r="S53" s="109" t="s">
        <v>5938</v>
      </c>
      <c r="T53" s="109" t="s">
        <v>5938</v>
      </c>
      <c r="U53" s="109" t="s">
        <v>5938</v>
      </c>
      <c r="V53" s="109" t="s">
        <v>5938</v>
      </c>
      <c r="W53" s="109" t="s">
        <v>5938</v>
      </c>
      <c r="X53" s="109" t="s">
        <v>5938</v>
      </c>
      <c r="Y53" s="109" t="s">
        <v>5938</v>
      </c>
    </row>
    <row r="54" spans="1:25" x14ac:dyDescent="0.3">
      <c r="A54" s="108" t="s">
        <v>15</v>
      </c>
      <c r="B54" s="108">
        <v>55</v>
      </c>
      <c r="C54" s="108" t="s">
        <v>479</v>
      </c>
      <c r="D54" s="108" t="s">
        <v>478</v>
      </c>
      <c r="E54" s="109" t="s">
        <v>5938</v>
      </c>
      <c r="F54" s="109" t="s">
        <v>5938</v>
      </c>
      <c r="G54" s="109" t="s">
        <v>5938</v>
      </c>
      <c r="H54" s="109" t="s">
        <v>5938</v>
      </c>
      <c r="I54" s="109" t="s">
        <v>5938</v>
      </c>
      <c r="J54" s="109" t="s">
        <v>5938</v>
      </c>
      <c r="K54" s="109" t="s">
        <v>5938</v>
      </c>
      <c r="L54" s="109" t="s">
        <v>5938</v>
      </c>
      <c r="M54" s="109" t="s">
        <v>5938</v>
      </c>
      <c r="N54" s="109" t="s">
        <v>5938</v>
      </c>
      <c r="O54" s="109" t="s">
        <v>5938</v>
      </c>
      <c r="P54" s="109" t="s">
        <v>5938</v>
      </c>
      <c r="Q54" s="109" t="s">
        <v>5938</v>
      </c>
      <c r="R54" s="109" t="s">
        <v>5938</v>
      </c>
      <c r="S54" s="109" t="s">
        <v>5938</v>
      </c>
      <c r="T54" s="109" t="s">
        <v>5938</v>
      </c>
      <c r="U54" s="109" t="s">
        <v>5938</v>
      </c>
      <c r="V54" s="109" t="s">
        <v>5938</v>
      </c>
      <c r="W54" s="109" t="s">
        <v>5938</v>
      </c>
      <c r="X54" s="109" t="s">
        <v>5938</v>
      </c>
      <c r="Y54" s="109" t="s">
        <v>5938</v>
      </c>
    </row>
    <row r="55" spans="1:25" x14ac:dyDescent="0.3">
      <c r="A55" s="108" t="s">
        <v>119</v>
      </c>
      <c r="B55" s="108">
        <v>56</v>
      </c>
      <c r="C55" s="108" t="s">
        <v>174</v>
      </c>
      <c r="D55" s="108" t="s">
        <v>173</v>
      </c>
      <c r="E55" s="109" t="s">
        <v>5938</v>
      </c>
      <c r="F55" s="109" t="s">
        <v>5938</v>
      </c>
      <c r="G55" s="109" t="s">
        <v>5938</v>
      </c>
      <c r="H55" s="109" t="s">
        <v>5938</v>
      </c>
      <c r="I55" s="109" t="s">
        <v>5938</v>
      </c>
      <c r="J55" s="109" t="s">
        <v>5938</v>
      </c>
      <c r="K55" s="109" t="s">
        <v>5938</v>
      </c>
      <c r="L55" s="109" t="s">
        <v>5938</v>
      </c>
      <c r="M55" s="109" t="s">
        <v>5938</v>
      </c>
      <c r="N55" s="109" t="s">
        <v>5938</v>
      </c>
      <c r="O55" s="109" t="s">
        <v>5938</v>
      </c>
      <c r="P55" s="109" t="s">
        <v>5938</v>
      </c>
      <c r="Q55" s="109" t="s">
        <v>5938</v>
      </c>
      <c r="R55" s="109" t="s">
        <v>5938</v>
      </c>
      <c r="S55" s="109" t="s">
        <v>5938</v>
      </c>
      <c r="T55" s="109" t="s">
        <v>5938</v>
      </c>
      <c r="U55" s="109" t="s">
        <v>5938</v>
      </c>
      <c r="V55" s="109" t="s">
        <v>5938</v>
      </c>
      <c r="W55" s="109" t="s">
        <v>5938</v>
      </c>
      <c r="X55" s="109" t="s">
        <v>5938</v>
      </c>
      <c r="Y55" s="109" t="s">
        <v>5938</v>
      </c>
    </row>
    <row r="56" spans="1:25" x14ac:dyDescent="0.3">
      <c r="A56" s="108" t="s">
        <v>119</v>
      </c>
      <c r="B56" s="108">
        <v>57</v>
      </c>
      <c r="C56" s="108" t="s">
        <v>176</v>
      </c>
      <c r="D56" s="108" t="s">
        <v>175</v>
      </c>
      <c r="E56" s="109" t="s">
        <v>5938</v>
      </c>
      <c r="F56" s="109" t="s">
        <v>5938</v>
      </c>
      <c r="G56" s="109" t="s">
        <v>5938</v>
      </c>
      <c r="H56" s="109" t="s">
        <v>5938</v>
      </c>
      <c r="I56" s="109" t="s">
        <v>5938</v>
      </c>
      <c r="J56" s="109" t="s">
        <v>5938</v>
      </c>
      <c r="K56" s="109" t="s">
        <v>5938</v>
      </c>
      <c r="L56" s="109" t="s">
        <v>5938</v>
      </c>
      <c r="M56" s="109" t="s">
        <v>5938</v>
      </c>
      <c r="N56" s="109" t="s">
        <v>5938</v>
      </c>
      <c r="O56" s="109" t="s">
        <v>5938</v>
      </c>
      <c r="P56" s="109" t="s">
        <v>5938</v>
      </c>
      <c r="Q56" s="109" t="s">
        <v>5938</v>
      </c>
      <c r="R56" s="109" t="s">
        <v>5938</v>
      </c>
      <c r="S56" s="109" t="s">
        <v>5938</v>
      </c>
      <c r="T56" s="109" t="s">
        <v>5938</v>
      </c>
      <c r="U56" s="109" t="s">
        <v>5938</v>
      </c>
      <c r="V56" s="109" t="s">
        <v>5938</v>
      </c>
      <c r="W56" s="109" t="s">
        <v>5938</v>
      </c>
      <c r="X56" s="109" t="s">
        <v>5938</v>
      </c>
      <c r="Y56" s="109" t="s">
        <v>5938</v>
      </c>
    </row>
    <row r="57" spans="1:25" x14ac:dyDescent="0.3">
      <c r="A57" s="108" t="s">
        <v>119</v>
      </c>
      <c r="B57" s="108">
        <v>58</v>
      </c>
      <c r="C57" s="108" t="s">
        <v>178</v>
      </c>
      <c r="D57" s="108" t="s">
        <v>177</v>
      </c>
      <c r="E57" s="109" t="s">
        <v>5938</v>
      </c>
      <c r="F57" s="109" t="s">
        <v>5938</v>
      </c>
      <c r="G57" s="109" t="s">
        <v>5938</v>
      </c>
      <c r="H57" s="109" t="s">
        <v>5938</v>
      </c>
      <c r="I57" s="109" t="s">
        <v>5938</v>
      </c>
      <c r="J57" s="109" t="s">
        <v>5938</v>
      </c>
      <c r="K57" s="109" t="s">
        <v>5938</v>
      </c>
      <c r="L57" s="109" t="s">
        <v>5938</v>
      </c>
      <c r="M57" s="109" t="s">
        <v>5938</v>
      </c>
      <c r="N57" s="109" t="s">
        <v>5938</v>
      </c>
      <c r="O57" s="109" t="s">
        <v>5938</v>
      </c>
      <c r="P57" s="109" t="s">
        <v>5938</v>
      </c>
      <c r="Q57" s="109" t="s">
        <v>5938</v>
      </c>
      <c r="R57" s="109" t="s">
        <v>5938</v>
      </c>
      <c r="S57" s="109" t="s">
        <v>5938</v>
      </c>
      <c r="T57" s="109" t="s">
        <v>5938</v>
      </c>
      <c r="U57" s="109" t="s">
        <v>5938</v>
      </c>
      <c r="V57" s="109" t="s">
        <v>5938</v>
      </c>
      <c r="W57" s="109" t="s">
        <v>5938</v>
      </c>
      <c r="X57" s="109" t="s">
        <v>5938</v>
      </c>
      <c r="Y57" s="109" t="s">
        <v>5938</v>
      </c>
    </row>
    <row r="58" spans="1:25" x14ac:dyDescent="0.3">
      <c r="A58" s="108" t="s">
        <v>119</v>
      </c>
      <c r="B58" s="108">
        <v>59</v>
      </c>
      <c r="C58" s="108" t="s">
        <v>180</v>
      </c>
      <c r="D58" s="108" t="s">
        <v>179</v>
      </c>
      <c r="E58" s="109" t="s">
        <v>5938</v>
      </c>
      <c r="F58" s="109" t="s">
        <v>5938</v>
      </c>
      <c r="G58" s="109" t="s">
        <v>5938</v>
      </c>
      <c r="H58" s="109" t="s">
        <v>5938</v>
      </c>
      <c r="I58" s="109" t="s">
        <v>5938</v>
      </c>
      <c r="J58" s="109" t="s">
        <v>5938</v>
      </c>
      <c r="K58" s="109" t="s">
        <v>5938</v>
      </c>
      <c r="L58" s="109" t="s">
        <v>5938</v>
      </c>
      <c r="M58" s="109" t="s">
        <v>5938</v>
      </c>
      <c r="N58" s="109" t="s">
        <v>5938</v>
      </c>
      <c r="O58" s="109" t="s">
        <v>5938</v>
      </c>
      <c r="P58" s="109" t="s">
        <v>5938</v>
      </c>
      <c r="Q58" s="109" t="s">
        <v>5938</v>
      </c>
      <c r="R58" s="109" t="s">
        <v>5938</v>
      </c>
      <c r="S58" s="109" t="s">
        <v>5938</v>
      </c>
      <c r="T58" s="109" t="s">
        <v>5938</v>
      </c>
      <c r="U58" s="109" t="s">
        <v>5938</v>
      </c>
      <c r="V58" s="109" t="s">
        <v>5938</v>
      </c>
      <c r="W58" s="109" t="s">
        <v>5938</v>
      </c>
      <c r="X58" s="109" t="s">
        <v>5938</v>
      </c>
      <c r="Y58" s="109" t="s">
        <v>5938</v>
      </c>
    </row>
    <row r="59" spans="1:25" x14ac:dyDescent="0.3">
      <c r="A59" s="108" t="s">
        <v>119</v>
      </c>
      <c r="B59" s="108">
        <v>60</v>
      </c>
      <c r="C59" s="108" t="s">
        <v>172</v>
      </c>
      <c r="D59" s="108" t="s">
        <v>440</v>
      </c>
      <c r="E59" s="109" t="s">
        <v>5938</v>
      </c>
      <c r="F59" s="109" t="s">
        <v>5938</v>
      </c>
      <c r="G59" s="109" t="s">
        <v>5938</v>
      </c>
      <c r="H59" s="109" t="s">
        <v>5938</v>
      </c>
      <c r="I59" s="109" t="s">
        <v>5938</v>
      </c>
      <c r="J59" s="109" t="s">
        <v>5938</v>
      </c>
      <c r="K59" s="109" t="s">
        <v>5938</v>
      </c>
      <c r="L59" s="109" t="s">
        <v>5938</v>
      </c>
      <c r="M59" s="109" t="s">
        <v>5938</v>
      </c>
      <c r="N59" s="109" t="s">
        <v>5938</v>
      </c>
      <c r="O59" s="109" t="s">
        <v>5938</v>
      </c>
      <c r="P59" s="109" t="s">
        <v>5938</v>
      </c>
      <c r="Q59" s="109" t="s">
        <v>5938</v>
      </c>
      <c r="R59" s="109" t="s">
        <v>5938</v>
      </c>
      <c r="S59" s="109" t="s">
        <v>5938</v>
      </c>
      <c r="T59" s="109" t="s">
        <v>5938</v>
      </c>
      <c r="U59" s="109" t="s">
        <v>5938</v>
      </c>
      <c r="V59" s="109" t="s">
        <v>5938</v>
      </c>
      <c r="W59" s="109" t="s">
        <v>5938</v>
      </c>
      <c r="X59" s="109" t="s">
        <v>5938</v>
      </c>
      <c r="Y59" s="109" t="s">
        <v>5938</v>
      </c>
    </row>
    <row r="60" spans="1:25" x14ac:dyDescent="0.3">
      <c r="A60" s="108" t="s">
        <v>119</v>
      </c>
      <c r="B60" s="108">
        <v>61</v>
      </c>
      <c r="C60" s="108" t="s">
        <v>166</v>
      </c>
      <c r="D60" s="108" t="s">
        <v>165</v>
      </c>
      <c r="E60" s="109" t="s">
        <v>5938</v>
      </c>
      <c r="F60" s="109" t="s">
        <v>5938</v>
      </c>
      <c r="G60" s="109" t="s">
        <v>5938</v>
      </c>
      <c r="H60" s="109" t="s">
        <v>5938</v>
      </c>
      <c r="I60" s="109" t="s">
        <v>5938</v>
      </c>
      <c r="J60" s="109" t="s">
        <v>5938</v>
      </c>
      <c r="K60" s="109" t="s">
        <v>5938</v>
      </c>
      <c r="L60" s="109" t="s">
        <v>5938</v>
      </c>
      <c r="M60" s="109" t="s">
        <v>5938</v>
      </c>
      <c r="N60" s="109" t="s">
        <v>5938</v>
      </c>
      <c r="O60" s="109" t="s">
        <v>5938</v>
      </c>
      <c r="P60" s="109" t="s">
        <v>5938</v>
      </c>
      <c r="Q60" s="109" t="s">
        <v>5938</v>
      </c>
      <c r="R60" s="109" t="s">
        <v>5938</v>
      </c>
      <c r="S60" s="109" t="s">
        <v>5938</v>
      </c>
      <c r="T60" s="109" t="s">
        <v>5938</v>
      </c>
      <c r="U60" s="109" t="s">
        <v>5938</v>
      </c>
      <c r="V60" s="109" t="s">
        <v>5938</v>
      </c>
      <c r="W60" s="109" t="s">
        <v>5938</v>
      </c>
      <c r="X60" s="109" t="s">
        <v>5938</v>
      </c>
      <c r="Y60" s="109" t="s">
        <v>5938</v>
      </c>
    </row>
    <row r="61" spans="1:25" x14ac:dyDescent="0.3">
      <c r="A61" s="108" t="s">
        <v>119</v>
      </c>
      <c r="B61" s="108">
        <v>62</v>
      </c>
      <c r="C61" s="108" t="s">
        <v>189</v>
      </c>
      <c r="D61" s="108" t="s">
        <v>53</v>
      </c>
      <c r="E61" s="109" t="s">
        <v>5938</v>
      </c>
      <c r="F61" s="109" t="s">
        <v>5938</v>
      </c>
      <c r="G61" s="109" t="s">
        <v>5938</v>
      </c>
      <c r="H61" s="109" t="s">
        <v>5938</v>
      </c>
      <c r="I61" s="109" t="s">
        <v>5938</v>
      </c>
      <c r="J61" s="109" t="s">
        <v>5938</v>
      </c>
      <c r="K61" s="109" t="s">
        <v>5938</v>
      </c>
      <c r="L61" s="109" t="s">
        <v>5938</v>
      </c>
      <c r="M61" s="109" t="s">
        <v>5938</v>
      </c>
      <c r="N61" s="109" t="s">
        <v>5938</v>
      </c>
      <c r="O61" s="109" t="s">
        <v>5938</v>
      </c>
      <c r="P61" s="109" t="s">
        <v>5938</v>
      </c>
      <c r="Q61" s="109" t="s">
        <v>5938</v>
      </c>
      <c r="R61" s="109" t="s">
        <v>5938</v>
      </c>
      <c r="S61" s="109" t="s">
        <v>5938</v>
      </c>
      <c r="T61" s="109" t="s">
        <v>5938</v>
      </c>
      <c r="U61" s="109" t="s">
        <v>5938</v>
      </c>
      <c r="V61" s="109" t="s">
        <v>5938</v>
      </c>
      <c r="W61" s="109" t="s">
        <v>5938</v>
      </c>
      <c r="X61" s="109" t="s">
        <v>5938</v>
      </c>
      <c r="Y61" s="109" t="s">
        <v>5938</v>
      </c>
    </row>
    <row r="62" spans="1:25" x14ac:dyDescent="0.3">
      <c r="A62" s="108" t="s">
        <v>119</v>
      </c>
      <c r="B62" s="108">
        <v>63</v>
      </c>
      <c r="C62" s="108" t="s">
        <v>192</v>
      </c>
      <c r="D62" s="108" t="s">
        <v>482</v>
      </c>
      <c r="E62" s="109" t="s">
        <v>5938</v>
      </c>
      <c r="F62" s="109" t="s">
        <v>5938</v>
      </c>
      <c r="G62" s="109" t="s">
        <v>5938</v>
      </c>
      <c r="H62" s="109" t="s">
        <v>5938</v>
      </c>
      <c r="I62" s="109" t="s">
        <v>5938</v>
      </c>
      <c r="J62" s="109" t="s">
        <v>5938</v>
      </c>
      <c r="K62" s="109" t="s">
        <v>5938</v>
      </c>
      <c r="L62" s="109" t="s">
        <v>5938</v>
      </c>
      <c r="M62" s="109" t="s">
        <v>5938</v>
      </c>
      <c r="N62" s="109" t="s">
        <v>5938</v>
      </c>
      <c r="O62" s="109" t="s">
        <v>5938</v>
      </c>
      <c r="P62" s="109" t="s">
        <v>5938</v>
      </c>
      <c r="Q62" s="109" t="s">
        <v>5938</v>
      </c>
      <c r="R62" s="109" t="s">
        <v>5938</v>
      </c>
      <c r="S62" s="109" t="s">
        <v>5938</v>
      </c>
      <c r="T62" s="109" t="s">
        <v>5938</v>
      </c>
      <c r="U62" s="109" t="s">
        <v>5938</v>
      </c>
      <c r="V62" s="109" t="s">
        <v>5938</v>
      </c>
      <c r="W62" s="109" t="s">
        <v>5938</v>
      </c>
      <c r="X62" s="109" t="s">
        <v>5938</v>
      </c>
      <c r="Y62" s="109" t="s">
        <v>5938</v>
      </c>
    </row>
    <row r="63" spans="1:25" x14ac:dyDescent="0.3">
      <c r="A63" s="108" t="s">
        <v>119</v>
      </c>
      <c r="B63" s="108">
        <v>64</v>
      </c>
      <c r="C63" s="108" t="s">
        <v>196</v>
      </c>
      <c r="D63" s="108" t="s">
        <v>195</v>
      </c>
      <c r="E63" s="109" t="s">
        <v>5938</v>
      </c>
      <c r="F63" s="109" t="s">
        <v>5938</v>
      </c>
      <c r="G63" s="109" t="s">
        <v>5938</v>
      </c>
      <c r="H63" s="109" t="s">
        <v>5938</v>
      </c>
      <c r="I63" s="109" t="s">
        <v>5938</v>
      </c>
      <c r="J63" s="109" t="s">
        <v>5938</v>
      </c>
      <c r="K63" s="109" t="s">
        <v>5938</v>
      </c>
      <c r="L63" s="109" t="s">
        <v>5938</v>
      </c>
      <c r="M63" s="109" t="s">
        <v>5938</v>
      </c>
      <c r="N63" s="109" t="s">
        <v>5938</v>
      </c>
      <c r="O63" s="109" t="s">
        <v>5938</v>
      </c>
      <c r="P63" s="109" t="s">
        <v>5938</v>
      </c>
      <c r="Q63" s="109" t="s">
        <v>5938</v>
      </c>
      <c r="R63" s="109" t="s">
        <v>5938</v>
      </c>
      <c r="S63" s="109" t="s">
        <v>5938</v>
      </c>
      <c r="T63" s="109" t="s">
        <v>5938</v>
      </c>
      <c r="U63" s="109" t="s">
        <v>5938</v>
      </c>
      <c r="V63" s="109" t="s">
        <v>5938</v>
      </c>
      <c r="W63" s="109" t="s">
        <v>5938</v>
      </c>
      <c r="X63" s="109" t="s">
        <v>5938</v>
      </c>
      <c r="Y63" s="109" t="s">
        <v>5938</v>
      </c>
    </row>
    <row r="64" spans="1:25" x14ac:dyDescent="0.3">
      <c r="A64" s="108" t="s">
        <v>119</v>
      </c>
      <c r="B64" s="108">
        <v>65</v>
      </c>
      <c r="C64" s="108" t="s">
        <v>198</v>
      </c>
      <c r="D64" s="108" t="s">
        <v>197</v>
      </c>
      <c r="E64" s="109" t="s">
        <v>5938</v>
      </c>
      <c r="F64" s="109" t="s">
        <v>5938</v>
      </c>
      <c r="G64" s="109" t="s">
        <v>5938</v>
      </c>
      <c r="H64" s="109" t="s">
        <v>5938</v>
      </c>
      <c r="I64" s="109" t="s">
        <v>5938</v>
      </c>
      <c r="J64" s="109" t="s">
        <v>5938</v>
      </c>
      <c r="K64" s="109" t="s">
        <v>5938</v>
      </c>
      <c r="L64" s="109" t="s">
        <v>5938</v>
      </c>
      <c r="M64" s="109" t="s">
        <v>5938</v>
      </c>
      <c r="N64" s="109" t="s">
        <v>5938</v>
      </c>
      <c r="O64" s="109" t="s">
        <v>5938</v>
      </c>
      <c r="P64" s="109" t="s">
        <v>5938</v>
      </c>
      <c r="Q64" s="109" t="s">
        <v>5938</v>
      </c>
      <c r="R64" s="109" t="s">
        <v>5938</v>
      </c>
      <c r="S64" s="109" t="s">
        <v>5938</v>
      </c>
      <c r="T64" s="109" t="s">
        <v>5938</v>
      </c>
      <c r="U64" s="109" t="s">
        <v>5938</v>
      </c>
      <c r="V64" s="109" t="s">
        <v>5938</v>
      </c>
      <c r="W64" s="109" t="s">
        <v>5938</v>
      </c>
      <c r="X64" s="109" t="s">
        <v>5938</v>
      </c>
      <c r="Y64" s="109" t="s">
        <v>5938</v>
      </c>
    </row>
    <row r="65" spans="1:25" x14ac:dyDescent="0.3">
      <c r="A65" s="108" t="s">
        <v>119</v>
      </c>
      <c r="B65" s="108">
        <v>66</v>
      </c>
      <c r="C65" s="108" t="s">
        <v>200</v>
      </c>
      <c r="D65" s="108" t="s">
        <v>199</v>
      </c>
      <c r="E65" s="109" t="s">
        <v>5938</v>
      </c>
      <c r="F65" s="109" t="s">
        <v>5938</v>
      </c>
      <c r="G65" s="109" t="s">
        <v>5938</v>
      </c>
      <c r="H65" s="109" t="s">
        <v>5938</v>
      </c>
      <c r="I65" s="109" t="s">
        <v>5938</v>
      </c>
      <c r="J65" s="109" t="s">
        <v>5938</v>
      </c>
      <c r="K65" s="109" t="s">
        <v>5938</v>
      </c>
      <c r="L65" s="109" t="s">
        <v>5938</v>
      </c>
      <c r="M65" s="109" t="s">
        <v>5938</v>
      </c>
      <c r="N65" s="109" t="s">
        <v>5938</v>
      </c>
      <c r="O65" s="109" t="s">
        <v>5938</v>
      </c>
      <c r="P65" s="109" t="s">
        <v>5938</v>
      </c>
      <c r="Q65" s="109" t="s">
        <v>5938</v>
      </c>
      <c r="R65" s="109" t="s">
        <v>5938</v>
      </c>
      <c r="S65" s="109" t="s">
        <v>5938</v>
      </c>
      <c r="T65" s="109" t="s">
        <v>5938</v>
      </c>
      <c r="U65" s="109" t="s">
        <v>5938</v>
      </c>
      <c r="V65" s="109" t="s">
        <v>5938</v>
      </c>
      <c r="W65" s="109" t="s">
        <v>5938</v>
      </c>
      <c r="X65" s="109" t="s">
        <v>5938</v>
      </c>
      <c r="Y65" s="109" t="s">
        <v>5938</v>
      </c>
    </row>
    <row r="66" spans="1:25" x14ac:dyDescent="0.3">
      <c r="A66" s="108" t="s">
        <v>119</v>
      </c>
      <c r="B66" s="108">
        <v>67</v>
      </c>
      <c r="C66" s="108" t="s">
        <v>202</v>
      </c>
      <c r="D66" s="108" t="s">
        <v>201</v>
      </c>
      <c r="E66" s="109" t="s">
        <v>5938</v>
      </c>
      <c r="F66" s="109" t="s">
        <v>5938</v>
      </c>
      <c r="G66" s="109" t="s">
        <v>5938</v>
      </c>
      <c r="H66" s="109" t="s">
        <v>5938</v>
      </c>
      <c r="I66" s="109" t="s">
        <v>5938</v>
      </c>
      <c r="J66" s="109" t="s">
        <v>5938</v>
      </c>
      <c r="K66" s="109" t="s">
        <v>5938</v>
      </c>
      <c r="L66" s="109" t="s">
        <v>5938</v>
      </c>
      <c r="M66" s="109" t="s">
        <v>5938</v>
      </c>
      <c r="N66" s="109" t="s">
        <v>5938</v>
      </c>
      <c r="O66" s="109" t="s">
        <v>5938</v>
      </c>
      <c r="P66" s="109" t="s">
        <v>5938</v>
      </c>
      <c r="Q66" s="109" t="s">
        <v>5938</v>
      </c>
      <c r="R66" s="109" t="s">
        <v>5938</v>
      </c>
      <c r="S66" s="109" t="s">
        <v>5938</v>
      </c>
      <c r="T66" s="109" t="s">
        <v>5938</v>
      </c>
      <c r="U66" s="109" t="s">
        <v>5938</v>
      </c>
      <c r="V66" s="109" t="s">
        <v>5938</v>
      </c>
      <c r="W66" s="109" t="s">
        <v>5938</v>
      </c>
      <c r="X66" s="109" t="s">
        <v>5938</v>
      </c>
      <c r="Y66" s="109" t="s">
        <v>5938</v>
      </c>
    </row>
    <row r="67" spans="1:25" x14ac:dyDescent="0.3">
      <c r="A67" s="108" t="s">
        <v>119</v>
      </c>
      <c r="B67" s="108">
        <v>68</v>
      </c>
      <c r="C67" s="108" t="s">
        <v>204</v>
      </c>
      <c r="D67" s="108" t="s">
        <v>203</v>
      </c>
      <c r="E67" s="109" t="s">
        <v>5938</v>
      </c>
      <c r="F67" s="109" t="s">
        <v>5938</v>
      </c>
      <c r="G67" s="109" t="s">
        <v>5938</v>
      </c>
      <c r="H67" s="109" t="s">
        <v>5938</v>
      </c>
      <c r="I67" s="109" t="s">
        <v>5938</v>
      </c>
      <c r="J67" s="109" t="s">
        <v>5938</v>
      </c>
      <c r="K67" s="109" t="s">
        <v>5938</v>
      </c>
      <c r="L67" s="109" t="s">
        <v>5938</v>
      </c>
      <c r="M67" s="109" t="s">
        <v>5938</v>
      </c>
      <c r="N67" s="109" t="s">
        <v>5938</v>
      </c>
      <c r="O67" s="109" t="s">
        <v>5938</v>
      </c>
      <c r="P67" s="109" t="s">
        <v>5938</v>
      </c>
      <c r="Q67" s="109" t="s">
        <v>5938</v>
      </c>
      <c r="R67" s="109" t="s">
        <v>5938</v>
      </c>
      <c r="S67" s="109" t="s">
        <v>5938</v>
      </c>
      <c r="T67" s="109" t="s">
        <v>5938</v>
      </c>
      <c r="U67" s="109" t="s">
        <v>5938</v>
      </c>
      <c r="V67" s="109" t="s">
        <v>5938</v>
      </c>
      <c r="W67" s="109" t="s">
        <v>5938</v>
      </c>
      <c r="X67" s="109" t="s">
        <v>5938</v>
      </c>
      <c r="Y67" s="109" t="s">
        <v>5938</v>
      </c>
    </row>
    <row r="68" spans="1:25" x14ac:dyDescent="0.3">
      <c r="A68" s="108" t="s">
        <v>119</v>
      </c>
      <c r="B68" s="108">
        <v>69</v>
      </c>
      <c r="C68" s="108" t="s">
        <v>206</v>
      </c>
      <c r="D68" s="108" t="s">
        <v>205</v>
      </c>
      <c r="E68" s="109" t="s">
        <v>5938</v>
      </c>
      <c r="F68" s="109" t="s">
        <v>5938</v>
      </c>
      <c r="G68" s="109" t="s">
        <v>5938</v>
      </c>
      <c r="H68" s="109" t="s">
        <v>5938</v>
      </c>
      <c r="I68" s="109" t="s">
        <v>5938</v>
      </c>
      <c r="J68" s="109" t="s">
        <v>5938</v>
      </c>
      <c r="K68" s="109" t="s">
        <v>5938</v>
      </c>
      <c r="L68" s="109" t="s">
        <v>5938</v>
      </c>
      <c r="M68" s="109" t="s">
        <v>5938</v>
      </c>
      <c r="N68" s="109" t="s">
        <v>5938</v>
      </c>
      <c r="O68" s="109" t="s">
        <v>5938</v>
      </c>
      <c r="P68" s="109" t="s">
        <v>5938</v>
      </c>
      <c r="Q68" s="109" t="s">
        <v>5938</v>
      </c>
      <c r="R68" s="109" t="s">
        <v>5938</v>
      </c>
      <c r="S68" s="109" t="s">
        <v>5938</v>
      </c>
      <c r="T68" s="109" t="s">
        <v>5938</v>
      </c>
      <c r="U68" s="109" t="s">
        <v>5938</v>
      </c>
      <c r="V68" s="109" t="s">
        <v>5938</v>
      </c>
      <c r="W68" s="109" t="s">
        <v>5938</v>
      </c>
      <c r="X68" s="109" t="s">
        <v>5938</v>
      </c>
      <c r="Y68" s="109" t="s">
        <v>5938</v>
      </c>
    </row>
    <row r="69" spans="1:25" x14ac:dyDescent="0.3">
      <c r="A69" s="108" t="s">
        <v>119</v>
      </c>
      <c r="B69" s="108">
        <v>70</v>
      </c>
      <c r="C69" s="108" t="s">
        <v>209</v>
      </c>
      <c r="D69" s="108" t="s">
        <v>207</v>
      </c>
      <c r="E69" s="109" t="s">
        <v>5938</v>
      </c>
      <c r="F69" s="109" t="s">
        <v>5938</v>
      </c>
      <c r="G69" s="109" t="s">
        <v>5938</v>
      </c>
      <c r="H69" s="109" t="s">
        <v>5938</v>
      </c>
      <c r="I69" s="109" t="s">
        <v>5938</v>
      </c>
      <c r="J69" s="109" t="s">
        <v>5938</v>
      </c>
      <c r="K69" s="109" t="s">
        <v>5938</v>
      </c>
      <c r="L69" s="109" t="s">
        <v>5938</v>
      </c>
      <c r="M69" s="109" t="s">
        <v>5938</v>
      </c>
      <c r="N69" s="109" t="s">
        <v>5938</v>
      </c>
      <c r="O69" s="109" t="s">
        <v>5938</v>
      </c>
      <c r="P69" s="109" t="s">
        <v>5938</v>
      </c>
      <c r="Q69" s="109" t="s">
        <v>5938</v>
      </c>
      <c r="R69" s="109" t="s">
        <v>5938</v>
      </c>
      <c r="S69" s="109" t="s">
        <v>5938</v>
      </c>
      <c r="T69" s="109" t="s">
        <v>5938</v>
      </c>
      <c r="U69" s="109" t="s">
        <v>5938</v>
      </c>
      <c r="V69" s="109" t="s">
        <v>5938</v>
      </c>
      <c r="W69" s="109" t="s">
        <v>5938</v>
      </c>
      <c r="X69" s="109" t="s">
        <v>5938</v>
      </c>
      <c r="Y69" s="109" t="s">
        <v>5938</v>
      </c>
    </row>
    <row r="70" spans="1:25" x14ac:dyDescent="0.3">
      <c r="A70" s="108" t="s">
        <v>119</v>
      </c>
      <c r="B70" s="108">
        <v>71</v>
      </c>
      <c r="C70" s="108" t="s">
        <v>276</v>
      </c>
      <c r="D70" s="108" t="s">
        <v>484</v>
      </c>
      <c r="E70" s="109" t="s">
        <v>5938</v>
      </c>
      <c r="F70" s="109" t="s">
        <v>5938</v>
      </c>
      <c r="G70" s="109" t="s">
        <v>5938</v>
      </c>
      <c r="H70" s="109" t="s">
        <v>5938</v>
      </c>
      <c r="I70" s="109" t="s">
        <v>5938</v>
      </c>
      <c r="J70" s="109" t="s">
        <v>5938</v>
      </c>
      <c r="K70" s="109" t="s">
        <v>5938</v>
      </c>
      <c r="L70" s="109" t="s">
        <v>5938</v>
      </c>
      <c r="M70" s="109" t="s">
        <v>5938</v>
      </c>
      <c r="N70" s="109" t="s">
        <v>5938</v>
      </c>
      <c r="O70" s="109" t="s">
        <v>5938</v>
      </c>
      <c r="P70" s="109" t="s">
        <v>5938</v>
      </c>
      <c r="Q70" s="109" t="s">
        <v>5938</v>
      </c>
      <c r="R70" s="109" t="s">
        <v>5938</v>
      </c>
      <c r="S70" s="109" t="s">
        <v>5938</v>
      </c>
      <c r="T70" s="109" t="s">
        <v>5938</v>
      </c>
      <c r="U70" s="109" t="s">
        <v>5938</v>
      </c>
      <c r="V70" s="109" t="s">
        <v>5938</v>
      </c>
      <c r="W70" s="109" t="s">
        <v>5938</v>
      </c>
      <c r="X70" s="109" t="s">
        <v>5938</v>
      </c>
      <c r="Y70" s="109" t="s">
        <v>5938</v>
      </c>
    </row>
    <row r="71" spans="1:25" x14ac:dyDescent="0.3">
      <c r="A71" s="108" t="s">
        <v>119</v>
      </c>
      <c r="B71" s="108">
        <v>72</v>
      </c>
      <c r="C71" s="108" t="s">
        <v>5875</v>
      </c>
      <c r="D71" s="108" t="s">
        <v>55</v>
      </c>
      <c r="E71" s="109" t="s">
        <v>5938</v>
      </c>
      <c r="F71" s="109" t="s">
        <v>5938</v>
      </c>
      <c r="G71" s="109" t="s">
        <v>5938</v>
      </c>
      <c r="H71" s="109" t="s">
        <v>5938</v>
      </c>
      <c r="I71" s="109" t="s">
        <v>5938</v>
      </c>
      <c r="J71" s="109" t="s">
        <v>5938</v>
      </c>
      <c r="K71" s="109" t="s">
        <v>5938</v>
      </c>
      <c r="L71" s="109" t="s">
        <v>5938</v>
      </c>
      <c r="M71" s="109" t="s">
        <v>5938</v>
      </c>
      <c r="N71" s="109" t="s">
        <v>5938</v>
      </c>
      <c r="O71" s="109" t="s">
        <v>5938</v>
      </c>
      <c r="P71" s="109" t="s">
        <v>5938</v>
      </c>
      <c r="Q71" s="109" t="s">
        <v>5938</v>
      </c>
      <c r="R71" s="109" t="s">
        <v>5938</v>
      </c>
      <c r="S71" s="109" t="s">
        <v>5938</v>
      </c>
      <c r="T71" s="109" t="s">
        <v>5938</v>
      </c>
      <c r="U71" s="109" t="s">
        <v>5938</v>
      </c>
      <c r="V71" s="109" t="s">
        <v>5938</v>
      </c>
      <c r="W71" s="109" t="s">
        <v>5938</v>
      </c>
      <c r="X71" s="109" t="s">
        <v>5938</v>
      </c>
      <c r="Y71" s="109" t="s">
        <v>5938</v>
      </c>
    </row>
    <row r="72" spans="1:25" x14ac:dyDescent="0.3">
      <c r="A72" s="108" t="s">
        <v>119</v>
      </c>
      <c r="B72" s="108">
        <v>73</v>
      </c>
      <c r="C72" s="108" t="s">
        <v>211</v>
      </c>
      <c r="D72" s="108" t="s">
        <v>210</v>
      </c>
      <c r="E72" s="109" t="s">
        <v>5938</v>
      </c>
      <c r="F72" s="109" t="s">
        <v>5938</v>
      </c>
      <c r="G72" s="109" t="s">
        <v>5938</v>
      </c>
      <c r="H72" s="109" t="s">
        <v>5938</v>
      </c>
      <c r="I72" s="109" t="s">
        <v>5938</v>
      </c>
      <c r="J72" s="109" t="s">
        <v>5938</v>
      </c>
      <c r="K72" s="109" t="s">
        <v>5938</v>
      </c>
      <c r="L72" s="109" t="s">
        <v>5938</v>
      </c>
      <c r="M72" s="109" t="s">
        <v>5938</v>
      </c>
      <c r="N72" s="109" t="s">
        <v>5938</v>
      </c>
      <c r="O72" s="109" t="s">
        <v>5938</v>
      </c>
      <c r="P72" s="109" t="s">
        <v>5938</v>
      </c>
      <c r="Q72" s="109" t="s">
        <v>5938</v>
      </c>
      <c r="R72" s="109" t="s">
        <v>5938</v>
      </c>
      <c r="S72" s="109" t="s">
        <v>5938</v>
      </c>
      <c r="T72" s="109" t="s">
        <v>5938</v>
      </c>
      <c r="U72" s="109" t="s">
        <v>5938</v>
      </c>
      <c r="V72" s="109" t="s">
        <v>5938</v>
      </c>
      <c r="W72" s="109" t="s">
        <v>5938</v>
      </c>
      <c r="X72" s="109" t="s">
        <v>5938</v>
      </c>
      <c r="Y72" s="109" t="s">
        <v>5938</v>
      </c>
    </row>
    <row r="73" spans="1:25" x14ac:dyDescent="0.3">
      <c r="A73" s="108" t="s">
        <v>119</v>
      </c>
      <c r="B73" s="108">
        <v>74</v>
      </c>
      <c r="C73" s="108" t="s">
        <v>214</v>
      </c>
      <c r="D73" s="108" t="s">
        <v>485</v>
      </c>
      <c r="E73" s="109" t="s">
        <v>5938</v>
      </c>
      <c r="F73" s="109" t="s">
        <v>5938</v>
      </c>
      <c r="G73" s="109" t="s">
        <v>5938</v>
      </c>
      <c r="H73" s="109" t="s">
        <v>5938</v>
      </c>
      <c r="I73" s="109" t="s">
        <v>5938</v>
      </c>
      <c r="J73" s="109" t="s">
        <v>5938</v>
      </c>
      <c r="K73" s="109" t="s">
        <v>5938</v>
      </c>
      <c r="L73" s="109" t="s">
        <v>5938</v>
      </c>
      <c r="M73" s="109" t="s">
        <v>5938</v>
      </c>
      <c r="N73" s="109" t="s">
        <v>5938</v>
      </c>
      <c r="O73" s="109" t="s">
        <v>5938</v>
      </c>
      <c r="P73" s="109" t="s">
        <v>5938</v>
      </c>
      <c r="Q73" s="109" t="s">
        <v>5938</v>
      </c>
      <c r="R73" s="109" t="s">
        <v>5938</v>
      </c>
      <c r="S73" s="109" t="s">
        <v>5938</v>
      </c>
      <c r="T73" s="109" t="s">
        <v>5938</v>
      </c>
      <c r="U73" s="109" t="s">
        <v>5938</v>
      </c>
      <c r="V73" s="109" t="s">
        <v>5938</v>
      </c>
      <c r="W73" s="109" t="s">
        <v>5938</v>
      </c>
      <c r="X73" s="109" t="s">
        <v>5938</v>
      </c>
      <c r="Y73" s="109" t="s">
        <v>5938</v>
      </c>
    </row>
    <row r="74" spans="1:25" x14ac:dyDescent="0.3">
      <c r="A74" s="108" t="s">
        <v>119</v>
      </c>
      <c r="B74" s="108">
        <v>75</v>
      </c>
      <c r="C74" s="108" t="s">
        <v>63</v>
      </c>
      <c r="D74" s="108" t="s">
        <v>61</v>
      </c>
      <c r="E74" s="109" t="s">
        <v>5938</v>
      </c>
      <c r="F74" s="109" t="s">
        <v>5938</v>
      </c>
      <c r="G74" s="109" t="s">
        <v>5938</v>
      </c>
      <c r="H74" s="109" t="s">
        <v>5938</v>
      </c>
      <c r="I74" s="109" t="s">
        <v>5938</v>
      </c>
      <c r="J74" s="109" t="s">
        <v>5938</v>
      </c>
      <c r="K74" s="109" t="s">
        <v>5938</v>
      </c>
      <c r="L74" s="109" t="s">
        <v>5938</v>
      </c>
      <c r="M74" s="109" t="s">
        <v>5938</v>
      </c>
      <c r="N74" s="109" t="s">
        <v>5938</v>
      </c>
      <c r="O74" s="109" t="s">
        <v>5938</v>
      </c>
      <c r="P74" s="109" t="s">
        <v>5938</v>
      </c>
      <c r="Q74" s="109" t="s">
        <v>5938</v>
      </c>
      <c r="R74" s="109" t="s">
        <v>5938</v>
      </c>
      <c r="S74" s="109" t="s">
        <v>5938</v>
      </c>
      <c r="T74" s="109" t="s">
        <v>5938</v>
      </c>
      <c r="U74" s="109" t="s">
        <v>5938</v>
      </c>
      <c r="V74" s="109" t="s">
        <v>5938</v>
      </c>
      <c r="W74" s="109" t="s">
        <v>5938</v>
      </c>
      <c r="X74" s="109" t="s">
        <v>5938</v>
      </c>
      <c r="Y74" s="109" t="s">
        <v>5938</v>
      </c>
    </row>
    <row r="75" spans="1:25" x14ac:dyDescent="0.3">
      <c r="A75" s="108" t="s">
        <v>119</v>
      </c>
      <c r="B75" s="108">
        <v>76</v>
      </c>
      <c r="C75" s="108" t="s">
        <v>217</v>
      </c>
      <c r="D75" s="108" t="s">
        <v>486</v>
      </c>
      <c r="E75" s="109" t="s">
        <v>5938</v>
      </c>
      <c r="F75" s="109" t="s">
        <v>5938</v>
      </c>
      <c r="G75" s="109" t="s">
        <v>5938</v>
      </c>
      <c r="H75" s="109" t="s">
        <v>5938</v>
      </c>
      <c r="I75" s="109" t="s">
        <v>5938</v>
      </c>
      <c r="J75" s="109" t="s">
        <v>5938</v>
      </c>
      <c r="K75" s="109" t="s">
        <v>5938</v>
      </c>
      <c r="L75" s="109" t="s">
        <v>5938</v>
      </c>
      <c r="M75" s="109" t="s">
        <v>5938</v>
      </c>
      <c r="N75" s="109" t="s">
        <v>5938</v>
      </c>
      <c r="O75" s="109" t="s">
        <v>5938</v>
      </c>
      <c r="P75" s="109" t="s">
        <v>5938</v>
      </c>
      <c r="Q75" s="109" t="s">
        <v>5938</v>
      </c>
      <c r="R75" s="109" t="s">
        <v>5938</v>
      </c>
      <c r="S75" s="109" t="s">
        <v>5938</v>
      </c>
      <c r="T75" s="109" t="s">
        <v>5938</v>
      </c>
      <c r="U75" s="109" t="s">
        <v>5938</v>
      </c>
      <c r="V75" s="109" t="s">
        <v>5938</v>
      </c>
      <c r="W75" s="109" t="s">
        <v>5938</v>
      </c>
      <c r="X75" s="109" t="s">
        <v>5938</v>
      </c>
      <c r="Y75" s="109" t="s">
        <v>5938</v>
      </c>
    </row>
    <row r="76" spans="1:25" x14ac:dyDescent="0.3">
      <c r="A76" s="108" t="s">
        <v>119</v>
      </c>
      <c r="B76" s="108">
        <v>77</v>
      </c>
      <c r="C76" s="108" t="s">
        <v>69</v>
      </c>
      <c r="D76" s="108" t="s">
        <v>67</v>
      </c>
      <c r="E76" s="109" t="s">
        <v>5938</v>
      </c>
      <c r="F76" s="109" t="s">
        <v>5938</v>
      </c>
      <c r="G76" s="109" t="s">
        <v>5938</v>
      </c>
      <c r="H76" s="109" t="s">
        <v>5938</v>
      </c>
      <c r="I76" s="109" t="s">
        <v>5938</v>
      </c>
      <c r="J76" s="109" t="s">
        <v>5938</v>
      </c>
      <c r="K76" s="109" t="s">
        <v>5938</v>
      </c>
      <c r="L76" s="109" t="s">
        <v>5938</v>
      </c>
      <c r="M76" s="109" t="s">
        <v>5938</v>
      </c>
      <c r="N76" s="109" t="s">
        <v>5938</v>
      </c>
      <c r="O76" s="109" t="s">
        <v>5938</v>
      </c>
      <c r="P76" s="109" t="s">
        <v>5938</v>
      </c>
      <c r="Q76" s="109" t="s">
        <v>5938</v>
      </c>
      <c r="R76" s="109" t="s">
        <v>5938</v>
      </c>
      <c r="S76" s="109" t="s">
        <v>5938</v>
      </c>
      <c r="T76" s="109" t="s">
        <v>5938</v>
      </c>
      <c r="U76" s="109" t="s">
        <v>5938</v>
      </c>
      <c r="V76" s="109" t="s">
        <v>5938</v>
      </c>
      <c r="W76" s="109" t="s">
        <v>5938</v>
      </c>
      <c r="X76" s="109" t="s">
        <v>5938</v>
      </c>
      <c r="Y76" s="109" t="s">
        <v>5938</v>
      </c>
    </row>
    <row r="77" spans="1:25" x14ac:dyDescent="0.3">
      <c r="A77" s="108" t="s">
        <v>119</v>
      </c>
      <c r="B77" s="108">
        <v>78</v>
      </c>
      <c r="C77" s="108" t="s">
        <v>140</v>
      </c>
      <c r="D77" s="108" t="s">
        <v>487</v>
      </c>
      <c r="E77" s="109" t="s">
        <v>5938</v>
      </c>
      <c r="F77" s="109" t="s">
        <v>5938</v>
      </c>
      <c r="G77" s="109" t="s">
        <v>5938</v>
      </c>
      <c r="H77" s="109" t="s">
        <v>5938</v>
      </c>
      <c r="I77" s="109" t="s">
        <v>5938</v>
      </c>
      <c r="J77" s="109" t="s">
        <v>5938</v>
      </c>
      <c r="K77" s="109" t="s">
        <v>5938</v>
      </c>
      <c r="L77" s="109" t="s">
        <v>5938</v>
      </c>
      <c r="M77" s="109" t="s">
        <v>5938</v>
      </c>
      <c r="N77" s="109" t="s">
        <v>5938</v>
      </c>
      <c r="O77" s="109" t="s">
        <v>5938</v>
      </c>
      <c r="P77" s="109" t="s">
        <v>5938</v>
      </c>
      <c r="Q77" s="109" t="s">
        <v>5938</v>
      </c>
      <c r="R77" s="109" t="s">
        <v>5938</v>
      </c>
      <c r="S77" s="109" t="s">
        <v>5938</v>
      </c>
      <c r="T77" s="109" t="s">
        <v>5938</v>
      </c>
      <c r="U77" s="109" t="s">
        <v>5938</v>
      </c>
      <c r="V77" s="109" t="s">
        <v>5938</v>
      </c>
      <c r="W77" s="109" t="s">
        <v>5938</v>
      </c>
      <c r="X77" s="109" t="s">
        <v>5938</v>
      </c>
      <c r="Y77" s="109" t="s">
        <v>5938</v>
      </c>
    </row>
    <row r="78" spans="1:25" x14ac:dyDescent="0.3">
      <c r="A78" s="108" t="s">
        <v>119</v>
      </c>
      <c r="B78" s="108">
        <v>79</v>
      </c>
      <c r="C78" s="108" t="s">
        <v>342</v>
      </c>
      <c r="D78" s="108" t="s">
        <v>488</v>
      </c>
      <c r="E78" s="109" t="s">
        <v>5938</v>
      </c>
      <c r="F78" s="109" t="s">
        <v>5938</v>
      </c>
      <c r="G78" s="109" t="s">
        <v>5938</v>
      </c>
      <c r="H78" s="109" t="s">
        <v>5938</v>
      </c>
      <c r="I78" s="109" t="s">
        <v>5938</v>
      </c>
      <c r="J78" s="109" t="s">
        <v>5938</v>
      </c>
      <c r="K78" s="109" t="s">
        <v>5938</v>
      </c>
      <c r="L78" s="109" t="s">
        <v>5938</v>
      </c>
      <c r="M78" s="109" t="s">
        <v>5938</v>
      </c>
      <c r="N78" s="109" t="s">
        <v>5938</v>
      </c>
      <c r="O78" s="109" t="s">
        <v>5938</v>
      </c>
      <c r="P78" s="109" t="s">
        <v>5938</v>
      </c>
      <c r="Q78" s="109" t="s">
        <v>5938</v>
      </c>
      <c r="R78" s="109" t="s">
        <v>5938</v>
      </c>
      <c r="S78" s="109" t="s">
        <v>5938</v>
      </c>
      <c r="T78" s="109" t="s">
        <v>5938</v>
      </c>
      <c r="U78" s="109" t="s">
        <v>5938</v>
      </c>
      <c r="V78" s="109" t="s">
        <v>5938</v>
      </c>
      <c r="W78" s="109" t="s">
        <v>5938</v>
      </c>
      <c r="X78" s="109" t="s">
        <v>5938</v>
      </c>
      <c r="Y78" s="109" t="s">
        <v>5938</v>
      </c>
    </row>
    <row r="79" spans="1:25" x14ac:dyDescent="0.3">
      <c r="A79" s="108" t="s">
        <v>119</v>
      </c>
      <c r="B79" s="108">
        <v>80</v>
      </c>
      <c r="C79" s="108" t="s">
        <v>282</v>
      </c>
      <c r="D79" s="108" t="s">
        <v>280</v>
      </c>
      <c r="E79" s="109" t="s">
        <v>5938</v>
      </c>
      <c r="F79" s="109" t="s">
        <v>5938</v>
      </c>
      <c r="G79" s="109" t="s">
        <v>5938</v>
      </c>
      <c r="H79" s="109" t="s">
        <v>5938</v>
      </c>
      <c r="I79" s="109" t="s">
        <v>5938</v>
      </c>
      <c r="J79" s="109" t="s">
        <v>5938</v>
      </c>
      <c r="K79" s="109" t="s">
        <v>5938</v>
      </c>
      <c r="L79" s="109" t="s">
        <v>5938</v>
      </c>
      <c r="M79" s="109" t="s">
        <v>5938</v>
      </c>
      <c r="N79" s="109" t="s">
        <v>5938</v>
      </c>
      <c r="O79" s="109" t="s">
        <v>5938</v>
      </c>
      <c r="P79" s="109" t="s">
        <v>5938</v>
      </c>
      <c r="Q79" s="109" t="s">
        <v>5938</v>
      </c>
      <c r="R79" s="109" t="s">
        <v>5938</v>
      </c>
      <c r="S79" s="109" t="s">
        <v>5938</v>
      </c>
      <c r="T79" s="109" t="s">
        <v>5938</v>
      </c>
      <c r="U79" s="109" t="s">
        <v>5938</v>
      </c>
      <c r="V79" s="109" t="s">
        <v>5938</v>
      </c>
      <c r="W79" s="109" t="s">
        <v>5938</v>
      </c>
      <c r="X79" s="109" t="s">
        <v>5938</v>
      </c>
      <c r="Y79" s="109" t="s">
        <v>5938</v>
      </c>
    </row>
    <row r="80" spans="1:25" x14ac:dyDescent="0.3">
      <c r="A80" s="108" t="s">
        <v>119</v>
      </c>
      <c r="B80" s="108">
        <v>81</v>
      </c>
      <c r="C80" s="108" t="s">
        <v>284</v>
      </c>
      <c r="D80" s="108" t="s">
        <v>283</v>
      </c>
      <c r="E80" s="109" t="s">
        <v>5938</v>
      </c>
      <c r="F80" s="109" t="s">
        <v>5938</v>
      </c>
      <c r="G80" s="109" t="s">
        <v>5938</v>
      </c>
      <c r="H80" s="109" t="s">
        <v>5938</v>
      </c>
      <c r="I80" s="109" t="s">
        <v>5938</v>
      </c>
      <c r="J80" s="109" t="s">
        <v>5938</v>
      </c>
      <c r="K80" s="109" t="s">
        <v>5938</v>
      </c>
      <c r="L80" s="109" t="s">
        <v>5938</v>
      </c>
      <c r="M80" s="109" t="s">
        <v>5938</v>
      </c>
      <c r="N80" s="109" t="s">
        <v>5938</v>
      </c>
      <c r="O80" s="109" t="s">
        <v>5938</v>
      </c>
      <c r="P80" s="109" t="s">
        <v>5938</v>
      </c>
      <c r="Q80" s="109" t="s">
        <v>5938</v>
      </c>
      <c r="R80" s="109" t="s">
        <v>5938</v>
      </c>
      <c r="S80" s="109" t="s">
        <v>5938</v>
      </c>
      <c r="T80" s="109" t="s">
        <v>5938</v>
      </c>
      <c r="U80" s="109" t="s">
        <v>5938</v>
      </c>
      <c r="V80" s="109" t="s">
        <v>5938</v>
      </c>
      <c r="W80" s="109" t="s">
        <v>5938</v>
      </c>
      <c r="X80" s="109" t="s">
        <v>5938</v>
      </c>
      <c r="Y80" s="109" t="s">
        <v>5938</v>
      </c>
    </row>
    <row r="81" spans="1:25" x14ac:dyDescent="0.3">
      <c r="A81" s="108" t="s">
        <v>293</v>
      </c>
      <c r="B81" s="108">
        <v>82</v>
      </c>
      <c r="C81" s="108" t="s">
        <v>295</v>
      </c>
      <c r="D81" s="108" t="s">
        <v>294</v>
      </c>
      <c r="E81" s="109" t="s">
        <v>5938</v>
      </c>
      <c r="F81" s="109" t="s">
        <v>5938</v>
      </c>
      <c r="G81" s="109" t="s">
        <v>5938</v>
      </c>
      <c r="H81" s="109" t="s">
        <v>5938</v>
      </c>
      <c r="I81" s="109" t="s">
        <v>5938</v>
      </c>
      <c r="J81" s="109" t="s">
        <v>5938</v>
      </c>
      <c r="K81" s="109" t="s">
        <v>5938</v>
      </c>
      <c r="L81" s="109" t="s">
        <v>5938</v>
      </c>
      <c r="M81" s="109" t="s">
        <v>5938</v>
      </c>
      <c r="N81" s="109" t="s">
        <v>5938</v>
      </c>
      <c r="O81" s="109" t="s">
        <v>5938</v>
      </c>
      <c r="P81" s="109" t="s">
        <v>5938</v>
      </c>
      <c r="Q81" s="109" t="s">
        <v>5938</v>
      </c>
      <c r="R81" s="109" t="s">
        <v>5938</v>
      </c>
      <c r="S81" s="109" t="s">
        <v>5938</v>
      </c>
      <c r="T81" s="109" t="s">
        <v>5938</v>
      </c>
      <c r="U81" s="109" t="s">
        <v>5938</v>
      </c>
      <c r="V81" s="109" t="s">
        <v>5938</v>
      </c>
      <c r="W81" s="109" t="s">
        <v>5938</v>
      </c>
      <c r="X81" s="109" t="s">
        <v>5938</v>
      </c>
      <c r="Y81" s="109" t="s">
        <v>5938</v>
      </c>
    </row>
    <row r="82" spans="1:25" x14ac:dyDescent="0.3">
      <c r="A82" s="108" t="s">
        <v>293</v>
      </c>
      <c r="B82" s="108">
        <v>83</v>
      </c>
      <c r="C82" s="108" t="s">
        <v>174</v>
      </c>
      <c r="D82" s="108" t="s">
        <v>173</v>
      </c>
      <c r="E82" s="109" t="s">
        <v>5938</v>
      </c>
      <c r="F82" s="109" t="s">
        <v>5938</v>
      </c>
      <c r="G82" s="109" t="s">
        <v>5938</v>
      </c>
      <c r="H82" s="109" t="s">
        <v>5938</v>
      </c>
      <c r="I82" s="109" t="s">
        <v>5938</v>
      </c>
      <c r="J82" s="109" t="s">
        <v>5938</v>
      </c>
      <c r="K82" s="109" t="s">
        <v>5938</v>
      </c>
      <c r="L82" s="109" t="s">
        <v>5938</v>
      </c>
      <c r="M82" s="109" t="s">
        <v>5938</v>
      </c>
      <c r="N82" s="109" t="s">
        <v>5938</v>
      </c>
      <c r="O82" s="109" t="s">
        <v>5938</v>
      </c>
      <c r="P82" s="109" t="s">
        <v>5938</v>
      </c>
      <c r="Q82" s="109" t="s">
        <v>5938</v>
      </c>
      <c r="R82" s="109" t="s">
        <v>5938</v>
      </c>
      <c r="S82" s="109" t="s">
        <v>5938</v>
      </c>
      <c r="T82" s="109" t="s">
        <v>5938</v>
      </c>
      <c r="U82" s="109" t="s">
        <v>5938</v>
      </c>
      <c r="V82" s="109" t="s">
        <v>5938</v>
      </c>
      <c r="W82" s="109" t="s">
        <v>5938</v>
      </c>
      <c r="X82" s="109" t="s">
        <v>5938</v>
      </c>
      <c r="Y82" s="109" t="s">
        <v>5938</v>
      </c>
    </row>
    <row r="83" spans="1:25" x14ac:dyDescent="0.3">
      <c r="A83" s="108" t="s">
        <v>293</v>
      </c>
      <c r="B83" s="108">
        <v>84</v>
      </c>
      <c r="C83" s="108" t="s">
        <v>176</v>
      </c>
      <c r="D83" s="108" t="s">
        <v>175</v>
      </c>
      <c r="E83" s="109" t="s">
        <v>5938</v>
      </c>
      <c r="F83" s="109" t="s">
        <v>5938</v>
      </c>
      <c r="G83" s="109" t="s">
        <v>5938</v>
      </c>
      <c r="H83" s="109" t="s">
        <v>5938</v>
      </c>
      <c r="I83" s="109" t="s">
        <v>5938</v>
      </c>
      <c r="J83" s="109" t="s">
        <v>5938</v>
      </c>
      <c r="K83" s="109" t="s">
        <v>5938</v>
      </c>
      <c r="L83" s="109" t="s">
        <v>5938</v>
      </c>
      <c r="M83" s="109" t="s">
        <v>5938</v>
      </c>
      <c r="N83" s="109" t="s">
        <v>5938</v>
      </c>
      <c r="O83" s="109" t="s">
        <v>5938</v>
      </c>
      <c r="P83" s="109" t="s">
        <v>5938</v>
      </c>
      <c r="Q83" s="109" t="s">
        <v>5938</v>
      </c>
      <c r="R83" s="109" t="s">
        <v>5938</v>
      </c>
      <c r="S83" s="109" t="s">
        <v>5938</v>
      </c>
      <c r="T83" s="109" t="s">
        <v>5938</v>
      </c>
      <c r="U83" s="109" t="s">
        <v>5938</v>
      </c>
      <c r="V83" s="109" t="s">
        <v>5938</v>
      </c>
      <c r="W83" s="109" t="s">
        <v>5938</v>
      </c>
      <c r="X83" s="109" t="s">
        <v>5938</v>
      </c>
      <c r="Y83" s="109" t="s">
        <v>5938</v>
      </c>
    </row>
    <row r="84" spans="1:25" x14ac:dyDescent="0.3">
      <c r="A84" s="108" t="s">
        <v>293</v>
      </c>
      <c r="B84" s="108">
        <v>85</v>
      </c>
      <c r="C84" s="108" t="s">
        <v>178</v>
      </c>
      <c r="D84" s="108" t="s">
        <v>177</v>
      </c>
      <c r="E84" s="109" t="s">
        <v>5938</v>
      </c>
      <c r="F84" s="109" t="s">
        <v>5938</v>
      </c>
      <c r="G84" s="109" t="s">
        <v>5938</v>
      </c>
      <c r="H84" s="109" t="s">
        <v>5938</v>
      </c>
      <c r="I84" s="109" t="s">
        <v>5938</v>
      </c>
      <c r="J84" s="109" t="s">
        <v>5938</v>
      </c>
      <c r="K84" s="109" t="s">
        <v>5938</v>
      </c>
      <c r="L84" s="109" t="s">
        <v>5938</v>
      </c>
      <c r="M84" s="109" t="s">
        <v>5938</v>
      </c>
      <c r="N84" s="109" t="s">
        <v>5938</v>
      </c>
      <c r="O84" s="109" t="s">
        <v>5938</v>
      </c>
      <c r="P84" s="109" t="s">
        <v>5938</v>
      </c>
      <c r="Q84" s="109" t="s">
        <v>5938</v>
      </c>
      <c r="R84" s="109" t="s">
        <v>5938</v>
      </c>
      <c r="S84" s="109" t="s">
        <v>5938</v>
      </c>
      <c r="T84" s="109" t="s">
        <v>5938</v>
      </c>
      <c r="U84" s="109" t="s">
        <v>5938</v>
      </c>
      <c r="V84" s="109" t="s">
        <v>5938</v>
      </c>
      <c r="W84" s="109" t="s">
        <v>5938</v>
      </c>
      <c r="X84" s="109" t="s">
        <v>5938</v>
      </c>
      <c r="Y84" s="109" t="s">
        <v>5938</v>
      </c>
    </row>
    <row r="85" spans="1:25" x14ac:dyDescent="0.3">
      <c r="A85" s="108" t="s">
        <v>293</v>
      </c>
      <c r="B85" s="108">
        <v>86</v>
      </c>
      <c r="C85" s="108" t="s">
        <v>180</v>
      </c>
      <c r="D85" s="108" t="s">
        <v>179</v>
      </c>
      <c r="E85" s="109" t="s">
        <v>5938</v>
      </c>
      <c r="F85" s="109" t="s">
        <v>5938</v>
      </c>
      <c r="G85" s="109" t="s">
        <v>5938</v>
      </c>
      <c r="H85" s="109" t="s">
        <v>5938</v>
      </c>
      <c r="I85" s="109" t="s">
        <v>5938</v>
      </c>
      <c r="J85" s="109" t="s">
        <v>5938</v>
      </c>
      <c r="K85" s="109" t="s">
        <v>5938</v>
      </c>
      <c r="L85" s="109" t="s">
        <v>5938</v>
      </c>
      <c r="M85" s="109" t="s">
        <v>5938</v>
      </c>
      <c r="N85" s="109" t="s">
        <v>5938</v>
      </c>
      <c r="O85" s="109" t="s">
        <v>5938</v>
      </c>
      <c r="P85" s="109" t="s">
        <v>5938</v>
      </c>
      <c r="Q85" s="109" t="s">
        <v>5938</v>
      </c>
      <c r="R85" s="109" t="s">
        <v>5938</v>
      </c>
      <c r="S85" s="109" t="s">
        <v>5938</v>
      </c>
      <c r="T85" s="109" t="s">
        <v>5938</v>
      </c>
      <c r="U85" s="109" t="s">
        <v>5938</v>
      </c>
      <c r="V85" s="109" t="s">
        <v>5938</v>
      </c>
      <c r="W85" s="109" t="s">
        <v>5938</v>
      </c>
      <c r="X85" s="109" t="s">
        <v>5938</v>
      </c>
      <c r="Y85" s="109" t="s">
        <v>5938</v>
      </c>
    </row>
    <row r="86" spans="1:25" x14ac:dyDescent="0.3">
      <c r="A86" s="108" t="s">
        <v>293</v>
      </c>
      <c r="B86" s="108">
        <v>87</v>
      </c>
      <c r="C86" s="108" t="s">
        <v>186</v>
      </c>
      <c r="D86" s="108" t="s">
        <v>185</v>
      </c>
      <c r="E86" s="109" t="s">
        <v>5938</v>
      </c>
      <c r="F86" s="109" t="s">
        <v>5938</v>
      </c>
      <c r="G86" s="109" t="s">
        <v>5938</v>
      </c>
      <c r="H86" s="109" t="s">
        <v>5938</v>
      </c>
      <c r="I86" s="109" t="s">
        <v>5938</v>
      </c>
      <c r="J86" s="109" t="s">
        <v>5938</v>
      </c>
      <c r="K86" s="109" t="s">
        <v>5938</v>
      </c>
      <c r="L86" s="109" t="s">
        <v>5938</v>
      </c>
      <c r="M86" s="109" t="s">
        <v>5938</v>
      </c>
      <c r="N86" s="109" t="s">
        <v>5938</v>
      </c>
      <c r="O86" s="109" t="s">
        <v>5938</v>
      </c>
      <c r="P86" s="109" t="s">
        <v>5938</v>
      </c>
      <c r="Q86" s="109" t="s">
        <v>5938</v>
      </c>
      <c r="R86" s="109" t="s">
        <v>5938</v>
      </c>
      <c r="S86" s="109" t="s">
        <v>5938</v>
      </c>
      <c r="T86" s="109" t="s">
        <v>5938</v>
      </c>
      <c r="U86" s="109" t="s">
        <v>5938</v>
      </c>
      <c r="V86" s="109" t="s">
        <v>5938</v>
      </c>
      <c r="W86" s="109" t="s">
        <v>5938</v>
      </c>
      <c r="X86" s="109" t="s">
        <v>5938</v>
      </c>
      <c r="Y86" s="109" t="s">
        <v>5938</v>
      </c>
    </row>
    <row r="87" spans="1:25" x14ac:dyDescent="0.3">
      <c r="A87" s="108" t="s">
        <v>293</v>
      </c>
      <c r="B87" s="108">
        <v>88</v>
      </c>
      <c r="C87" s="108" t="s">
        <v>188</v>
      </c>
      <c r="D87" s="108" t="s">
        <v>187</v>
      </c>
      <c r="E87" s="109" t="s">
        <v>5938</v>
      </c>
      <c r="F87" s="109" t="s">
        <v>5938</v>
      </c>
      <c r="G87" s="109" t="s">
        <v>5938</v>
      </c>
      <c r="H87" s="109" t="s">
        <v>5938</v>
      </c>
      <c r="I87" s="109" t="s">
        <v>5938</v>
      </c>
      <c r="J87" s="109" t="s">
        <v>5938</v>
      </c>
      <c r="K87" s="109" t="s">
        <v>5938</v>
      </c>
      <c r="L87" s="109" t="s">
        <v>5938</v>
      </c>
      <c r="M87" s="109" t="s">
        <v>5938</v>
      </c>
      <c r="N87" s="109" t="s">
        <v>5938</v>
      </c>
      <c r="O87" s="109" t="s">
        <v>5938</v>
      </c>
      <c r="P87" s="109" t="s">
        <v>5938</v>
      </c>
      <c r="Q87" s="109" t="s">
        <v>5938</v>
      </c>
      <c r="R87" s="109" t="s">
        <v>5938</v>
      </c>
      <c r="S87" s="109" t="s">
        <v>5938</v>
      </c>
      <c r="T87" s="109" t="s">
        <v>5938</v>
      </c>
      <c r="U87" s="109" t="s">
        <v>5938</v>
      </c>
      <c r="V87" s="109" t="s">
        <v>5938</v>
      </c>
      <c r="W87" s="109" t="s">
        <v>5938</v>
      </c>
      <c r="X87" s="109" t="s">
        <v>5938</v>
      </c>
      <c r="Y87" s="109" t="s">
        <v>5938</v>
      </c>
    </row>
    <row r="88" spans="1:25" x14ac:dyDescent="0.3">
      <c r="A88" s="108" t="s">
        <v>293</v>
      </c>
      <c r="B88" s="108">
        <v>89</v>
      </c>
      <c r="C88" s="108" t="s">
        <v>159</v>
      </c>
      <c r="D88" s="108" t="s">
        <v>158</v>
      </c>
      <c r="E88" s="109" t="s">
        <v>5938</v>
      </c>
      <c r="F88" s="109" t="s">
        <v>5938</v>
      </c>
      <c r="G88" s="109" t="s">
        <v>5938</v>
      </c>
      <c r="H88" s="109" t="s">
        <v>5938</v>
      </c>
      <c r="I88" s="109" t="s">
        <v>5938</v>
      </c>
      <c r="J88" s="109" t="s">
        <v>5938</v>
      </c>
      <c r="K88" s="109" t="s">
        <v>5938</v>
      </c>
      <c r="L88" s="109" t="s">
        <v>5938</v>
      </c>
      <c r="M88" s="109" t="s">
        <v>5938</v>
      </c>
      <c r="N88" s="109" t="s">
        <v>5938</v>
      </c>
      <c r="O88" s="109" t="s">
        <v>5938</v>
      </c>
      <c r="P88" s="109" t="s">
        <v>5938</v>
      </c>
      <c r="Q88" s="109" t="s">
        <v>5938</v>
      </c>
      <c r="R88" s="109" t="s">
        <v>5938</v>
      </c>
      <c r="S88" s="109" t="s">
        <v>5938</v>
      </c>
      <c r="T88" s="109" t="s">
        <v>5938</v>
      </c>
      <c r="U88" s="109" t="s">
        <v>5938</v>
      </c>
      <c r="V88" s="109" t="s">
        <v>5938</v>
      </c>
      <c r="W88" s="109" t="s">
        <v>5938</v>
      </c>
      <c r="X88" s="109" t="s">
        <v>5938</v>
      </c>
      <c r="Y88" s="109" t="s">
        <v>5938</v>
      </c>
    </row>
    <row r="89" spans="1:25" x14ac:dyDescent="0.3">
      <c r="A89" s="108" t="s">
        <v>293</v>
      </c>
      <c r="B89" s="108">
        <v>90</v>
      </c>
      <c r="C89" s="108" t="s">
        <v>135</v>
      </c>
      <c r="D89" s="108" t="s">
        <v>134</v>
      </c>
      <c r="E89" s="109" t="s">
        <v>5938</v>
      </c>
      <c r="F89" s="109" t="s">
        <v>5938</v>
      </c>
      <c r="G89" s="109" t="s">
        <v>5938</v>
      </c>
      <c r="H89" s="109" t="s">
        <v>5938</v>
      </c>
      <c r="I89" s="109" t="s">
        <v>5938</v>
      </c>
      <c r="J89" s="109" t="s">
        <v>5938</v>
      </c>
      <c r="K89" s="109" t="s">
        <v>5938</v>
      </c>
      <c r="L89" s="109" t="s">
        <v>5938</v>
      </c>
      <c r="M89" s="109" t="s">
        <v>5938</v>
      </c>
      <c r="N89" s="109" t="s">
        <v>5938</v>
      </c>
      <c r="O89" s="109" t="s">
        <v>5938</v>
      </c>
      <c r="P89" s="109" t="s">
        <v>5938</v>
      </c>
      <c r="Q89" s="109" t="s">
        <v>5938</v>
      </c>
      <c r="R89" s="109" t="s">
        <v>5938</v>
      </c>
      <c r="S89" s="109" t="s">
        <v>5938</v>
      </c>
      <c r="T89" s="109" t="s">
        <v>5938</v>
      </c>
      <c r="U89" s="109" t="s">
        <v>5938</v>
      </c>
      <c r="V89" s="109" t="s">
        <v>5938</v>
      </c>
      <c r="W89" s="109" t="s">
        <v>5938</v>
      </c>
      <c r="X89" s="109" t="s">
        <v>5938</v>
      </c>
      <c r="Y89" s="109" t="s">
        <v>5938</v>
      </c>
    </row>
    <row r="90" spans="1:25" x14ac:dyDescent="0.3">
      <c r="A90" s="108" t="s">
        <v>293</v>
      </c>
      <c r="B90" s="108">
        <v>91</v>
      </c>
      <c r="C90" s="108" t="s">
        <v>492</v>
      </c>
      <c r="D90" s="108" t="s">
        <v>491</v>
      </c>
      <c r="E90" s="109" t="s">
        <v>5938</v>
      </c>
      <c r="F90" s="109" t="s">
        <v>5938</v>
      </c>
      <c r="G90" s="109" t="s">
        <v>5938</v>
      </c>
      <c r="H90" s="109" t="s">
        <v>5938</v>
      </c>
      <c r="I90" s="109" t="s">
        <v>5938</v>
      </c>
      <c r="J90" s="109" t="s">
        <v>5938</v>
      </c>
      <c r="K90" s="109" t="s">
        <v>5938</v>
      </c>
      <c r="L90" s="109" t="s">
        <v>5938</v>
      </c>
      <c r="M90" s="109" t="s">
        <v>5938</v>
      </c>
      <c r="N90" s="109" t="s">
        <v>5938</v>
      </c>
      <c r="O90" s="109" t="s">
        <v>5938</v>
      </c>
      <c r="P90" s="109" t="s">
        <v>5938</v>
      </c>
      <c r="Q90" s="109" t="s">
        <v>5938</v>
      </c>
      <c r="R90" s="109" t="s">
        <v>5938</v>
      </c>
      <c r="S90" s="109" t="s">
        <v>5938</v>
      </c>
      <c r="T90" s="109" t="s">
        <v>5938</v>
      </c>
      <c r="U90" s="109" t="s">
        <v>5938</v>
      </c>
      <c r="V90" s="109" t="s">
        <v>5938</v>
      </c>
      <c r="W90" s="109" t="s">
        <v>5938</v>
      </c>
      <c r="X90" s="109" t="s">
        <v>5938</v>
      </c>
      <c r="Y90" s="109" t="s">
        <v>5938</v>
      </c>
    </row>
    <row r="91" spans="1:25" x14ac:dyDescent="0.3">
      <c r="A91" s="108" t="s">
        <v>293</v>
      </c>
      <c r="B91" s="108">
        <v>92</v>
      </c>
      <c r="C91" s="108" t="s">
        <v>157</v>
      </c>
      <c r="D91" s="108" t="s">
        <v>156</v>
      </c>
      <c r="E91" s="109" t="s">
        <v>5938</v>
      </c>
      <c r="F91" s="109" t="s">
        <v>5938</v>
      </c>
      <c r="G91" s="109" t="s">
        <v>5938</v>
      </c>
      <c r="H91" s="109" t="s">
        <v>5938</v>
      </c>
      <c r="I91" s="109" t="s">
        <v>5938</v>
      </c>
      <c r="J91" s="109" t="s">
        <v>5938</v>
      </c>
      <c r="K91" s="109" t="s">
        <v>5938</v>
      </c>
      <c r="L91" s="109" t="s">
        <v>5938</v>
      </c>
      <c r="M91" s="109" t="s">
        <v>5938</v>
      </c>
      <c r="N91" s="109" t="s">
        <v>5938</v>
      </c>
      <c r="O91" s="109" t="s">
        <v>5938</v>
      </c>
      <c r="P91" s="109" t="s">
        <v>5938</v>
      </c>
      <c r="Q91" s="109" t="s">
        <v>5938</v>
      </c>
      <c r="R91" s="109" t="s">
        <v>5938</v>
      </c>
      <c r="S91" s="109" t="s">
        <v>5938</v>
      </c>
      <c r="T91" s="109" t="s">
        <v>5938</v>
      </c>
      <c r="U91" s="109" t="s">
        <v>5938</v>
      </c>
      <c r="V91" s="109" t="s">
        <v>5938</v>
      </c>
      <c r="W91" s="109" t="s">
        <v>5938</v>
      </c>
      <c r="X91" s="109" t="s">
        <v>5938</v>
      </c>
      <c r="Y91" s="109" t="s">
        <v>5938</v>
      </c>
    </row>
    <row r="92" spans="1:25" x14ac:dyDescent="0.3">
      <c r="A92" s="108" t="s">
        <v>293</v>
      </c>
      <c r="B92" s="108">
        <v>93</v>
      </c>
      <c r="C92" s="108" t="s">
        <v>157</v>
      </c>
      <c r="D92" s="108" t="s">
        <v>296</v>
      </c>
      <c r="E92" s="109" t="s">
        <v>5938</v>
      </c>
      <c r="F92" s="109" t="s">
        <v>5938</v>
      </c>
      <c r="G92" s="109" t="s">
        <v>5938</v>
      </c>
      <c r="H92" s="109" t="s">
        <v>5938</v>
      </c>
      <c r="I92" s="109" t="s">
        <v>5938</v>
      </c>
      <c r="J92" s="109" t="s">
        <v>5938</v>
      </c>
      <c r="K92" s="109" t="s">
        <v>5938</v>
      </c>
      <c r="L92" s="109" t="s">
        <v>5938</v>
      </c>
      <c r="M92" s="109" t="s">
        <v>5938</v>
      </c>
      <c r="N92" s="109" t="s">
        <v>5938</v>
      </c>
      <c r="O92" s="109" t="s">
        <v>5938</v>
      </c>
      <c r="P92" s="109" t="s">
        <v>5938</v>
      </c>
      <c r="Q92" s="109" t="s">
        <v>5938</v>
      </c>
      <c r="R92" s="109" t="s">
        <v>5938</v>
      </c>
      <c r="S92" s="109" t="s">
        <v>5938</v>
      </c>
      <c r="T92" s="109" t="s">
        <v>5938</v>
      </c>
      <c r="U92" s="109" t="s">
        <v>5938</v>
      </c>
      <c r="V92" s="109" t="s">
        <v>5938</v>
      </c>
      <c r="W92" s="109" t="s">
        <v>5938</v>
      </c>
      <c r="X92" s="109" t="s">
        <v>5938</v>
      </c>
      <c r="Y92" s="109" t="s">
        <v>5938</v>
      </c>
    </row>
    <row r="93" spans="1:25" x14ac:dyDescent="0.3">
      <c r="A93" s="108" t="s">
        <v>293</v>
      </c>
      <c r="B93" s="108">
        <v>94</v>
      </c>
      <c r="C93" s="108" t="s">
        <v>155</v>
      </c>
      <c r="D93" s="108" t="s">
        <v>154</v>
      </c>
      <c r="E93" s="109" t="s">
        <v>5938</v>
      </c>
      <c r="F93" s="109" t="s">
        <v>5938</v>
      </c>
      <c r="G93" s="109" t="s">
        <v>5938</v>
      </c>
      <c r="H93" s="109" t="s">
        <v>5938</v>
      </c>
      <c r="I93" s="109" t="s">
        <v>5938</v>
      </c>
      <c r="J93" s="109" t="s">
        <v>5938</v>
      </c>
      <c r="K93" s="109" t="s">
        <v>5938</v>
      </c>
      <c r="L93" s="109" t="s">
        <v>5938</v>
      </c>
      <c r="M93" s="109" t="s">
        <v>5938</v>
      </c>
      <c r="N93" s="109" t="s">
        <v>5938</v>
      </c>
      <c r="O93" s="109" t="s">
        <v>5938</v>
      </c>
      <c r="P93" s="109" t="s">
        <v>5938</v>
      </c>
      <c r="Q93" s="109" t="s">
        <v>5938</v>
      </c>
      <c r="R93" s="109" t="s">
        <v>5938</v>
      </c>
      <c r="S93" s="109" t="s">
        <v>5938</v>
      </c>
      <c r="T93" s="109" t="s">
        <v>5938</v>
      </c>
      <c r="U93" s="109" t="s">
        <v>5938</v>
      </c>
      <c r="V93" s="109" t="s">
        <v>5938</v>
      </c>
      <c r="W93" s="109" t="s">
        <v>5938</v>
      </c>
      <c r="X93" s="109" t="s">
        <v>5938</v>
      </c>
      <c r="Y93" s="109" t="s">
        <v>5938</v>
      </c>
    </row>
    <row r="94" spans="1:25" x14ac:dyDescent="0.3">
      <c r="A94" s="108" t="s">
        <v>293</v>
      </c>
      <c r="B94" s="108">
        <v>95</v>
      </c>
      <c r="C94" s="108" t="s">
        <v>494</v>
      </c>
      <c r="D94" s="108" t="s">
        <v>493</v>
      </c>
      <c r="E94" s="109" t="s">
        <v>5938</v>
      </c>
      <c r="F94" s="109" t="s">
        <v>5938</v>
      </c>
      <c r="G94" s="109" t="s">
        <v>5938</v>
      </c>
      <c r="H94" s="109" t="s">
        <v>5938</v>
      </c>
      <c r="I94" s="109" t="s">
        <v>5938</v>
      </c>
      <c r="J94" s="109" t="s">
        <v>5938</v>
      </c>
      <c r="K94" s="109" t="s">
        <v>5938</v>
      </c>
      <c r="L94" s="109" t="s">
        <v>5938</v>
      </c>
      <c r="M94" s="109" t="s">
        <v>5938</v>
      </c>
      <c r="N94" s="109" t="s">
        <v>5938</v>
      </c>
      <c r="O94" s="109" t="s">
        <v>5938</v>
      </c>
      <c r="P94" s="109" t="s">
        <v>5938</v>
      </c>
      <c r="Q94" s="109" t="s">
        <v>5938</v>
      </c>
      <c r="R94" s="109" t="s">
        <v>5938</v>
      </c>
      <c r="S94" s="109" t="s">
        <v>5938</v>
      </c>
      <c r="T94" s="109" t="s">
        <v>5938</v>
      </c>
      <c r="U94" s="109" t="s">
        <v>5938</v>
      </c>
      <c r="V94" s="109" t="s">
        <v>5938</v>
      </c>
      <c r="W94" s="109" t="s">
        <v>5938</v>
      </c>
      <c r="X94" s="109" t="s">
        <v>5938</v>
      </c>
      <c r="Y94" s="109" t="s">
        <v>5938</v>
      </c>
    </row>
    <row r="95" spans="1:25" x14ac:dyDescent="0.3">
      <c r="A95" s="108" t="s">
        <v>293</v>
      </c>
      <c r="B95" s="108">
        <v>96</v>
      </c>
      <c r="C95" s="108" t="s">
        <v>155</v>
      </c>
      <c r="D95" s="108" t="s">
        <v>299</v>
      </c>
      <c r="E95" s="109" t="s">
        <v>5938</v>
      </c>
      <c r="F95" s="109" t="s">
        <v>5938</v>
      </c>
      <c r="G95" s="109" t="s">
        <v>5938</v>
      </c>
      <c r="H95" s="109" t="s">
        <v>5938</v>
      </c>
      <c r="I95" s="109" t="s">
        <v>5938</v>
      </c>
      <c r="J95" s="109" t="s">
        <v>5938</v>
      </c>
      <c r="K95" s="109" t="s">
        <v>5938</v>
      </c>
      <c r="L95" s="109" t="s">
        <v>5938</v>
      </c>
      <c r="M95" s="109" t="s">
        <v>5938</v>
      </c>
      <c r="N95" s="109" t="s">
        <v>5938</v>
      </c>
      <c r="O95" s="109" t="s">
        <v>5938</v>
      </c>
      <c r="P95" s="109" t="s">
        <v>5938</v>
      </c>
      <c r="Q95" s="109" t="s">
        <v>5938</v>
      </c>
      <c r="R95" s="109" t="s">
        <v>5938</v>
      </c>
      <c r="S95" s="109" t="s">
        <v>5938</v>
      </c>
      <c r="T95" s="109" t="s">
        <v>5938</v>
      </c>
      <c r="U95" s="109" t="s">
        <v>5938</v>
      </c>
      <c r="V95" s="109" t="s">
        <v>5938</v>
      </c>
      <c r="W95" s="109" t="s">
        <v>5938</v>
      </c>
      <c r="X95" s="109" t="s">
        <v>5938</v>
      </c>
      <c r="Y95" s="109" t="s">
        <v>5938</v>
      </c>
    </row>
    <row r="96" spans="1:25" x14ac:dyDescent="0.3">
      <c r="A96" s="108" t="s">
        <v>293</v>
      </c>
      <c r="B96" s="108">
        <v>97</v>
      </c>
      <c r="C96" s="108" t="s">
        <v>172</v>
      </c>
      <c r="D96" s="108" t="s">
        <v>440</v>
      </c>
      <c r="E96" s="109" t="s">
        <v>5938</v>
      </c>
      <c r="F96" s="109" t="s">
        <v>5938</v>
      </c>
      <c r="G96" s="109" t="s">
        <v>5938</v>
      </c>
      <c r="H96" s="109" t="s">
        <v>5938</v>
      </c>
      <c r="I96" s="109" t="s">
        <v>5938</v>
      </c>
      <c r="J96" s="109" t="s">
        <v>5938</v>
      </c>
      <c r="K96" s="109" t="s">
        <v>5938</v>
      </c>
      <c r="L96" s="109" t="s">
        <v>5938</v>
      </c>
      <c r="M96" s="109" t="s">
        <v>5938</v>
      </c>
      <c r="N96" s="109" t="s">
        <v>5938</v>
      </c>
      <c r="O96" s="109" t="s">
        <v>5938</v>
      </c>
      <c r="P96" s="109" t="s">
        <v>5938</v>
      </c>
      <c r="Q96" s="109" t="s">
        <v>5938</v>
      </c>
      <c r="R96" s="109" t="s">
        <v>5938</v>
      </c>
      <c r="S96" s="109" t="s">
        <v>5938</v>
      </c>
      <c r="T96" s="109" t="s">
        <v>5938</v>
      </c>
      <c r="U96" s="109" t="s">
        <v>5938</v>
      </c>
      <c r="V96" s="109" t="s">
        <v>5938</v>
      </c>
      <c r="W96" s="109" t="s">
        <v>5938</v>
      </c>
      <c r="X96" s="109" t="s">
        <v>5938</v>
      </c>
      <c r="Y96" s="109" t="s">
        <v>5938</v>
      </c>
    </row>
    <row r="97" spans="1:25" x14ac:dyDescent="0.3">
      <c r="A97" s="108" t="s">
        <v>293</v>
      </c>
      <c r="B97" s="108">
        <v>98</v>
      </c>
      <c r="C97" s="108" t="s">
        <v>172</v>
      </c>
      <c r="D97" s="108" t="s">
        <v>440</v>
      </c>
      <c r="E97" s="109" t="s">
        <v>5938</v>
      </c>
      <c r="F97" s="109" t="s">
        <v>5938</v>
      </c>
      <c r="G97" s="109" t="s">
        <v>5938</v>
      </c>
      <c r="H97" s="109" t="s">
        <v>5938</v>
      </c>
      <c r="I97" s="109" t="s">
        <v>5938</v>
      </c>
      <c r="J97" s="109" t="s">
        <v>5938</v>
      </c>
      <c r="K97" s="109" t="s">
        <v>5938</v>
      </c>
      <c r="L97" s="109" t="s">
        <v>5938</v>
      </c>
      <c r="M97" s="109" t="s">
        <v>5938</v>
      </c>
      <c r="N97" s="109" t="s">
        <v>5938</v>
      </c>
      <c r="O97" s="109" t="s">
        <v>5938</v>
      </c>
      <c r="P97" s="109" t="s">
        <v>5938</v>
      </c>
      <c r="Q97" s="109" t="s">
        <v>5938</v>
      </c>
      <c r="R97" s="109" t="s">
        <v>5938</v>
      </c>
      <c r="S97" s="109" t="s">
        <v>5938</v>
      </c>
      <c r="T97" s="109" t="s">
        <v>5938</v>
      </c>
      <c r="U97" s="109" t="s">
        <v>5938</v>
      </c>
      <c r="V97" s="109" t="s">
        <v>5938</v>
      </c>
      <c r="W97" s="109" t="s">
        <v>5938</v>
      </c>
      <c r="X97" s="109" t="s">
        <v>5938</v>
      </c>
      <c r="Y97" s="109" t="s">
        <v>5938</v>
      </c>
    </row>
    <row r="98" spans="1:25" x14ac:dyDescent="0.3">
      <c r="A98" s="108" t="s">
        <v>293</v>
      </c>
      <c r="B98" s="108">
        <v>99</v>
      </c>
      <c r="C98" s="108" t="s">
        <v>327</v>
      </c>
      <c r="D98" s="108" t="s">
        <v>495</v>
      </c>
      <c r="E98" s="109" t="s">
        <v>5938</v>
      </c>
      <c r="F98" s="109" t="s">
        <v>5938</v>
      </c>
      <c r="G98" s="109" t="s">
        <v>5938</v>
      </c>
      <c r="H98" s="109" t="s">
        <v>5938</v>
      </c>
      <c r="I98" s="109" t="s">
        <v>5938</v>
      </c>
      <c r="J98" s="109" t="s">
        <v>5938</v>
      </c>
      <c r="K98" s="109" t="s">
        <v>5938</v>
      </c>
      <c r="L98" s="109" t="s">
        <v>5938</v>
      </c>
      <c r="M98" s="109" t="s">
        <v>5938</v>
      </c>
      <c r="N98" s="109" t="s">
        <v>5938</v>
      </c>
      <c r="O98" s="109" t="s">
        <v>5938</v>
      </c>
      <c r="P98" s="109" t="s">
        <v>5938</v>
      </c>
      <c r="Q98" s="109" t="s">
        <v>5938</v>
      </c>
      <c r="R98" s="109" t="s">
        <v>5938</v>
      </c>
      <c r="S98" s="109" t="s">
        <v>5938</v>
      </c>
      <c r="T98" s="109" t="s">
        <v>5938</v>
      </c>
      <c r="U98" s="109" t="s">
        <v>5938</v>
      </c>
      <c r="V98" s="109" t="s">
        <v>5938</v>
      </c>
      <c r="W98" s="109" t="s">
        <v>5938</v>
      </c>
      <c r="X98" s="109" t="s">
        <v>5938</v>
      </c>
      <c r="Y98" s="109" t="s">
        <v>5938</v>
      </c>
    </row>
    <row r="99" spans="1:25" x14ac:dyDescent="0.3">
      <c r="A99" s="108" t="s">
        <v>293</v>
      </c>
      <c r="B99" s="108">
        <v>100</v>
      </c>
      <c r="C99" s="108" t="s">
        <v>301</v>
      </c>
      <c r="D99" s="108" t="s">
        <v>300</v>
      </c>
      <c r="E99" s="109" t="s">
        <v>5938</v>
      </c>
      <c r="F99" s="109" t="s">
        <v>5938</v>
      </c>
      <c r="G99" s="109" t="s">
        <v>5938</v>
      </c>
      <c r="H99" s="109" t="s">
        <v>5938</v>
      </c>
      <c r="I99" s="109" t="s">
        <v>5938</v>
      </c>
      <c r="J99" s="109" t="s">
        <v>5938</v>
      </c>
      <c r="K99" s="109" t="s">
        <v>5938</v>
      </c>
      <c r="L99" s="109" t="s">
        <v>5938</v>
      </c>
      <c r="M99" s="109" t="s">
        <v>5938</v>
      </c>
      <c r="N99" s="109" t="s">
        <v>5938</v>
      </c>
      <c r="O99" s="109" t="s">
        <v>5938</v>
      </c>
      <c r="P99" s="109" t="s">
        <v>5938</v>
      </c>
      <c r="Q99" s="109" t="s">
        <v>5938</v>
      </c>
      <c r="R99" s="109" t="s">
        <v>5938</v>
      </c>
      <c r="S99" s="109" t="s">
        <v>5938</v>
      </c>
      <c r="T99" s="109" t="s">
        <v>5938</v>
      </c>
      <c r="U99" s="109" t="s">
        <v>5938</v>
      </c>
      <c r="V99" s="109" t="s">
        <v>5938</v>
      </c>
      <c r="W99" s="109" t="s">
        <v>5938</v>
      </c>
      <c r="X99" s="109" t="s">
        <v>5938</v>
      </c>
      <c r="Y99" s="109" t="s">
        <v>5938</v>
      </c>
    </row>
    <row r="100" spans="1:25" x14ac:dyDescent="0.3">
      <c r="A100" s="108" t="s">
        <v>293</v>
      </c>
      <c r="B100" s="108">
        <v>101</v>
      </c>
      <c r="C100" s="108" t="s">
        <v>496</v>
      </c>
      <c r="D100" s="108" t="s">
        <v>302</v>
      </c>
      <c r="E100" s="109" t="s">
        <v>5938</v>
      </c>
      <c r="F100" s="109" t="s">
        <v>5938</v>
      </c>
      <c r="G100" s="109" t="s">
        <v>5938</v>
      </c>
      <c r="H100" s="109" t="s">
        <v>5938</v>
      </c>
      <c r="I100" s="109" t="s">
        <v>5938</v>
      </c>
      <c r="J100" s="109" t="s">
        <v>5938</v>
      </c>
      <c r="K100" s="109" t="s">
        <v>5938</v>
      </c>
      <c r="L100" s="109" t="s">
        <v>5938</v>
      </c>
      <c r="M100" s="109" t="s">
        <v>5938</v>
      </c>
      <c r="N100" s="109" t="s">
        <v>5938</v>
      </c>
      <c r="O100" s="109" t="s">
        <v>5938</v>
      </c>
      <c r="P100" s="109" t="s">
        <v>5938</v>
      </c>
      <c r="Q100" s="109" t="s">
        <v>5938</v>
      </c>
      <c r="R100" s="109" t="s">
        <v>5938</v>
      </c>
      <c r="S100" s="109" t="s">
        <v>5938</v>
      </c>
      <c r="T100" s="109" t="s">
        <v>5938</v>
      </c>
      <c r="U100" s="109" t="s">
        <v>5938</v>
      </c>
      <c r="V100" s="109" t="s">
        <v>5938</v>
      </c>
      <c r="W100" s="109" t="s">
        <v>5938</v>
      </c>
      <c r="X100" s="109" t="s">
        <v>5938</v>
      </c>
      <c r="Y100" s="109" t="s">
        <v>5938</v>
      </c>
    </row>
    <row r="101" spans="1:25" x14ac:dyDescent="0.3">
      <c r="A101" s="108" t="s">
        <v>293</v>
      </c>
      <c r="B101" s="108">
        <v>102</v>
      </c>
      <c r="C101" s="108" t="s">
        <v>499</v>
      </c>
      <c r="D101" s="108" t="s">
        <v>498</v>
      </c>
      <c r="E101" s="109" t="s">
        <v>5938</v>
      </c>
      <c r="F101" s="109" t="s">
        <v>5938</v>
      </c>
      <c r="G101" s="109" t="s">
        <v>5938</v>
      </c>
      <c r="H101" s="109" t="s">
        <v>5938</v>
      </c>
      <c r="I101" s="109" t="s">
        <v>5938</v>
      </c>
      <c r="J101" s="109" t="s">
        <v>5938</v>
      </c>
      <c r="K101" s="109" t="s">
        <v>5938</v>
      </c>
      <c r="L101" s="109" t="s">
        <v>5938</v>
      </c>
      <c r="M101" s="109" t="s">
        <v>5938</v>
      </c>
      <c r="N101" s="109" t="s">
        <v>5938</v>
      </c>
      <c r="O101" s="109" t="s">
        <v>5938</v>
      </c>
      <c r="P101" s="109" t="s">
        <v>5938</v>
      </c>
      <c r="Q101" s="109" t="s">
        <v>5938</v>
      </c>
      <c r="R101" s="109" t="s">
        <v>5938</v>
      </c>
      <c r="S101" s="109" t="s">
        <v>5938</v>
      </c>
      <c r="T101" s="109" t="s">
        <v>5938</v>
      </c>
      <c r="U101" s="109" t="s">
        <v>5938</v>
      </c>
      <c r="V101" s="109" t="s">
        <v>5938</v>
      </c>
      <c r="W101" s="109" t="s">
        <v>5938</v>
      </c>
      <c r="X101" s="109" t="s">
        <v>5938</v>
      </c>
      <c r="Y101" s="109" t="s">
        <v>5938</v>
      </c>
    </row>
    <row r="102" spans="1:25" x14ac:dyDescent="0.3">
      <c r="A102" s="108" t="s">
        <v>293</v>
      </c>
      <c r="B102" s="108">
        <v>103</v>
      </c>
      <c r="C102" s="108" t="s">
        <v>72</v>
      </c>
      <c r="D102" s="108" t="s">
        <v>500</v>
      </c>
      <c r="E102" s="109" t="s">
        <v>5938</v>
      </c>
      <c r="F102" s="109" t="s">
        <v>5938</v>
      </c>
      <c r="G102" s="109" t="s">
        <v>5938</v>
      </c>
      <c r="H102" s="109" t="s">
        <v>5938</v>
      </c>
      <c r="I102" s="109" t="s">
        <v>5938</v>
      </c>
      <c r="J102" s="109" t="s">
        <v>5938</v>
      </c>
      <c r="K102" s="109" t="s">
        <v>5938</v>
      </c>
      <c r="L102" s="109" t="s">
        <v>5938</v>
      </c>
      <c r="M102" s="109" t="s">
        <v>5938</v>
      </c>
      <c r="N102" s="109" t="s">
        <v>5938</v>
      </c>
      <c r="O102" s="109" t="s">
        <v>5938</v>
      </c>
      <c r="P102" s="109" t="s">
        <v>5938</v>
      </c>
      <c r="Q102" s="109" t="s">
        <v>5938</v>
      </c>
      <c r="R102" s="109" t="s">
        <v>5938</v>
      </c>
      <c r="S102" s="109" t="s">
        <v>5938</v>
      </c>
      <c r="T102" s="109" t="s">
        <v>5938</v>
      </c>
      <c r="U102" s="109" t="s">
        <v>5938</v>
      </c>
      <c r="V102" s="109" t="s">
        <v>5938</v>
      </c>
      <c r="W102" s="109" t="s">
        <v>5938</v>
      </c>
      <c r="X102" s="109" t="s">
        <v>5938</v>
      </c>
      <c r="Y102" s="109" t="s">
        <v>5938</v>
      </c>
    </row>
    <row r="103" spans="1:25" x14ac:dyDescent="0.3">
      <c r="A103" s="108" t="s">
        <v>293</v>
      </c>
      <c r="B103" s="108">
        <v>104</v>
      </c>
      <c r="C103" s="108" t="s">
        <v>504</v>
      </c>
      <c r="D103" s="108" t="s">
        <v>503</v>
      </c>
      <c r="E103" s="109" t="s">
        <v>5938</v>
      </c>
      <c r="F103" s="109" t="s">
        <v>5938</v>
      </c>
      <c r="G103" s="109" t="s">
        <v>5938</v>
      </c>
      <c r="H103" s="109" t="s">
        <v>5938</v>
      </c>
      <c r="I103" s="109" t="s">
        <v>5938</v>
      </c>
      <c r="J103" s="109" t="s">
        <v>5938</v>
      </c>
      <c r="K103" s="109" t="s">
        <v>5938</v>
      </c>
      <c r="L103" s="109" t="s">
        <v>5938</v>
      </c>
      <c r="M103" s="109" t="s">
        <v>5938</v>
      </c>
      <c r="N103" s="109" t="s">
        <v>5938</v>
      </c>
      <c r="O103" s="109" t="s">
        <v>5938</v>
      </c>
      <c r="P103" s="109" t="s">
        <v>5938</v>
      </c>
      <c r="Q103" s="109" t="s">
        <v>5938</v>
      </c>
      <c r="R103" s="109" t="s">
        <v>5938</v>
      </c>
      <c r="S103" s="109" t="s">
        <v>5938</v>
      </c>
      <c r="T103" s="109" t="s">
        <v>5938</v>
      </c>
      <c r="U103" s="109" t="s">
        <v>5938</v>
      </c>
      <c r="V103" s="109" t="s">
        <v>5938</v>
      </c>
      <c r="W103" s="109" t="s">
        <v>5938</v>
      </c>
      <c r="X103" s="109" t="s">
        <v>5938</v>
      </c>
      <c r="Y103" s="109" t="s">
        <v>5938</v>
      </c>
    </row>
    <row r="104" spans="1:25" x14ac:dyDescent="0.3">
      <c r="A104" s="108" t="s">
        <v>293</v>
      </c>
      <c r="B104" s="108">
        <v>105</v>
      </c>
      <c r="C104" s="108" t="s">
        <v>161</v>
      </c>
      <c r="D104" s="108" t="s">
        <v>160</v>
      </c>
      <c r="E104" s="109" t="s">
        <v>5938</v>
      </c>
      <c r="F104" s="109" t="s">
        <v>5938</v>
      </c>
      <c r="G104" s="109" t="s">
        <v>5938</v>
      </c>
      <c r="H104" s="109" t="s">
        <v>5938</v>
      </c>
      <c r="I104" s="109" t="s">
        <v>5938</v>
      </c>
      <c r="J104" s="109" t="s">
        <v>5938</v>
      </c>
      <c r="K104" s="109" t="s">
        <v>5938</v>
      </c>
      <c r="L104" s="109" t="s">
        <v>5938</v>
      </c>
      <c r="M104" s="109" t="s">
        <v>5938</v>
      </c>
      <c r="N104" s="109" t="s">
        <v>5938</v>
      </c>
      <c r="O104" s="109" t="s">
        <v>5938</v>
      </c>
      <c r="P104" s="109" t="s">
        <v>5938</v>
      </c>
      <c r="Q104" s="109" t="s">
        <v>5938</v>
      </c>
      <c r="R104" s="109" t="s">
        <v>5938</v>
      </c>
      <c r="S104" s="109" t="s">
        <v>5938</v>
      </c>
      <c r="T104" s="109" t="s">
        <v>5938</v>
      </c>
      <c r="U104" s="109" t="s">
        <v>5938</v>
      </c>
      <c r="V104" s="109" t="s">
        <v>5938</v>
      </c>
      <c r="W104" s="109" t="s">
        <v>5938</v>
      </c>
      <c r="X104" s="109" t="s">
        <v>5938</v>
      </c>
      <c r="Y104" s="109" t="s">
        <v>5938</v>
      </c>
    </row>
    <row r="105" spans="1:25" x14ac:dyDescent="0.3">
      <c r="A105" s="108" t="s">
        <v>293</v>
      </c>
      <c r="B105" s="108">
        <v>106</v>
      </c>
      <c r="C105" s="108" t="s">
        <v>163</v>
      </c>
      <c r="D105" s="108" t="s">
        <v>162</v>
      </c>
      <c r="E105" s="109" t="s">
        <v>5938</v>
      </c>
      <c r="F105" s="109" t="s">
        <v>5938</v>
      </c>
      <c r="G105" s="109" t="s">
        <v>5938</v>
      </c>
      <c r="H105" s="109" t="s">
        <v>5938</v>
      </c>
      <c r="I105" s="109" t="s">
        <v>5938</v>
      </c>
      <c r="J105" s="109" t="s">
        <v>5938</v>
      </c>
      <c r="K105" s="109" t="s">
        <v>5938</v>
      </c>
      <c r="L105" s="109" t="s">
        <v>5938</v>
      </c>
      <c r="M105" s="109" t="s">
        <v>5938</v>
      </c>
      <c r="N105" s="109" t="s">
        <v>5938</v>
      </c>
      <c r="O105" s="109" t="s">
        <v>5938</v>
      </c>
      <c r="P105" s="109" t="s">
        <v>5938</v>
      </c>
      <c r="Q105" s="109" t="s">
        <v>5938</v>
      </c>
      <c r="R105" s="109" t="s">
        <v>5938</v>
      </c>
      <c r="S105" s="109" t="s">
        <v>5938</v>
      </c>
      <c r="T105" s="109" t="s">
        <v>5938</v>
      </c>
      <c r="U105" s="109" t="s">
        <v>5938</v>
      </c>
      <c r="V105" s="109" t="s">
        <v>5938</v>
      </c>
      <c r="W105" s="109" t="s">
        <v>5938</v>
      </c>
      <c r="X105" s="109" t="s">
        <v>5938</v>
      </c>
      <c r="Y105" s="109" t="s">
        <v>5938</v>
      </c>
    </row>
    <row r="106" spans="1:25" x14ac:dyDescent="0.3">
      <c r="A106" s="108" t="s">
        <v>293</v>
      </c>
      <c r="B106" s="108">
        <v>107</v>
      </c>
      <c r="C106" s="108" t="s">
        <v>170</v>
      </c>
      <c r="D106" s="108" t="s">
        <v>169</v>
      </c>
      <c r="E106" s="109" t="s">
        <v>5938</v>
      </c>
      <c r="F106" s="109" t="s">
        <v>5938</v>
      </c>
      <c r="G106" s="109" t="s">
        <v>5938</v>
      </c>
      <c r="H106" s="109" t="s">
        <v>5938</v>
      </c>
      <c r="I106" s="109" t="s">
        <v>5938</v>
      </c>
      <c r="J106" s="109" t="s">
        <v>5938</v>
      </c>
      <c r="K106" s="109" t="s">
        <v>5938</v>
      </c>
      <c r="L106" s="109" t="s">
        <v>5938</v>
      </c>
      <c r="M106" s="109" t="s">
        <v>5938</v>
      </c>
      <c r="N106" s="109" t="s">
        <v>5938</v>
      </c>
      <c r="O106" s="109" t="s">
        <v>5938</v>
      </c>
      <c r="P106" s="109" t="s">
        <v>5938</v>
      </c>
      <c r="Q106" s="109" t="s">
        <v>5938</v>
      </c>
      <c r="R106" s="109" t="s">
        <v>5938</v>
      </c>
      <c r="S106" s="109" t="s">
        <v>5938</v>
      </c>
      <c r="T106" s="109" t="s">
        <v>5938</v>
      </c>
      <c r="U106" s="109" t="s">
        <v>5938</v>
      </c>
      <c r="V106" s="109" t="s">
        <v>5938</v>
      </c>
      <c r="W106" s="109" t="s">
        <v>5938</v>
      </c>
      <c r="X106" s="109" t="s">
        <v>5938</v>
      </c>
      <c r="Y106" s="109" t="s">
        <v>5938</v>
      </c>
    </row>
    <row r="107" spans="1:25" x14ac:dyDescent="0.3">
      <c r="A107" s="108" t="s">
        <v>293</v>
      </c>
      <c r="B107" s="108">
        <v>108</v>
      </c>
      <c r="C107" s="108" t="s">
        <v>317</v>
      </c>
      <c r="D107" s="108" t="s">
        <v>316</v>
      </c>
      <c r="E107" s="109" t="s">
        <v>5938</v>
      </c>
      <c r="F107" s="109" t="s">
        <v>5938</v>
      </c>
      <c r="G107" s="109" t="s">
        <v>5938</v>
      </c>
      <c r="H107" s="109" t="s">
        <v>5938</v>
      </c>
      <c r="I107" s="109" t="s">
        <v>5938</v>
      </c>
      <c r="J107" s="109" t="s">
        <v>5938</v>
      </c>
      <c r="K107" s="109" t="s">
        <v>5938</v>
      </c>
      <c r="L107" s="109" t="s">
        <v>5938</v>
      </c>
      <c r="M107" s="109" t="s">
        <v>5938</v>
      </c>
      <c r="N107" s="109" t="s">
        <v>5938</v>
      </c>
      <c r="O107" s="109" t="s">
        <v>5938</v>
      </c>
      <c r="P107" s="109" t="s">
        <v>5938</v>
      </c>
      <c r="Q107" s="109" t="s">
        <v>5938</v>
      </c>
      <c r="R107" s="109" t="s">
        <v>5938</v>
      </c>
      <c r="S107" s="109" t="s">
        <v>5938</v>
      </c>
      <c r="T107" s="109" t="s">
        <v>5938</v>
      </c>
      <c r="U107" s="109" t="s">
        <v>5938</v>
      </c>
      <c r="V107" s="109" t="s">
        <v>5938</v>
      </c>
      <c r="W107" s="109" t="s">
        <v>5938</v>
      </c>
      <c r="X107" s="109" t="s">
        <v>5938</v>
      </c>
      <c r="Y107" s="109" t="s">
        <v>5938</v>
      </c>
    </row>
    <row r="108" spans="1:25" x14ac:dyDescent="0.3">
      <c r="A108" s="108" t="s">
        <v>293</v>
      </c>
      <c r="B108" s="108">
        <v>109</v>
      </c>
      <c r="C108" s="108" t="s">
        <v>320</v>
      </c>
      <c r="D108" s="108" t="s">
        <v>319</v>
      </c>
      <c r="E108" s="109" t="s">
        <v>5938</v>
      </c>
      <c r="F108" s="109" t="s">
        <v>5938</v>
      </c>
      <c r="G108" s="109" t="s">
        <v>5938</v>
      </c>
      <c r="H108" s="109" t="s">
        <v>5938</v>
      </c>
      <c r="I108" s="109" t="s">
        <v>5938</v>
      </c>
      <c r="J108" s="109" t="s">
        <v>5938</v>
      </c>
      <c r="K108" s="109" t="s">
        <v>5938</v>
      </c>
      <c r="L108" s="109" t="s">
        <v>5938</v>
      </c>
      <c r="M108" s="109" t="s">
        <v>5938</v>
      </c>
      <c r="N108" s="109" t="s">
        <v>5938</v>
      </c>
      <c r="O108" s="109" t="s">
        <v>5938</v>
      </c>
      <c r="P108" s="109" t="s">
        <v>5938</v>
      </c>
      <c r="Q108" s="109" t="s">
        <v>5938</v>
      </c>
      <c r="R108" s="109" t="s">
        <v>5938</v>
      </c>
      <c r="S108" s="109" t="s">
        <v>5938</v>
      </c>
      <c r="T108" s="109" t="s">
        <v>5938</v>
      </c>
      <c r="U108" s="109" t="s">
        <v>5938</v>
      </c>
      <c r="V108" s="109" t="s">
        <v>5938</v>
      </c>
      <c r="W108" s="109" t="s">
        <v>5938</v>
      </c>
      <c r="X108" s="109" t="s">
        <v>5938</v>
      </c>
      <c r="Y108" s="109" t="s">
        <v>5938</v>
      </c>
    </row>
    <row r="109" spans="1:25" x14ac:dyDescent="0.3">
      <c r="A109" s="108" t="s">
        <v>293</v>
      </c>
      <c r="B109" s="108">
        <v>110</v>
      </c>
      <c r="C109" s="108" t="s">
        <v>184</v>
      </c>
      <c r="D109" s="108" t="s">
        <v>321</v>
      </c>
      <c r="E109" s="109" t="s">
        <v>5938</v>
      </c>
      <c r="F109" s="109" t="s">
        <v>5938</v>
      </c>
      <c r="G109" s="109" t="s">
        <v>5938</v>
      </c>
      <c r="H109" s="109" t="s">
        <v>5938</v>
      </c>
      <c r="I109" s="109" t="s">
        <v>5938</v>
      </c>
      <c r="J109" s="109" t="s">
        <v>5938</v>
      </c>
      <c r="K109" s="109" t="s">
        <v>5938</v>
      </c>
      <c r="L109" s="109" t="s">
        <v>5938</v>
      </c>
      <c r="M109" s="109" t="s">
        <v>5938</v>
      </c>
      <c r="N109" s="109" t="s">
        <v>5938</v>
      </c>
      <c r="O109" s="109" t="s">
        <v>5938</v>
      </c>
      <c r="P109" s="109" t="s">
        <v>5938</v>
      </c>
      <c r="Q109" s="109" t="s">
        <v>5938</v>
      </c>
      <c r="R109" s="109" t="s">
        <v>5938</v>
      </c>
      <c r="S109" s="109" t="s">
        <v>5938</v>
      </c>
      <c r="T109" s="109" t="s">
        <v>5938</v>
      </c>
      <c r="U109" s="109" t="s">
        <v>5938</v>
      </c>
      <c r="V109" s="109" t="s">
        <v>5938</v>
      </c>
      <c r="W109" s="109" t="s">
        <v>5938</v>
      </c>
      <c r="X109" s="109" t="s">
        <v>5938</v>
      </c>
      <c r="Y109" s="109" t="s">
        <v>5938</v>
      </c>
    </row>
    <row r="110" spans="1:25" x14ac:dyDescent="0.3">
      <c r="A110" s="108" t="s">
        <v>293</v>
      </c>
      <c r="B110" s="108">
        <v>111</v>
      </c>
      <c r="C110" s="108" t="s">
        <v>184</v>
      </c>
      <c r="D110" s="108" t="s">
        <v>321</v>
      </c>
      <c r="E110" s="109" t="s">
        <v>5938</v>
      </c>
      <c r="F110" s="109" t="s">
        <v>5938</v>
      </c>
      <c r="G110" s="109" t="s">
        <v>5938</v>
      </c>
      <c r="H110" s="109" t="s">
        <v>5938</v>
      </c>
      <c r="I110" s="109" t="s">
        <v>5938</v>
      </c>
      <c r="J110" s="109" t="s">
        <v>5938</v>
      </c>
      <c r="K110" s="109" t="s">
        <v>5938</v>
      </c>
      <c r="L110" s="109" t="s">
        <v>5938</v>
      </c>
      <c r="M110" s="109" t="s">
        <v>5938</v>
      </c>
      <c r="N110" s="109" t="s">
        <v>5938</v>
      </c>
      <c r="O110" s="109" t="s">
        <v>5938</v>
      </c>
      <c r="P110" s="109" t="s">
        <v>5938</v>
      </c>
      <c r="Q110" s="109" t="s">
        <v>5938</v>
      </c>
      <c r="R110" s="109" t="s">
        <v>5938</v>
      </c>
      <c r="S110" s="109" t="s">
        <v>5938</v>
      </c>
      <c r="T110" s="109" t="s">
        <v>5938</v>
      </c>
      <c r="U110" s="109" t="s">
        <v>5938</v>
      </c>
      <c r="V110" s="109" t="s">
        <v>5938</v>
      </c>
      <c r="W110" s="109" t="s">
        <v>5938</v>
      </c>
      <c r="X110" s="109" t="s">
        <v>5938</v>
      </c>
      <c r="Y110" s="109" t="s">
        <v>5938</v>
      </c>
    </row>
    <row r="111" spans="1:25" x14ac:dyDescent="0.3">
      <c r="A111" s="108" t="s">
        <v>293</v>
      </c>
      <c r="B111" s="108">
        <v>112</v>
      </c>
      <c r="C111" s="108" t="s">
        <v>323</v>
      </c>
      <c r="D111" s="108" t="s">
        <v>322</v>
      </c>
      <c r="E111" s="109" t="s">
        <v>5938</v>
      </c>
      <c r="F111" s="109" t="s">
        <v>5938</v>
      </c>
      <c r="G111" s="109" t="s">
        <v>5938</v>
      </c>
      <c r="H111" s="109" t="s">
        <v>5938</v>
      </c>
      <c r="I111" s="109" t="s">
        <v>5938</v>
      </c>
      <c r="J111" s="109" t="s">
        <v>5938</v>
      </c>
      <c r="K111" s="109" t="s">
        <v>5938</v>
      </c>
      <c r="L111" s="109" t="s">
        <v>5938</v>
      </c>
      <c r="M111" s="109" t="s">
        <v>5938</v>
      </c>
      <c r="N111" s="109" t="s">
        <v>5938</v>
      </c>
      <c r="O111" s="109" t="s">
        <v>5938</v>
      </c>
      <c r="P111" s="109" t="s">
        <v>5938</v>
      </c>
      <c r="Q111" s="109" t="s">
        <v>5938</v>
      </c>
      <c r="R111" s="109" t="s">
        <v>5938</v>
      </c>
      <c r="S111" s="109" t="s">
        <v>5938</v>
      </c>
      <c r="T111" s="109" t="s">
        <v>5938</v>
      </c>
      <c r="U111" s="109" t="s">
        <v>5938</v>
      </c>
      <c r="V111" s="109" t="s">
        <v>5938</v>
      </c>
      <c r="W111" s="109" t="s">
        <v>5938</v>
      </c>
      <c r="X111" s="109" t="s">
        <v>5938</v>
      </c>
      <c r="Y111" s="109" t="s">
        <v>5938</v>
      </c>
    </row>
    <row r="112" spans="1:25" x14ac:dyDescent="0.3">
      <c r="A112" s="108" t="s">
        <v>293</v>
      </c>
      <c r="B112" s="108">
        <v>113</v>
      </c>
      <c r="C112" s="108" t="s">
        <v>325</v>
      </c>
      <c r="D112" s="108" t="s">
        <v>324</v>
      </c>
      <c r="E112" s="109" t="s">
        <v>5938</v>
      </c>
      <c r="F112" s="109" t="s">
        <v>5938</v>
      </c>
      <c r="G112" s="109" t="s">
        <v>5938</v>
      </c>
      <c r="H112" s="109" t="s">
        <v>5938</v>
      </c>
      <c r="I112" s="109" t="s">
        <v>5938</v>
      </c>
      <c r="J112" s="109" t="s">
        <v>5938</v>
      </c>
      <c r="K112" s="109" t="s">
        <v>5938</v>
      </c>
      <c r="L112" s="109" t="s">
        <v>5938</v>
      </c>
      <c r="M112" s="109" t="s">
        <v>5938</v>
      </c>
      <c r="N112" s="109" t="s">
        <v>5938</v>
      </c>
      <c r="O112" s="109" t="s">
        <v>5938</v>
      </c>
      <c r="P112" s="109" t="s">
        <v>5938</v>
      </c>
      <c r="Q112" s="109" t="s">
        <v>5938</v>
      </c>
      <c r="R112" s="109" t="s">
        <v>5938</v>
      </c>
      <c r="S112" s="109" t="s">
        <v>5938</v>
      </c>
      <c r="T112" s="109" t="s">
        <v>5938</v>
      </c>
      <c r="U112" s="109" t="s">
        <v>5938</v>
      </c>
      <c r="V112" s="109" t="s">
        <v>5938</v>
      </c>
      <c r="W112" s="109" t="s">
        <v>5938</v>
      </c>
      <c r="X112" s="109" t="s">
        <v>5938</v>
      </c>
      <c r="Y112" s="109" t="s">
        <v>5938</v>
      </c>
    </row>
    <row r="113" spans="1:25" x14ac:dyDescent="0.3">
      <c r="A113" s="108" t="s">
        <v>293</v>
      </c>
      <c r="B113" s="108">
        <v>114</v>
      </c>
      <c r="C113" s="108" t="s">
        <v>164</v>
      </c>
      <c r="D113" s="108" t="s">
        <v>43</v>
      </c>
      <c r="E113" s="109" t="s">
        <v>5938</v>
      </c>
      <c r="F113" s="109" t="s">
        <v>5938</v>
      </c>
      <c r="G113" s="109" t="s">
        <v>5938</v>
      </c>
      <c r="H113" s="109" t="s">
        <v>5938</v>
      </c>
      <c r="I113" s="109" t="s">
        <v>5938</v>
      </c>
      <c r="J113" s="109" t="s">
        <v>5938</v>
      </c>
      <c r="K113" s="109" t="s">
        <v>5938</v>
      </c>
      <c r="L113" s="109" t="s">
        <v>5938</v>
      </c>
      <c r="M113" s="109" t="s">
        <v>5938</v>
      </c>
      <c r="N113" s="109" t="s">
        <v>5938</v>
      </c>
      <c r="O113" s="109" t="s">
        <v>5938</v>
      </c>
      <c r="P113" s="109" t="s">
        <v>5938</v>
      </c>
      <c r="Q113" s="109" t="s">
        <v>5938</v>
      </c>
      <c r="R113" s="109" t="s">
        <v>5938</v>
      </c>
      <c r="S113" s="109" t="s">
        <v>5938</v>
      </c>
      <c r="T113" s="109" t="s">
        <v>5938</v>
      </c>
      <c r="U113" s="109" t="s">
        <v>5938</v>
      </c>
      <c r="V113" s="109" t="s">
        <v>5938</v>
      </c>
      <c r="W113" s="109" t="s">
        <v>5938</v>
      </c>
      <c r="X113" s="109" t="s">
        <v>5938</v>
      </c>
      <c r="Y113" s="109" t="s">
        <v>5938</v>
      </c>
    </row>
    <row r="114" spans="1:25" x14ac:dyDescent="0.3">
      <c r="A114" s="108" t="s">
        <v>293</v>
      </c>
      <c r="B114" s="108">
        <v>115</v>
      </c>
      <c r="C114" s="108" t="s">
        <v>245</v>
      </c>
      <c r="D114" s="108" t="s">
        <v>244</v>
      </c>
      <c r="E114" s="109" t="s">
        <v>5938</v>
      </c>
      <c r="F114" s="109" t="s">
        <v>5938</v>
      </c>
      <c r="G114" s="109" t="s">
        <v>5938</v>
      </c>
      <c r="H114" s="109" t="s">
        <v>5938</v>
      </c>
      <c r="I114" s="109" t="s">
        <v>5938</v>
      </c>
      <c r="J114" s="109" t="s">
        <v>5938</v>
      </c>
      <c r="K114" s="109" t="s">
        <v>5938</v>
      </c>
      <c r="L114" s="109" t="s">
        <v>5938</v>
      </c>
      <c r="M114" s="109" t="s">
        <v>5938</v>
      </c>
      <c r="N114" s="109" t="s">
        <v>5938</v>
      </c>
      <c r="O114" s="109" t="s">
        <v>5938</v>
      </c>
      <c r="P114" s="109" t="s">
        <v>5938</v>
      </c>
      <c r="Q114" s="109" t="s">
        <v>5938</v>
      </c>
      <c r="R114" s="109" t="s">
        <v>5938</v>
      </c>
      <c r="S114" s="109" t="s">
        <v>5938</v>
      </c>
      <c r="T114" s="109" t="s">
        <v>5938</v>
      </c>
      <c r="U114" s="109" t="s">
        <v>5938</v>
      </c>
      <c r="V114" s="109" t="s">
        <v>5938</v>
      </c>
      <c r="W114" s="109" t="s">
        <v>5938</v>
      </c>
      <c r="X114" s="109" t="s">
        <v>5938</v>
      </c>
      <c r="Y114" s="109" t="s">
        <v>5938</v>
      </c>
    </row>
    <row r="115" spans="1:25" x14ac:dyDescent="0.3">
      <c r="A115" s="108" t="s">
        <v>293</v>
      </c>
      <c r="B115" s="108">
        <v>116</v>
      </c>
      <c r="C115" s="108" t="s">
        <v>248</v>
      </c>
      <c r="D115" s="108" t="s">
        <v>247</v>
      </c>
      <c r="E115" s="109" t="s">
        <v>5938</v>
      </c>
      <c r="F115" s="109" t="s">
        <v>5938</v>
      </c>
      <c r="G115" s="109" t="s">
        <v>5938</v>
      </c>
      <c r="H115" s="109" t="s">
        <v>5938</v>
      </c>
      <c r="I115" s="109" t="s">
        <v>5938</v>
      </c>
      <c r="J115" s="109" t="s">
        <v>5938</v>
      </c>
      <c r="K115" s="109" t="s">
        <v>5938</v>
      </c>
      <c r="L115" s="109" t="s">
        <v>5938</v>
      </c>
      <c r="M115" s="109" t="s">
        <v>5938</v>
      </c>
      <c r="N115" s="109" t="s">
        <v>5938</v>
      </c>
      <c r="O115" s="109" t="s">
        <v>5938</v>
      </c>
      <c r="P115" s="109" t="s">
        <v>5938</v>
      </c>
      <c r="Q115" s="109" t="s">
        <v>5938</v>
      </c>
      <c r="R115" s="109" t="s">
        <v>5938</v>
      </c>
      <c r="S115" s="109" t="s">
        <v>5938</v>
      </c>
      <c r="T115" s="109" t="s">
        <v>5938</v>
      </c>
      <c r="U115" s="109" t="s">
        <v>5938</v>
      </c>
      <c r="V115" s="109" t="s">
        <v>5938</v>
      </c>
      <c r="W115" s="109" t="s">
        <v>5938</v>
      </c>
      <c r="X115" s="109" t="s">
        <v>5938</v>
      </c>
      <c r="Y115" s="109" t="s">
        <v>5938</v>
      </c>
    </row>
    <row r="116" spans="1:25" x14ac:dyDescent="0.3">
      <c r="A116" s="108" t="s">
        <v>293</v>
      </c>
      <c r="B116" s="108">
        <v>117</v>
      </c>
      <c r="C116" s="108" t="s">
        <v>327</v>
      </c>
      <c r="D116" s="108" t="s">
        <v>326</v>
      </c>
      <c r="E116" s="109" t="s">
        <v>5938</v>
      </c>
      <c r="F116" s="109" t="s">
        <v>5938</v>
      </c>
      <c r="G116" s="109" t="s">
        <v>5938</v>
      </c>
      <c r="H116" s="109" t="s">
        <v>5938</v>
      </c>
      <c r="I116" s="109" t="s">
        <v>5938</v>
      </c>
      <c r="J116" s="109" t="s">
        <v>5938</v>
      </c>
      <c r="K116" s="109" t="s">
        <v>5938</v>
      </c>
      <c r="L116" s="109" t="s">
        <v>5938</v>
      </c>
      <c r="M116" s="109" t="s">
        <v>5938</v>
      </c>
      <c r="N116" s="109" t="s">
        <v>5938</v>
      </c>
      <c r="O116" s="109" t="s">
        <v>5938</v>
      </c>
      <c r="P116" s="109" t="s">
        <v>5938</v>
      </c>
      <c r="Q116" s="109" t="s">
        <v>5938</v>
      </c>
      <c r="R116" s="109" t="s">
        <v>5938</v>
      </c>
      <c r="S116" s="109" t="s">
        <v>5938</v>
      </c>
      <c r="T116" s="109" t="s">
        <v>5938</v>
      </c>
      <c r="U116" s="109" t="s">
        <v>5938</v>
      </c>
      <c r="V116" s="109" t="s">
        <v>5938</v>
      </c>
      <c r="W116" s="109" t="s">
        <v>5938</v>
      </c>
      <c r="X116" s="109" t="s">
        <v>5938</v>
      </c>
      <c r="Y116" s="109" t="s">
        <v>5938</v>
      </c>
    </row>
    <row r="117" spans="1:25" x14ac:dyDescent="0.3">
      <c r="A117" s="108" t="s">
        <v>293</v>
      </c>
      <c r="B117" s="108">
        <v>118</v>
      </c>
      <c r="C117" s="108" t="s">
        <v>329</v>
      </c>
      <c r="D117" s="108" t="s">
        <v>328</v>
      </c>
      <c r="E117" s="109" t="s">
        <v>5938</v>
      </c>
      <c r="F117" s="109" t="s">
        <v>5938</v>
      </c>
      <c r="G117" s="109" t="s">
        <v>5938</v>
      </c>
      <c r="H117" s="109" t="s">
        <v>5938</v>
      </c>
      <c r="I117" s="109" t="s">
        <v>5938</v>
      </c>
      <c r="J117" s="109" t="s">
        <v>5938</v>
      </c>
      <c r="K117" s="109" t="s">
        <v>5938</v>
      </c>
      <c r="L117" s="109" t="s">
        <v>5938</v>
      </c>
      <c r="M117" s="109" t="s">
        <v>5938</v>
      </c>
      <c r="N117" s="109" t="s">
        <v>5938</v>
      </c>
      <c r="O117" s="109" t="s">
        <v>5938</v>
      </c>
      <c r="P117" s="109" t="s">
        <v>5938</v>
      </c>
      <c r="Q117" s="109" t="s">
        <v>5938</v>
      </c>
      <c r="R117" s="109" t="s">
        <v>5938</v>
      </c>
      <c r="S117" s="109" t="s">
        <v>5938</v>
      </c>
      <c r="T117" s="109" t="s">
        <v>5938</v>
      </c>
      <c r="U117" s="109" t="s">
        <v>5938</v>
      </c>
      <c r="V117" s="109" t="s">
        <v>5938</v>
      </c>
      <c r="W117" s="109" t="s">
        <v>5938</v>
      </c>
      <c r="X117" s="109" t="s">
        <v>5938</v>
      </c>
      <c r="Y117" s="109" t="s">
        <v>5938</v>
      </c>
    </row>
    <row r="118" spans="1:25" x14ac:dyDescent="0.3">
      <c r="A118" s="108" t="s">
        <v>293</v>
      </c>
      <c r="B118" s="108">
        <v>119</v>
      </c>
      <c r="C118" s="108" t="s">
        <v>331</v>
      </c>
      <c r="D118" s="108" t="s">
        <v>330</v>
      </c>
      <c r="E118" s="109" t="s">
        <v>5938</v>
      </c>
      <c r="F118" s="109" t="s">
        <v>5938</v>
      </c>
      <c r="G118" s="109" t="s">
        <v>5938</v>
      </c>
      <c r="H118" s="109" t="s">
        <v>5938</v>
      </c>
      <c r="I118" s="109" t="s">
        <v>5938</v>
      </c>
      <c r="J118" s="109" t="s">
        <v>5938</v>
      </c>
      <c r="K118" s="109" t="s">
        <v>5938</v>
      </c>
      <c r="L118" s="109" t="s">
        <v>5938</v>
      </c>
      <c r="M118" s="109" t="s">
        <v>5938</v>
      </c>
      <c r="N118" s="109" t="s">
        <v>5938</v>
      </c>
      <c r="O118" s="109" t="s">
        <v>5938</v>
      </c>
      <c r="P118" s="109" t="s">
        <v>5938</v>
      </c>
      <c r="Q118" s="109" t="s">
        <v>5938</v>
      </c>
      <c r="R118" s="109" t="s">
        <v>5938</v>
      </c>
      <c r="S118" s="109" t="s">
        <v>5938</v>
      </c>
      <c r="T118" s="109" t="s">
        <v>5938</v>
      </c>
      <c r="U118" s="109" t="s">
        <v>5938</v>
      </c>
      <c r="V118" s="109" t="s">
        <v>5938</v>
      </c>
      <c r="W118" s="109" t="s">
        <v>5938</v>
      </c>
      <c r="X118" s="109" t="s">
        <v>5938</v>
      </c>
      <c r="Y118" s="109" t="s">
        <v>5938</v>
      </c>
    </row>
    <row r="119" spans="1:25" x14ac:dyDescent="0.3">
      <c r="A119" s="108" t="s">
        <v>293</v>
      </c>
      <c r="B119" s="108">
        <v>120</v>
      </c>
      <c r="C119" s="108" t="s">
        <v>331</v>
      </c>
      <c r="D119" s="108" t="s">
        <v>330</v>
      </c>
      <c r="E119" s="109" t="s">
        <v>5938</v>
      </c>
      <c r="F119" s="109" t="s">
        <v>5938</v>
      </c>
      <c r="G119" s="109" t="s">
        <v>5938</v>
      </c>
      <c r="H119" s="109" t="s">
        <v>5938</v>
      </c>
      <c r="I119" s="109" t="s">
        <v>5938</v>
      </c>
      <c r="J119" s="109" t="s">
        <v>5938</v>
      </c>
      <c r="K119" s="109" t="s">
        <v>5938</v>
      </c>
      <c r="L119" s="109" t="s">
        <v>5938</v>
      </c>
      <c r="M119" s="109" t="s">
        <v>5938</v>
      </c>
      <c r="N119" s="109" t="s">
        <v>5938</v>
      </c>
      <c r="O119" s="109" t="s">
        <v>5938</v>
      </c>
      <c r="P119" s="109" t="s">
        <v>5938</v>
      </c>
      <c r="Q119" s="109" t="s">
        <v>5938</v>
      </c>
      <c r="R119" s="109" t="s">
        <v>5938</v>
      </c>
      <c r="S119" s="109" t="s">
        <v>5938</v>
      </c>
      <c r="T119" s="109" t="s">
        <v>5938</v>
      </c>
      <c r="U119" s="109" t="s">
        <v>5938</v>
      </c>
      <c r="V119" s="109" t="s">
        <v>5938</v>
      </c>
      <c r="W119" s="109" t="s">
        <v>5938</v>
      </c>
      <c r="X119" s="109" t="s">
        <v>5938</v>
      </c>
      <c r="Y119" s="109" t="s">
        <v>5938</v>
      </c>
    </row>
    <row r="120" spans="1:25" x14ac:dyDescent="0.3">
      <c r="A120" s="108" t="s">
        <v>293</v>
      </c>
      <c r="B120" s="108">
        <v>121</v>
      </c>
      <c r="C120" s="108" t="s">
        <v>334</v>
      </c>
      <c r="D120" s="108" t="s">
        <v>332</v>
      </c>
      <c r="E120" s="109" t="s">
        <v>5938</v>
      </c>
      <c r="F120" s="109" t="s">
        <v>5938</v>
      </c>
      <c r="G120" s="109" t="s">
        <v>5938</v>
      </c>
      <c r="H120" s="109" t="s">
        <v>5938</v>
      </c>
      <c r="I120" s="109" t="s">
        <v>5938</v>
      </c>
      <c r="J120" s="109" t="s">
        <v>5938</v>
      </c>
      <c r="K120" s="109" t="s">
        <v>5938</v>
      </c>
      <c r="L120" s="109" t="s">
        <v>5938</v>
      </c>
      <c r="M120" s="109" t="s">
        <v>5938</v>
      </c>
      <c r="N120" s="109" t="s">
        <v>5938</v>
      </c>
      <c r="O120" s="109" t="s">
        <v>5938</v>
      </c>
      <c r="P120" s="109" t="s">
        <v>5938</v>
      </c>
      <c r="Q120" s="109" t="s">
        <v>5938</v>
      </c>
      <c r="R120" s="109" t="s">
        <v>5938</v>
      </c>
      <c r="S120" s="109" t="s">
        <v>5938</v>
      </c>
      <c r="T120" s="109" t="s">
        <v>5938</v>
      </c>
      <c r="U120" s="109" t="s">
        <v>5938</v>
      </c>
      <c r="V120" s="109" t="s">
        <v>5938</v>
      </c>
      <c r="W120" s="109" t="s">
        <v>5938</v>
      </c>
      <c r="X120" s="109" t="s">
        <v>5938</v>
      </c>
      <c r="Y120" s="109" t="s">
        <v>5938</v>
      </c>
    </row>
    <row r="121" spans="1:25" x14ac:dyDescent="0.3">
      <c r="A121" s="108" t="s">
        <v>293</v>
      </c>
      <c r="B121" s="108">
        <v>122</v>
      </c>
      <c r="C121" s="108" t="s">
        <v>337</v>
      </c>
      <c r="D121" s="108" t="s">
        <v>506</v>
      </c>
      <c r="E121" s="109" t="s">
        <v>5938</v>
      </c>
      <c r="F121" s="109" t="s">
        <v>5938</v>
      </c>
      <c r="G121" s="109" t="s">
        <v>5938</v>
      </c>
      <c r="H121" s="109" t="s">
        <v>5938</v>
      </c>
      <c r="I121" s="109" t="s">
        <v>5938</v>
      </c>
      <c r="J121" s="109" t="s">
        <v>5938</v>
      </c>
      <c r="K121" s="109" t="s">
        <v>5938</v>
      </c>
      <c r="L121" s="109" t="s">
        <v>5938</v>
      </c>
      <c r="M121" s="109" t="s">
        <v>5938</v>
      </c>
      <c r="N121" s="109" t="s">
        <v>5938</v>
      </c>
      <c r="O121" s="109" t="s">
        <v>5938</v>
      </c>
      <c r="P121" s="109" t="s">
        <v>5938</v>
      </c>
      <c r="Q121" s="109" t="s">
        <v>5938</v>
      </c>
      <c r="R121" s="109" t="s">
        <v>5938</v>
      </c>
      <c r="S121" s="109" t="s">
        <v>5938</v>
      </c>
      <c r="T121" s="109" t="s">
        <v>5938</v>
      </c>
      <c r="U121" s="109" t="s">
        <v>5938</v>
      </c>
      <c r="V121" s="109" t="s">
        <v>5938</v>
      </c>
      <c r="W121" s="109" t="s">
        <v>5938</v>
      </c>
      <c r="X121" s="109" t="s">
        <v>5938</v>
      </c>
      <c r="Y121" s="109" t="s">
        <v>5938</v>
      </c>
    </row>
    <row r="122" spans="1:25" x14ac:dyDescent="0.3">
      <c r="A122" s="108" t="s">
        <v>293</v>
      </c>
      <c r="B122" s="108">
        <v>123</v>
      </c>
      <c r="C122" s="108" t="s">
        <v>339</v>
      </c>
      <c r="D122" s="108" t="s">
        <v>507</v>
      </c>
      <c r="E122" s="109" t="s">
        <v>5938</v>
      </c>
      <c r="F122" s="109" t="s">
        <v>5938</v>
      </c>
      <c r="G122" s="109" t="s">
        <v>5938</v>
      </c>
      <c r="H122" s="109" t="s">
        <v>5938</v>
      </c>
      <c r="I122" s="109" t="s">
        <v>5938</v>
      </c>
      <c r="J122" s="109" t="s">
        <v>5938</v>
      </c>
      <c r="K122" s="109" t="s">
        <v>5938</v>
      </c>
      <c r="L122" s="109" t="s">
        <v>5938</v>
      </c>
      <c r="M122" s="109" t="s">
        <v>5938</v>
      </c>
      <c r="N122" s="109" t="s">
        <v>5938</v>
      </c>
      <c r="O122" s="109" t="s">
        <v>5938</v>
      </c>
      <c r="P122" s="109" t="s">
        <v>5938</v>
      </c>
      <c r="Q122" s="109" t="s">
        <v>5938</v>
      </c>
      <c r="R122" s="109" t="s">
        <v>5938</v>
      </c>
      <c r="S122" s="109" t="s">
        <v>5938</v>
      </c>
      <c r="T122" s="109" t="s">
        <v>5938</v>
      </c>
      <c r="U122" s="109" t="s">
        <v>5938</v>
      </c>
      <c r="V122" s="109" t="s">
        <v>5938</v>
      </c>
      <c r="W122" s="109" t="s">
        <v>5938</v>
      </c>
      <c r="X122" s="109" t="s">
        <v>5938</v>
      </c>
      <c r="Y122" s="109" t="s">
        <v>5938</v>
      </c>
    </row>
    <row r="123" spans="1:25" x14ac:dyDescent="0.3">
      <c r="A123" s="108" t="s">
        <v>293</v>
      </c>
      <c r="B123" s="108">
        <v>124</v>
      </c>
      <c r="C123" s="108" t="s">
        <v>509</v>
      </c>
      <c r="D123" s="108" t="s">
        <v>508</v>
      </c>
      <c r="E123" s="109" t="s">
        <v>5938</v>
      </c>
      <c r="F123" s="109" t="s">
        <v>5938</v>
      </c>
      <c r="G123" s="109" t="s">
        <v>5938</v>
      </c>
      <c r="H123" s="109" t="s">
        <v>5938</v>
      </c>
      <c r="I123" s="109" t="s">
        <v>5938</v>
      </c>
      <c r="J123" s="109" t="s">
        <v>5938</v>
      </c>
      <c r="K123" s="109" t="s">
        <v>5938</v>
      </c>
      <c r="L123" s="109" t="s">
        <v>5938</v>
      </c>
      <c r="M123" s="109" t="s">
        <v>5938</v>
      </c>
      <c r="N123" s="109" t="s">
        <v>5938</v>
      </c>
      <c r="O123" s="109" t="s">
        <v>5938</v>
      </c>
      <c r="P123" s="109" t="s">
        <v>5938</v>
      </c>
      <c r="Q123" s="109" t="s">
        <v>5938</v>
      </c>
      <c r="R123" s="109" t="s">
        <v>5938</v>
      </c>
      <c r="S123" s="109" t="s">
        <v>5938</v>
      </c>
      <c r="T123" s="109" t="s">
        <v>5938</v>
      </c>
      <c r="U123" s="109" t="s">
        <v>5938</v>
      </c>
      <c r="V123" s="109" t="s">
        <v>5938</v>
      </c>
      <c r="W123" s="109" t="s">
        <v>5938</v>
      </c>
      <c r="X123" s="109" t="s">
        <v>5938</v>
      </c>
      <c r="Y123" s="109" t="s">
        <v>5938</v>
      </c>
    </row>
    <row r="124" spans="1:25" x14ac:dyDescent="0.3">
      <c r="A124" s="108" t="s">
        <v>293</v>
      </c>
      <c r="B124" s="108">
        <v>125</v>
      </c>
      <c r="C124" s="108" t="s">
        <v>511</v>
      </c>
      <c r="D124" s="108" t="s">
        <v>510</v>
      </c>
      <c r="E124" s="109" t="s">
        <v>5938</v>
      </c>
      <c r="F124" s="109" t="s">
        <v>5938</v>
      </c>
      <c r="G124" s="109" t="s">
        <v>5938</v>
      </c>
      <c r="H124" s="109" t="s">
        <v>5938</v>
      </c>
      <c r="I124" s="109" t="s">
        <v>5938</v>
      </c>
      <c r="J124" s="109" t="s">
        <v>5938</v>
      </c>
      <c r="K124" s="109" t="s">
        <v>5938</v>
      </c>
      <c r="L124" s="109" t="s">
        <v>5938</v>
      </c>
      <c r="M124" s="109" t="s">
        <v>5938</v>
      </c>
      <c r="N124" s="109" t="s">
        <v>5938</v>
      </c>
      <c r="O124" s="109" t="s">
        <v>5938</v>
      </c>
      <c r="P124" s="109" t="s">
        <v>5938</v>
      </c>
      <c r="Q124" s="109" t="s">
        <v>5938</v>
      </c>
      <c r="R124" s="109" t="s">
        <v>5938</v>
      </c>
      <c r="S124" s="109" t="s">
        <v>5938</v>
      </c>
      <c r="T124" s="109" t="s">
        <v>5938</v>
      </c>
      <c r="U124" s="109" t="s">
        <v>5938</v>
      </c>
      <c r="V124" s="109" t="s">
        <v>5938</v>
      </c>
      <c r="W124" s="109" t="s">
        <v>5938</v>
      </c>
      <c r="X124" s="109" t="s">
        <v>5938</v>
      </c>
      <c r="Y124" s="109" t="s">
        <v>5938</v>
      </c>
    </row>
    <row r="125" spans="1:25" x14ac:dyDescent="0.3">
      <c r="A125" s="108" t="s">
        <v>293</v>
      </c>
      <c r="B125" s="108">
        <v>126</v>
      </c>
      <c r="C125" s="108" t="s">
        <v>513</v>
      </c>
      <c r="D125" s="108" t="s">
        <v>512</v>
      </c>
      <c r="E125" s="109" t="s">
        <v>5938</v>
      </c>
      <c r="F125" s="109" t="s">
        <v>5938</v>
      </c>
      <c r="G125" s="109" t="s">
        <v>5938</v>
      </c>
      <c r="H125" s="109" t="s">
        <v>5938</v>
      </c>
      <c r="I125" s="109" t="s">
        <v>5938</v>
      </c>
      <c r="J125" s="109" t="s">
        <v>5938</v>
      </c>
      <c r="K125" s="109" t="s">
        <v>5938</v>
      </c>
      <c r="L125" s="109" t="s">
        <v>5938</v>
      </c>
      <c r="M125" s="109" t="s">
        <v>5938</v>
      </c>
      <c r="N125" s="109" t="s">
        <v>5938</v>
      </c>
      <c r="O125" s="109" t="s">
        <v>5938</v>
      </c>
      <c r="P125" s="109" t="s">
        <v>5938</v>
      </c>
      <c r="Q125" s="109" t="s">
        <v>5938</v>
      </c>
      <c r="R125" s="109" t="s">
        <v>5938</v>
      </c>
      <c r="S125" s="109" t="s">
        <v>5938</v>
      </c>
      <c r="T125" s="109" t="s">
        <v>5938</v>
      </c>
      <c r="U125" s="109" t="s">
        <v>5938</v>
      </c>
      <c r="V125" s="109" t="s">
        <v>5938</v>
      </c>
      <c r="W125" s="109" t="s">
        <v>5938</v>
      </c>
      <c r="X125" s="109" t="s">
        <v>5938</v>
      </c>
      <c r="Y125" s="109" t="s">
        <v>5938</v>
      </c>
    </row>
    <row r="126" spans="1:25" x14ac:dyDescent="0.3">
      <c r="A126" s="108" t="s">
        <v>293</v>
      </c>
      <c r="B126" s="108">
        <v>127</v>
      </c>
      <c r="C126" s="108" t="s">
        <v>348</v>
      </c>
      <c r="D126" s="108" t="s">
        <v>514</v>
      </c>
      <c r="E126" s="109" t="s">
        <v>5938</v>
      </c>
      <c r="F126" s="109" t="s">
        <v>5938</v>
      </c>
      <c r="G126" s="109" t="s">
        <v>5938</v>
      </c>
      <c r="H126" s="109" t="s">
        <v>5938</v>
      </c>
      <c r="I126" s="109" t="s">
        <v>5938</v>
      </c>
      <c r="J126" s="109" t="s">
        <v>5938</v>
      </c>
      <c r="K126" s="109" t="s">
        <v>5938</v>
      </c>
      <c r="L126" s="109" t="s">
        <v>5938</v>
      </c>
      <c r="M126" s="109" t="s">
        <v>5938</v>
      </c>
      <c r="N126" s="109" t="s">
        <v>5938</v>
      </c>
      <c r="O126" s="109" t="s">
        <v>5938</v>
      </c>
      <c r="P126" s="109" t="s">
        <v>5938</v>
      </c>
      <c r="Q126" s="109" t="s">
        <v>5938</v>
      </c>
      <c r="R126" s="109" t="s">
        <v>5938</v>
      </c>
      <c r="S126" s="109" t="s">
        <v>5938</v>
      </c>
      <c r="T126" s="109" t="s">
        <v>5938</v>
      </c>
      <c r="U126" s="109" t="s">
        <v>5938</v>
      </c>
      <c r="V126" s="109" t="s">
        <v>5938</v>
      </c>
      <c r="W126" s="109" t="s">
        <v>5938</v>
      </c>
      <c r="X126" s="109" t="s">
        <v>5938</v>
      </c>
      <c r="Y126" s="109" t="s">
        <v>5938</v>
      </c>
    </row>
    <row r="127" spans="1:25" x14ac:dyDescent="0.3">
      <c r="A127" s="108" t="s">
        <v>293</v>
      </c>
      <c r="B127" s="108">
        <v>128</v>
      </c>
      <c r="C127" s="108" t="s">
        <v>350</v>
      </c>
      <c r="D127" s="108" t="s">
        <v>349</v>
      </c>
      <c r="E127" s="109" t="s">
        <v>5938</v>
      </c>
      <c r="F127" s="109" t="s">
        <v>5938</v>
      </c>
      <c r="G127" s="109" t="s">
        <v>5938</v>
      </c>
      <c r="H127" s="109" t="s">
        <v>5938</v>
      </c>
      <c r="I127" s="109" t="s">
        <v>5938</v>
      </c>
      <c r="J127" s="109" t="s">
        <v>5938</v>
      </c>
      <c r="K127" s="109" t="s">
        <v>5938</v>
      </c>
      <c r="L127" s="109" t="s">
        <v>5938</v>
      </c>
      <c r="M127" s="109" t="s">
        <v>5938</v>
      </c>
      <c r="N127" s="109" t="s">
        <v>5938</v>
      </c>
      <c r="O127" s="109" t="s">
        <v>5938</v>
      </c>
      <c r="P127" s="109" t="s">
        <v>5938</v>
      </c>
      <c r="Q127" s="109" t="s">
        <v>5938</v>
      </c>
      <c r="R127" s="109" t="s">
        <v>5938</v>
      </c>
      <c r="S127" s="109" t="s">
        <v>5938</v>
      </c>
      <c r="T127" s="109" t="s">
        <v>5938</v>
      </c>
      <c r="U127" s="109" t="s">
        <v>5938</v>
      </c>
      <c r="V127" s="109" t="s">
        <v>5938</v>
      </c>
      <c r="W127" s="109" t="s">
        <v>5938</v>
      </c>
      <c r="X127" s="109" t="s">
        <v>5938</v>
      </c>
      <c r="Y127" s="109" t="s">
        <v>5938</v>
      </c>
    </row>
    <row r="128" spans="1:25" x14ac:dyDescent="0.3">
      <c r="A128" s="108" t="s">
        <v>293</v>
      </c>
      <c r="B128" s="108">
        <v>129</v>
      </c>
      <c r="C128" s="108" t="s">
        <v>353</v>
      </c>
      <c r="D128" s="108" t="s">
        <v>352</v>
      </c>
      <c r="E128" s="109" t="s">
        <v>5938</v>
      </c>
      <c r="F128" s="109" t="s">
        <v>5938</v>
      </c>
      <c r="G128" s="109" t="s">
        <v>5938</v>
      </c>
      <c r="H128" s="109" t="s">
        <v>5938</v>
      </c>
      <c r="I128" s="109" t="s">
        <v>5938</v>
      </c>
      <c r="J128" s="109" t="s">
        <v>5938</v>
      </c>
      <c r="K128" s="109" t="s">
        <v>5938</v>
      </c>
      <c r="L128" s="109" t="s">
        <v>5938</v>
      </c>
      <c r="M128" s="109" t="s">
        <v>5938</v>
      </c>
      <c r="N128" s="109" t="s">
        <v>5938</v>
      </c>
      <c r="O128" s="109" t="s">
        <v>5938</v>
      </c>
      <c r="P128" s="109" t="s">
        <v>5938</v>
      </c>
      <c r="Q128" s="109" t="s">
        <v>5938</v>
      </c>
      <c r="R128" s="109" t="s">
        <v>5938</v>
      </c>
      <c r="S128" s="109" t="s">
        <v>5938</v>
      </c>
      <c r="T128" s="109" t="s">
        <v>5938</v>
      </c>
      <c r="U128" s="109" t="s">
        <v>5938</v>
      </c>
      <c r="V128" s="109" t="s">
        <v>5938</v>
      </c>
      <c r="W128" s="109" t="s">
        <v>5938</v>
      </c>
      <c r="X128" s="109" t="s">
        <v>5938</v>
      </c>
      <c r="Y128" s="109" t="s">
        <v>5938</v>
      </c>
    </row>
    <row r="129" spans="1:25" x14ac:dyDescent="0.3">
      <c r="A129" s="108" t="s">
        <v>360</v>
      </c>
      <c r="B129" s="108">
        <v>130</v>
      </c>
      <c r="C129" s="108" t="s">
        <v>367</v>
      </c>
      <c r="D129" s="108" t="s">
        <v>517</v>
      </c>
      <c r="E129" s="109" t="s">
        <v>5938</v>
      </c>
      <c r="F129" s="109" t="s">
        <v>5938</v>
      </c>
      <c r="G129" s="109" t="s">
        <v>5938</v>
      </c>
      <c r="H129" s="109" t="s">
        <v>5938</v>
      </c>
      <c r="I129" s="109" t="s">
        <v>5938</v>
      </c>
      <c r="J129" s="109" t="s">
        <v>5938</v>
      </c>
      <c r="K129" s="109" t="s">
        <v>5938</v>
      </c>
      <c r="L129" s="109" t="s">
        <v>5938</v>
      </c>
      <c r="M129" s="109" t="s">
        <v>5938</v>
      </c>
      <c r="N129" s="109" t="s">
        <v>5938</v>
      </c>
      <c r="O129" s="109" t="s">
        <v>5938</v>
      </c>
      <c r="P129" s="109" t="s">
        <v>5938</v>
      </c>
      <c r="Q129" s="109" t="s">
        <v>5938</v>
      </c>
      <c r="R129" s="109" t="s">
        <v>5938</v>
      </c>
      <c r="S129" s="109" t="s">
        <v>5938</v>
      </c>
      <c r="T129" s="109" t="s">
        <v>5938</v>
      </c>
      <c r="U129" s="109" t="s">
        <v>5938</v>
      </c>
      <c r="V129" s="109" t="s">
        <v>5938</v>
      </c>
      <c r="W129" s="109" t="s">
        <v>5938</v>
      </c>
      <c r="X129" s="109" t="s">
        <v>5938</v>
      </c>
      <c r="Y129" s="109" t="s">
        <v>5938</v>
      </c>
    </row>
    <row r="130" spans="1:25" x14ac:dyDescent="0.3">
      <c r="A130" s="108" t="s">
        <v>360</v>
      </c>
      <c r="B130" s="108">
        <v>131</v>
      </c>
      <c r="C130" s="108" t="s">
        <v>369</v>
      </c>
      <c r="D130" s="108" t="s">
        <v>518</v>
      </c>
      <c r="E130" s="109" t="s">
        <v>5938</v>
      </c>
      <c r="F130" s="109" t="s">
        <v>5938</v>
      </c>
      <c r="G130" s="109" t="s">
        <v>5938</v>
      </c>
      <c r="H130" s="109" t="s">
        <v>5938</v>
      </c>
      <c r="I130" s="109" t="s">
        <v>5938</v>
      </c>
      <c r="J130" s="109" t="s">
        <v>5938</v>
      </c>
      <c r="K130" s="109" t="s">
        <v>5938</v>
      </c>
      <c r="L130" s="109" t="s">
        <v>5938</v>
      </c>
      <c r="M130" s="109" t="s">
        <v>5938</v>
      </c>
      <c r="N130" s="109" t="s">
        <v>5938</v>
      </c>
      <c r="O130" s="109" t="s">
        <v>5938</v>
      </c>
      <c r="P130" s="109" t="s">
        <v>5938</v>
      </c>
      <c r="Q130" s="109" t="s">
        <v>5938</v>
      </c>
      <c r="R130" s="109" t="s">
        <v>5938</v>
      </c>
      <c r="S130" s="109" t="s">
        <v>5938</v>
      </c>
      <c r="T130" s="109" t="s">
        <v>5938</v>
      </c>
      <c r="U130" s="109" t="s">
        <v>5938</v>
      </c>
      <c r="V130" s="109" t="s">
        <v>5938</v>
      </c>
      <c r="W130" s="109" t="s">
        <v>5938</v>
      </c>
      <c r="X130" s="109" t="s">
        <v>5938</v>
      </c>
      <c r="Y130" s="109" t="s">
        <v>5938</v>
      </c>
    </row>
    <row r="131" spans="1:25" x14ac:dyDescent="0.3">
      <c r="A131" s="108" t="s">
        <v>360</v>
      </c>
      <c r="B131" s="108">
        <v>132</v>
      </c>
      <c r="C131" s="108" t="s">
        <v>520</v>
      </c>
      <c r="D131" s="108" t="s">
        <v>519</v>
      </c>
      <c r="E131" s="109" t="s">
        <v>5938</v>
      </c>
      <c r="F131" s="109" t="s">
        <v>5938</v>
      </c>
      <c r="G131" s="109" t="s">
        <v>5938</v>
      </c>
      <c r="H131" s="109" t="s">
        <v>5938</v>
      </c>
      <c r="I131" s="109" t="s">
        <v>5938</v>
      </c>
      <c r="J131" s="109" t="s">
        <v>5938</v>
      </c>
      <c r="K131" s="109" t="s">
        <v>5938</v>
      </c>
      <c r="L131" s="109" t="s">
        <v>5938</v>
      </c>
      <c r="M131" s="109" t="s">
        <v>5938</v>
      </c>
      <c r="N131" s="109" t="s">
        <v>5938</v>
      </c>
      <c r="O131" s="109" t="s">
        <v>5938</v>
      </c>
      <c r="P131" s="109" t="s">
        <v>5938</v>
      </c>
      <c r="Q131" s="109" t="s">
        <v>5938</v>
      </c>
      <c r="R131" s="109" t="s">
        <v>5938</v>
      </c>
      <c r="S131" s="109" t="s">
        <v>5938</v>
      </c>
      <c r="T131" s="109" t="s">
        <v>5938</v>
      </c>
      <c r="U131" s="109" t="s">
        <v>5938</v>
      </c>
      <c r="V131" s="109" t="s">
        <v>5938</v>
      </c>
      <c r="W131" s="109" t="s">
        <v>5938</v>
      </c>
      <c r="X131" s="109" t="s">
        <v>5938</v>
      </c>
      <c r="Y131" s="109" t="s">
        <v>5938</v>
      </c>
    </row>
    <row r="132" spans="1:25" x14ac:dyDescent="0.3">
      <c r="A132" s="108" t="s">
        <v>360</v>
      </c>
      <c r="B132" s="108">
        <v>133</v>
      </c>
      <c r="C132" s="108" t="s">
        <v>350</v>
      </c>
      <c r="D132" s="108" t="s">
        <v>522</v>
      </c>
      <c r="E132" s="109" t="s">
        <v>5938</v>
      </c>
      <c r="F132" s="109" t="s">
        <v>5938</v>
      </c>
      <c r="G132" s="109" t="s">
        <v>5938</v>
      </c>
      <c r="H132" s="109" t="s">
        <v>5938</v>
      </c>
      <c r="I132" s="109" t="s">
        <v>5938</v>
      </c>
      <c r="J132" s="109" t="s">
        <v>5938</v>
      </c>
      <c r="K132" s="109" t="s">
        <v>5938</v>
      </c>
      <c r="L132" s="109" t="s">
        <v>5938</v>
      </c>
      <c r="M132" s="109" t="s">
        <v>5938</v>
      </c>
      <c r="N132" s="109" t="s">
        <v>5938</v>
      </c>
      <c r="O132" s="109" t="s">
        <v>5938</v>
      </c>
      <c r="P132" s="109" t="s">
        <v>5938</v>
      </c>
      <c r="Q132" s="109" t="s">
        <v>5938</v>
      </c>
      <c r="R132" s="109" t="s">
        <v>5938</v>
      </c>
      <c r="S132" s="109" t="s">
        <v>5938</v>
      </c>
      <c r="T132" s="109" t="s">
        <v>5938</v>
      </c>
      <c r="U132" s="109" t="s">
        <v>5938</v>
      </c>
      <c r="V132" s="109" t="s">
        <v>5938</v>
      </c>
      <c r="W132" s="109" t="s">
        <v>5938</v>
      </c>
      <c r="X132" s="109" t="s">
        <v>5938</v>
      </c>
      <c r="Y132" s="109" t="s">
        <v>5938</v>
      </c>
    </row>
    <row r="133" spans="1:25" x14ac:dyDescent="0.3">
      <c r="A133" s="108" t="s">
        <v>5937</v>
      </c>
      <c r="B133" s="108">
        <v>8</v>
      </c>
      <c r="C133" s="108" t="s">
        <v>5937</v>
      </c>
      <c r="D133" s="108" t="s">
        <v>5825</v>
      </c>
      <c r="E133" s="109" t="s">
        <v>5938</v>
      </c>
      <c r="F133" s="109" t="s">
        <v>5938</v>
      </c>
      <c r="G133" s="109" t="s">
        <v>5938</v>
      </c>
      <c r="H133" s="109" t="s">
        <v>5938</v>
      </c>
      <c r="I133" s="109" t="s">
        <v>5938</v>
      </c>
      <c r="J133" s="109" t="s">
        <v>5938</v>
      </c>
      <c r="K133" s="109" t="s">
        <v>5938</v>
      </c>
      <c r="L133" s="109" t="s">
        <v>5938</v>
      </c>
      <c r="M133" s="109" t="s">
        <v>5938</v>
      </c>
      <c r="N133" s="109" t="s">
        <v>5938</v>
      </c>
      <c r="O133" s="109" t="s">
        <v>5938</v>
      </c>
      <c r="P133" s="109" t="s">
        <v>5938</v>
      </c>
      <c r="Q133" s="109" t="s">
        <v>5938</v>
      </c>
      <c r="R133" s="109" t="s">
        <v>5938</v>
      </c>
      <c r="S133" s="109" t="s">
        <v>5938</v>
      </c>
      <c r="T133" s="109" t="s">
        <v>5938</v>
      </c>
      <c r="U133" s="109" t="s">
        <v>5938</v>
      </c>
      <c r="V133" s="109" t="s">
        <v>5938</v>
      </c>
      <c r="W133" s="109" t="s">
        <v>5938</v>
      </c>
      <c r="X133" s="109" t="s">
        <v>5938</v>
      </c>
      <c r="Y133" s="109" t="s">
        <v>5938</v>
      </c>
    </row>
    <row r="134" spans="1:25" x14ac:dyDescent="0.3">
      <c r="A134" s="108" t="s">
        <v>5937</v>
      </c>
      <c r="B134" s="108">
        <v>30</v>
      </c>
      <c r="C134" s="108" t="s">
        <v>2239</v>
      </c>
      <c r="D134" s="108" t="s">
        <v>2238</v>
      </c>
      <c r="E134" s="109" t="s">
        <v>5938</v>
      </c>
      <c r="F134" s="109" t="s">
        <v>5938</v>
      </c>
      <c r="G134" s="109" t="s">
        <v>5938</v>
      </c>
      <c r="H134" s="109" t="s">
        <v>5938</v>
      </c>
      <c r="I134" s="109" t="s">
        <v>5938</v>
      </c>
      <c r="J134" s="109" t="s">
        <v>5938</v>
      </c>
      <c r="K134" s="109" t="s">
        <v>5938</v>
      </c>
      <c r="L134" s="109" t="s">
        <v>5938</v>
      </c>
      <c r="M134" s="109" t="s">
        <v>5938</v>
      </c>
      <c r="N134" s="109" t="s">
        <v>5938</v>
      </c>
      <c r="O134" s="109" t="s">
        <v>5938</v>
      </c>
      <c r="P134" s="109" t="s">
        <v>5938</v>
      </c>
      <c r="Q134" s="109" t="s">
        <v>5938</v>
      </c>
      <c r="R134" s="109" t="s">
        <v>5938</v>
      </c>
      <c r="S134" s="109" t="s">
        <v>5938</v>
      </c>
      <c r="T134" s="109" t="s">
        <v>5938</v>
      </c>
      <c r="U134" s="109" t="s">
        <v>5938</v>
      </c>
      <c r="V134" s="109" t="s">
        <v>5938</v>
      </c>
      <c r="W134" s="109" t="s">
        <v>5938</v>
      </c>
      <c r="X134" s="109" t="s">
        <v>5938</v>
      </c>
      <c r="Y134" s="109" t="s">
        <v>5938</v>
      </c>
    </row>
    <row r="135" spans="1:25" x14ac:dyDescent="0.3">
      <c r="A135" s="108" t="s">
        <v>5937</v>
      </c>
      <c r="B135" s="108">
        <v>31</v>
      </c>
      <c r="C135" s="108" t="s">
        <v>1496</v>
      </c>
      <c r="D135" s="108" t="s">
        <v>5865</v>
      </c>
      <c r="E135" s="109" t="s">
        <v>5938</v>
      </c>
      <c r="F135" s="109" t="s">
        <v>5938</v>
      </c>
      <c r="G135" s="109" t="s">
        <v>5938</v>
      </c>
      <c r="H135" s="109" t="s">
        <v>5938</v>
      </c>
      <c r="I135" s="109" t="s">
        <v>5938</v>
      </c>
      <c r="J135" s="109" t="s">
        <v>5938</v>
      </c>
      <c r="K135" s="109" t="s">
        <v>5938</v>
      </c>
      <c r="L135" s="109" t="s">
        <v>5938</v>
      </c>
      <c r="M135" s="109" t="s">
        <v>5938</v>
      </c>
      <c r="N135" s="109" t="s">
        <v>5938</v>
      </c>
      <c r="O135" s="109" t="s">
        <v>5938</v>
      </c>
      <c r="P135" s="109" t="s">
        <v>5938</v>
      </c>
      <c r="Q135" s="109" t="s">
        <v>5938</v>
      </c>
      <c r="R135" s="109" t="s">
        <v>5938</v>
      </c>
      <c r="S135" s="109" t="s">
        <v>5938</v>
      </c>
      <c r="T135" s="109" t="s">
        <v>5938</v>
      </c>
      <c r="U135" s="109" t="s">
        <v>5938</v>
      </c>
      <c r="V135" s="109" t="s">
        <v>5938</v>
      </c>
      <c r="W135" s="109" t="s">
        <v>5938</v>
      </c>
      <c r="X135" s="109" t="s">
        <v>5938</v>
      </c>
      <c r="Y135" s="109" t="s">
        <v>5938</v>
      </c>
    </row>
    <row r="136" spans="1:25" x14ac:dyDescent="0.3">
      <c r="A136" s="108" t="s">
        <v>5937</v>
      </c>
      <c r="B136" s="108">
        <v>32</v>
      </c>
      <c r="C136" s="108" t="s">
        <v>5875</v>
      </c>
      <c r="D136" s="108" t="s">
        <v>55</v>
      </c>
      <c r="E136" s="109" t="s">
        <v>5938</v>
      </c>
      <c r="F136" s="109" t="s">
        <v>5938</v>
      </c>
      <c r="G136" s="109" t="s">
        <v>5938</v>
      </c>
      <c r="H136" s="109" t="s">
        <v>5938</v>
      </c>
      <c r="I136" s="109" t="s">
        <v>5938</v>
      </c>
      <c r="J136" s="109" t="s">
        <v>5938</v>
      </c>
      <c r="K136" s="109" t="s">
        <v>5938</v>
      </c>
      <c r="L136" s="109" t="s">
        <v>5938</v>
      </c>
      <c r="M136" s="109" t="s">
        <v>5938</v>
      </c>
      <c r="N136" s="109" t="s">
        <v>5938</v>
      </c>
      <c r="O136" s="109" t="s">
        <v>5938</v>
      </c>
      <c r="P136" s="109" t="s">
        <v>5938</v>
      </c>
      <c r="Q136" s="109" t="s">
        <v>5938</v>
      </c>
      <c r="R136" s="109" t="s">
        <v>5938</v>
      </c>
      <c r="S136" s="109" t="s">
        <v>5938</v>
      </c>
      <c r="T136" s="109" t="s">
        <v>5938</v>
      </c>
      <c r="U136" s="109" t="s">
        <v>5938</v>
      </c>
      <c r="V136" s="109" t="s">
        <v>5938</v>
      </c>
      <c r="W136" s="109" t="s">
        <v>5938</v>
      </c>
      <c r="X136" s="109" t="s">
        <v>5938</v>
      </c>
      <c r="Y136" s="109" t="s">
        <v>5938</v>
      </c>
    </row>
    <row r="137" spans="1:25" x14ac:dyDescent="0.3">
      <c r="A137" s="108" t="s">
        <v>5937</v>
      </c>
      <c r="B137" s="108">
        <v>52</v>
      </c>
      <c r="C137" s="108" t="s">
        <v>5937</v>
      </c>
      <c r="D137" s="108" t="s">
        <v>3498</v>
      </c>
      <c r="E137" s="109" t="s">
        <v>5938</v>
      </c>
      <c r="F137" s="109" t="s">
        <v>5938</v>
      </c>
      <c r="G137" s="109" t="s">
        <v>5938</v>
      </c>
      <c r="H137" s="109" t="s">
        <v>5938</v>
      </c>
      <c r="I137" s="109" t="s">
        <v>5938</v>
      </c>
      <c r="J137" s="109" t="s">
        <v>5938</v>
      </c>
      <c r="K137" s="109" t="s">
        <v>5938</v>
      </c>
      <c r="L137" s="109" t="s">
        <v>5938</v>
      </c>
      <c r="M137" s="109" t="s">
        <v>5938</v>
      </c>
      <c r="N137" s="109" t="s">
        <v>5938</v>
      </c>
      <c r="O137" s="109" t="s">
        <v>5938</v>
      </c>
      <c r="P137" s="109" t="s">
        <v>5938</v>
      </c>
      <c r="Q137" s="109" t="s">
        <v>5938</v>
      </c>
      <c r="R137" s="109" t="s">
        <v>5938</v>
      </c>
      <c r="S137" s="109" t="s">
        <v>5938</v>
      </c>
      <c r="T137" s="109" t="s">
        <v>5938</v>
      </c>
      <c r="U137" s="109" t="s">
        <v>5938</v>
      </c>
      <c r="V137" s="109" t="s">
        <v>5938</v>
      </c>
      <c r="W137" s="109" t="s">
        <v>5938</v>
      </c>
      <c r="X137" s="109" t="s">
        <v>5938</v>
      </c>
      <c r="Y137" s="109" t="s">
        <v>5938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BH160"/>
  <sheetViews>
    <sheetView tabSelected="1" topLeftCell="D1" workbookViewId="0">
      <pane ySplit="2" topLeftCell="A139" activePane="bottomLeft" state="frozen"/>
      <selection pane="bottomLeft" activeCell="O145" sqref="O145"/>
    </sheetView>
  </sheetViews>
  <sheetFormatPr defaultRowHeight="14.4" outlineLevelCol="1" x14ac:dyDescent="0.3"/>
  <cols>
    <col min="1" max="1" width="8.88671875" customWidth="1"/>
    <col min="2" max="3" width="23.33203125" customWidth="1"/>
    <col min="4" max="4" width="14.77734375" customWidth="1"/>
    <col min="5" max="5" width="6.44140625" customWidth="1"/>
    <col min="6" max="6" width="15.44140625" customWidth="1"/>
    <col min="7" max="7" width="18.6640625" customWidth="1"/>
    <col min="8" max="8" width="14.77734375" customWidth="1"/>
    <col min="9" max="9" width="32" customWidth="1"/>
    <col min="10" max="10" width="11.77734375" customWidth="1"/>
    <col min="11" max="11" width="9.88671875" customWidth="1"/>
    <col min="12" max="12" width="15.5546875" hidden="1" customWidth="1" outlineLevel="1"/>
    <col min="13" max="13" width="27.5546875" customWidth="1" collapsed="1"/>
    <col min="14" max="14" width="22.88671875" customWidth="1"/>
    <col min="15" max="15" width="38.77734375" customWidth="1"/>
    <col min="16" max="16" width="38" customWidth="1" outlineLevel="1"/>
    <col min="17" max="17" width="12.88671875" customWidth="1" outlineLevel="1"/>
    <col min="18" max="18" width="6.77734375" customWidth="1" outlineLevel="1"/>
    <col min="19" max="22" width="24" customWidth="1"/>
    <col min="23" max="23" width="22" customWidth="1"/>
    <col min="24" max="24" width="16.6640625" customWidth="1"/>
    <col min="25" max="25" width="17.33203125" hidden="1" customWidth="1" outlineLevel="1"/>
    <col min="26" max="26" width="22" customWidth="1" collapsed="1"/>
    <col min="27" max="27" width="10.6640625" customWidth="1"/>
    <col min="28" max="28" width="14" customWidth="1" outlineLevel="1"/>
    <col min="29" max="29" width="10.44140625" customWidth="1"/>
    <col min="30" max="30" width="11.77734375" customWidth="1"/>
    <col min="31" max="37" width="32.5546875" customWidth="1"/>
    <col min="38" max="38" width="26.21875" customWidth="1"/>
    <col min="39" max="39" width="7.21875" bestFit="1" customWidth="1"/>
    <col min="40" max="41" width="8.5546875" bestFit="1" customWidth="1"/>
  </cols>
  <sheetData>
    <row r="1" spans="1:60" x14ac:dyDescent="0.3">
      <c r="AM1" s="119" t="s">
        <v>5936</v>
      </c>
      <c r="AN1" s="119"/>
      <c r="AO1" s="119"/>
      <c r="AP1" s="119"/>
      <c r="AQ1" s="119"/>
      <c r="AR1" s="119"/>
      <c r="AS1" s="119"/>
      <c r="AT1" s="119"/>
      <c r="AU1" s="119"/>
      <c r="AV1" s="119"/>
      <c r="AW1" s="119"/>
      <c r="AX1" s="119"/>
      <c r="AY1" s="119"/>
      <c r="AZ1" s="119"/>
      <c r="BA1" s="119"/>
      <c r="BB1" s="119"/>
      <c r="BC1" s="119"/>
      <c r="BD1" s="119"/>
      <c r="BE1" s="119"/>
      <c r="BF1" s="119"/>
      <c r="BG1" s="119"/>
      <c r="BH1" s="119"/>
    </row>
    <row r="2" spans="1:60" ht="79.05" customHeight="1" x14ac:dyDescent="0.3">
      <c r="A2" s="6" t="s">
        <v>6</v>
      </c>
      <c r="B2" s="6" t="s">
        <v>536</v>
      </c>
      <c r="C2" s="6" t="s">
        <v>523</v>
      </c>
      <c r="D2" s="6" t="s">
        <v>5966</v>
      </c>
      <c r="E2" s="6" t="s">
        <v>525</v>
      </c>
      <c r="F2" s="6" t="s">
        <v>526</v>
      </c>
      <c r="G2" s="7" t="s">
        <v>7</v>
      </c>
      <c r="H2" s="100" t="s">
        <v>5939</v>
      </c>
      <c r="I2" s="7" t="s">
        <v>8</v>
      </c>
      <c r="J2" s="7" t="s">
        <v>9</v>
      </c>
      <c r="K2" s="7" t="s">
        <v>0</v>
      </c>
      <c r="L2" s="7" t="s">
        <v>6097</v>
      </c>
      <c r="M2" s="7" t="s">
        <v>1</v>
      </c>
      <c r="N2" s="12" t="s">
        <v>5824</v>
      </c>
      <c r="O2" s="12" t="s">
        <v>5811</v>
      </c>
      <c r="P2" s="7" t="s">
        <v>532</v>
      </c>
      <c r="Q2" s="7" t="s">
        <v>533</v>
      </c>
      <c r="R2" s="7" t="s">
        <v>534</v>
      </c>
      <c r="S2" s="7" t="s">
        <v>384</v>
      </c>
      <c r="T2" s="116" t="s">
        <v>5967</v>
      </c>
      <c r="U2" s="7" t="s">
        <v>2</v>
      </c>
      <c r="V2" s="12" t="s">
        <v>6211</v>
      </c>
      <c r="W2" s="7" t="s">
        <v>1664</v>
      </c>
      <c r="X2" s="12" t="s">
        <v>1665</v>
      </c>
      <c r="Y2" s="12" t="s">
        <v>5848</v>
      </c>
      <c r="Z2" s="12" t="s">
        <v>5849</v>
      </c>
      <c r="AA2" s="7" t="s">
        <v>3</v>
      </c>
      <c r="AB2" s="7" t="s">
        <v>527</v>
      </c>
      <c r="AC2" s="7" t="s">
        <v>12</v>
      </c>
      <c r="AD2" s="7" t="s">
        <v>13</v>
      </c>
      <c r="AE2" s="8" t="s">
        <v>528</v>
      </c>
      <c r="AF2" s="8" t="s">
        <v>5968</v>
      </c>
      <c r="AG2" s="8" t="s">
        <v>529</v>
      </c>
      <c r="AH2" s="8" t="s">
        <v>530</v>
      </c>
      <c r="AI2" s="8" t="s">
        <v>5969</v>
      </c>
      <c r="AJ2" s="8" t="s">
        <v>5970</v>
      </c>
      <c r="AK2" s="8" t="s">
        <v>535</v>
      </c>
      <c r="AL2" s="8" t="s">
        <v>4</v>
      </c>
      <c r="AM2" s="106" t="s">
        <v>5929</v>
      </c>
      <c r="AN2" s="106" t="s">
        <v>5930</v>
      </c>
      <c r="AO2" s="106" t="s">
        <v>759</v>
      </c>
      <c r="AP2" s="106" t="s">
        <v>5932</v>
      </c>
      <c r="AQ2" s="106" t="s">
        <v>785</v>
      </c>
      <c r="AR2" s="106" t="s">
        <v>5933</v>
      </c>
      <c r="AS2" s="106" t="s">
        <v>5934</v>
      </c>
      <c r="AT2" s="106" t="s">
        <v>816</v>
      </c>
      <c r="AU2" s="106" t="s">
        <v>820</v>
      </c>
      <c r="AV2" s="106" t="s">
        <v>487</v>
      </c>
      <c r="AW2" s="106" t="s">
        <v>665</v>
      </c>
      <c r="AX2" s="106" t="s">
        <v>828</v>
      </c>
      <c r="AY2" s="106" t="s">
        <v>864</v>
      </c>
      <c r="AZ2" s="106" t="s">
        <v>710</v>
      </c>
      <c r="BA2" s="106" t="s">
        <v>868</v>
      </c>
      <c r="BB2" s="106" t="s">
        <v>510</v>
      </c>
      <c r="BC2" s="106" t="s">
        <v>715</v>
      </c>
      <c r="BD2" s="106" t="s">
        <v>5935</v>
      </c>
      <c r="BE2" s="106" t="s">
        <v>717</v>
      </c>
      <c r="BF2" s="106" t="s">
        <v>719</v>
      </c>
      <c r="BG2" s="106" t="s">
        <v>873</v>
      </c>
      <c r="BH2" s="106" t="s">
        <v>876</v>
      </c>
    </row>
    <row r="3" spans="1:60" ht="55.2" x14ac:dyDescent="0.3">
      <c r="A3" s="4" t="s">
        <v>385</v>
      </c>
      <c r="B3" s="4" t="s">
        <v>738</v>
      </c>
      <c r="C3" s="4" t="s">
        <v>734</v>
      </c>
      <c r="D3" s="4" t="s">
        <v>5929</v>
      </c>
      <c r="E3" s="4" t="s">
        <v>1095</v>
      </c>
      <c r="F3" s="4" t="s">
        <v>736</v>
      </c>
      <c r="G3" s="2" t="s">
        <v>15</v>
      </c>
      <c r="H3" s="2">
        <v>1</v>
      </c>
      <c r="I3" s="2" t="s">
        <v>386</v>
      </c>
      <c r="J3" s="2"/>
      <c r="K3" s="2"/>
      <c r="L3" s="2" t="str">
        <f>_xlfn.TEXTJOIN("|",FALSE,Table1[[#This Row],[Target Entity]],Table1[[#This Row],[Target DEV SB ID]])</f>
        <v>|PW_SHORT_NAME</v>
      </c>
      <c r="M3" s="13" t="s">
        <v>1632</v>
      </c>
      <c r="N3" s="2" t="s">
        <v>5821</v>
      </c>
      <c r="O3" s="2"/>
      <c r="P3" s="2" t="s">
        <v>737</v>
      </c>
      <c r="Q3" s="2" t="s">
        <v>33</v>
      </c>
      <c r="R3" s="2" t="s">
        <v>33</v>
      </c>
      <c r="S3" s="2" t="s">
        <v>387</v>
      </c>
      <c r="T3" s="2" t="s">
        <v>387</v>
      </c>
      <c r="U3" s="2" t="s">
        <v>387</v>
      </c>
      <c r="V3" s="2"/>
      <c r="W3" s="2" t="str">
        <f>_xlfn.XLOOKUP(Table1[[#This Row],[Source PROD ID]],Prod_fields[ID],Prod_fields[Attribute Name],"0-Not Found",0,1)</f>
        <v>Work ID</v>
      </c>
      <c r="X3" s="2" t="str">
        <f>_xlfn.XLOOKUP(Table1[[#This Row],[Target DEV SB ID]],New_fields[ID],New_fields[Attribute Name],"0-Not Found",0,1)</f>
        <v>Work ID</v>
      </c>
      <c r="Y3" s="2" t="b">
        <f>Table1[[#This Row],[Prod Source field name]]=Table1[[#This Row],[New instance Target field name]]</f>
        <v>1</v>
      </c>
      <c r="Z3" s="2" t="b">
        <f>Table1[[#This Row],[Target Field Name]]=Table1[[#This Row],[New instance Target field name]]</f>
        <v>1</v>
      </c>
      <c r="AA3" s="2" t="s">
        <v>18</v>
      </c>
      <c r="AB3" s="2" t="s">
        <v>539</v>
      </c>
      <c r="AC3" s="2"/>
      <c r="AD3" s="2" t="s">
        <v>19</v>
      </c>
      <c r="AE3" s="5"/>
      <c r="AF3" s="5" t="s">
        <v>1095</v>
      </c>
      <c r="AG3" s="5" t="s">
        <v>540</v>
      </c>
      <c r="AH3" s="5" t="s">
        <v>19</v>
      </c>
      <c r="AI3" s="5" t="s">
        <v>1095</v>
      </c>
      <c r="AJ3" s="5" t="s">
        <v>1095</v>
      </c>
      <c r="AK3" s="5" t="s">
        <v>1095</v>
      </c>
      <c r="AL3" s="5" t="s">
        <v>20</v>
      </c>
      <c r="AM3" s="104"/>
      <c r="AN3" s="104"/>
      <c r="AO3" s="104"/>
      <c r="AP3" s="104"/>
      <c r="AQ3" s="104"/>
      <c r="AR3" s="104"/>
      <c r="AS3" s="104"/>
      <c r="AT3" s="104"/>
      <c r="AU3" s="104"/>
      <c r="AV3" s="104"/>
      <c r="AW3" s="104"/>
      <c r="AX3" s="104"/>
      <c r="AY3" s="104"/>
      <c r="AZ3" s="104"/>
      <c r="BA3" s="104"/>
      <c r="BB3" s="104"/>
      <c r="BC3" s="104"/>
      <c r="BD3" s="104"/>
      <c r="BE3" s="104"/>
      <c r="BF3" s="104"/>
      <c r="BG3" s="104"/>
      <c r="BH3" s="104"/>
    </row>
    <row r="4" spans="1:60" ht="55.2" x14ac:dyDescent="0.3">
      <c r="A4" s="4" t="s">
        <v>385</v>
      </c>
      <c r="B4" s="4" t="s">
        <v>738</v>
      </c>
      <c r="C4" s="4" t="s">
        <v>734</v>
      </c>
      <c r="D4" s="4" t="s">
        <v>5929</v>
      </c>
      <c r="E4" s="4" t="s">
        <v>1095</v>
      </c>
      <c r="F4" s="4" t="s">
        <v>736</v>
      </c>
      <c r="G4" s="2" t="s">
        <v>15</v>
      </c>
      <c r="H4" s="2">
        <v>2</v>
      </c>
      <c r="I4" s="2" t="s">
        <v>386</v>
      </c>
      <c r="J4" s="2"/>
      <c r="K4" s="2"/>
      <c r="L4" s="2" t="str">
        <f>_xlfn.TEXTJOIN("|",FALSE,Table1[[#This Row],[Target Entity]],Table1[[#This Row],[Target DEV SB ID]])</f>
        <v>|DESCR</v>
      </c>
      <c r="M4" s="13" t="s">
        <v>136</v>
      </c>
      <c r="N4" s="2" t="s">
        <v>5821</v>
      </c>
      <c r="O4" s="2"/>
      <c r="P4" s="2" t="s">
        <v>1095</v>
      </c>
      <c r="Q4" s="2" t="s">
        <v>33</v>
      </c>
      <c r="R4" s="2" t="s">
        <v>33</v>
      </c>
      <c r="S4" s="13" t="s">
        <v>124</v>
      </c>
      <c r="T4" s="13" t="s">
        <v>124</v>
      </c>
      <c r="U4" s="2" t="s">
        <v>124</v>
      </c>
      <c r="V4" s="13"/>
      <c r="W4" s="2" t="str">
        <f>_xlfn.XLOOKUP(Table1[[#This Row],[Source PROD ID]],Prod_fields[ID],Prod_fields[Attribute Name],"0-Not Found",0,1)</f>
        <v>Epic Name</v>
      </c>
      <c r="X4" s="2" t="str">
        <f>_xlfn.XLOOKUP(Table1[[#This Row],[Target DEV SB ID]],New_fields[ID],New_fields[Attribute Name],"0-Not Found",0,1)</f>
        <v>Work Name</v>
      </c>
      <c r="Y4" s="2" t="b">
        <f>Table1[[#This Row],[Prod Source field name]]=Table1[[#This Row],[New instance Target field name]]</f>
        <v>0</v>
      </c>
      <c r="Z4" s="2" t="b">
        <f>Table1[[#This Row],[Target Field Name]]=Table1[[#This Row],[New instance Target field name]]</f>
        <v>1</v>
      </c>
      <c r="AA4" s="2" t="s">
        <v>18</v>
      </c>
      <c r="AB4" s="2" t="s">
        <v>539</v>
      </c>
      <c r="AC4" s="2"/>
      <c r="AD4" s="2" t="s">
        <v>19</v>
      </c>
      <c r="AE4" s="5"/>
      <c r="AF4" s="5" t="s">
        <v>5978</v>
      </c>
      <c r="AG4" s="5" t="s">
        <v>540</v>
      </c>
      <c r="AH4" s="5" t="s">
        <v>19</v>
      </c>
      <c r="AI4" s="5" t="s">
        <v>1095</v>
      </c>
      <c r="AJ4" s="5" t="s">
        <v>1095</v>
      </c>
      <c r="AK4" s="5" t="s">
        <v>1095</v>
      </c>
      <c r="AL4" s="5" t="s">
        <v>20</v>
      </c>
      <c r="AM4" s="105"/>
      <c r="AN4" s="105"/>
      <c r="AO4" s="105"/>
      <c r="AP4" s="105"/>
      <c r="AQ4" s="105"/>
      <c r="AR4" s="105"/>
      <c r="AS4" s="105"/>
      <c r="AT4" s="105"/>
      <c r="AU4" s="105"/>
      <c r="AV4" s="105"/>
      <c r="AW4" s="105"/>
      <c r="AX4" s="105"/>
      <c r="AY4" s="105"/>
      <c r="AZ4" s="105"/>
      <c r="BA4" s="105"/>
      <c r="BB4" s="105"/>
      <c r="BC4" s="105"/>
      <c r="BD4" s="105"/>
      <c r="BE4" s="105"/>
      <c r="BF4" s="105"/>
      <c r="BG4" s="105"/>
      <c r="BH4" s="105"/>
    </row>
    <row r="5" spans="1:60" ht="55.2" x14ac:dyDescent="0.3">
      <c r="A5" s="4" t="s">
        <v>385</v>
      </c>
      <c r="B5" s="4" t="s">
        <v>1095</v>
      </c>
      <c r="C5" s="4" t="s">
        <v>734</v>
      </c>
      <c r="D5" s="4" t="s">
        <v>5929</v>
      </c>
      <c r="E5" s="4" t="s">
        <v>1095</v>
      </c>
      <c r="F5" s="4" t="s">
        <v>736</v>
      </c>
      <c r="G5" s="2" t="s">
        <v>15</v>
      </c>
      <c r="H5" s="2">
        <v>3</v>
      </c>
      <c r="I5" s="2" t="s">
        <v>386</v>
      </c>
      <c r="J5" s="2"/>
      <c r="K5" s="2"/>
      <c r="L5" s="2" t="str">
        <f>_xlfn.TEXTJOIN("|",FALSE,Table1[[#This Row],[Target Entity]],Table1[[#This Row],[Target DEV SB ID]])</f>
        <v>|PARENT_DESCR</v>
      </c>
      <c r="M5" s="2" t="s">
        <v>131</v>
      </c>
      <c r="N5" s="2" t="s">
        <v>5821</v>
      </c>
      <c r="O5" s="2"/>
      <c r="P5" s="2" t="s">
        <v>1095</v>
      </c>
      <c r="Q5" s="2" t="s">
        <v>33</v>
      </c>
      <c r="R5" s="2" t="s">
        <v>33</v>
      </c>
      <c r="S5" s="13" t="s">
        <v>132</v>
      </c>
      <c r="T5" s="13" t="s">
        <v>132</v>
      </c>
      <c r="U5" s="2" t="s">
        <v>132</v>
      </c>
      <c r="V5" s="13"/>
      <c r="W5" s="2" t="str">
        <f>_xlfn.XLOOKUP(Table1[[#This Row],[Source PROD ID]],Prod_fields[ID],Prod_fields[Attribute Name],"0-Not Found",0,1)</f>
        <v>Home Domain/Portfolio</v>
      </c>
      <c r="X5" s="2" t="str">
        <f>_xlfn.XLOOKUP(Table1[[#This Row],[Target DEV SB ID]],New_fields[ID],New_fields[Attribute Name],"0-Not Found",0,1)</f>
        <v>Work Parent</v>
      </c>
      <c r="Y5" s="2" t="b">
        <f>Table1[[#This Row],[Prod Source field name]]=Table1[[#This Row],[New instance Target field name]]</f>
        <v>0</v>
      </c>
      <c r="Z5" s="2" t="b">
        <f>Table1[[#This Row],[Target Field Name]]=Table1[[#This Row],[New instance Target field name]]</f>
        <v>1</v>
      </c>
      <c r="AA5" s="2" t="s">
        <v>133</v>
      </c>
      <c r="AB5" s="2" t="s">
        <v>539</v>
      </c>
      <c r="AC5" s="2"/>
      <c r="AD5" s="2" t="s">
        <v>19</v>
      </c>
      <c r="AE5" s="5"/>
      <c r="AF5" s="5"/>
      <c r="AG5" s="5" t="s">
        <v>540</v>
      </c>
      <c r="AH5" s="5" t="s">
        <v>19</v>
      </c>
      <c r="AI5" s="5" t="s">
        <v>1095</v>
      </c>
      <c r="AJ5" s="5" t="s">
        <v>1095</v>
      </c>
      <c r="AK5" s="5" t="s">
        <v>1095</v>
      </c>
      <c r="AL5" s="5" t="s">
        <v>20</v>
      </c>
      <c r="AM5" s="105"/>
      <c r="AN5" s="105"/>
      <c r="AO5" s="105"/>
      <c r="AP5" s="105"/>
      <c r="AQ5" s="105"/>
      <c r="AR5" s="105"/>
      <c r="AS5" s="105"/>
      <c r="AT5" s="105"/>
      <c r="AU5" s="105"/>
      <c r="AV5" s="105"/>
      <c r="AW5" s="105"/>
      <c r="AX5" s="105"/>
      <c r="AY5" s="105"/>
      <c r="AZ5" s="105"/>
      <c r="BA5" s="105"/>
      <c r="BB5" s="105"/>
      <c r="BC5" s="105"/>
      <c r="BD5" s="105"/>
      <c r="BE5" s="105"/>
      <c r="BF5" s="105"/>
      <c r="BG5" s="105"/>
      <c r="BH5" s="105"/>
    </row>
    <row r="6" spans="1:60" ht="193.2" x14ac:dyDescent="0.3">
      <c r="A6" s="4" t="s">
        <v>385</v>
      </c>
      <c r="B6" s="4" t="s">
        <v>744</v>
      </c>
      <c r="C6" s="4" t="s">
        <v>1095</v>
      </c>
      <c r="D6" s="4" t="s">
        <v>5929</v>
      </c>
      <c r="E6" s="4" t="s">
        <v>1095</v>
      </c>
      <c r="F6" s="4" t="s">
        <v>736</v>
      </c>
      <c r="G6" s="2" t="s">
        <v>15</v>
      </c>
      <c r="H6" s="2">
        <v>4</v>
      </c>
      <c r="I6" s="2" t="s">
        <v>386</v>
      </c>
      <c r="J6" s="2"/>
      <c r="K6" s="2"/>
      <c r="L6" s="2" t="str">
        <f>_xlfn.TEXTJOIN("|",FALSE,Table1[[#This Row],[Target Entity]],Table1[[#This Row],[Target DEV SB ID]])</f>
        <v>|Wbs22</v>
      </c>
      <c r="M6" s="2" t="s">
        <v>134</v>
      </c>
      <c r="N6" s="2" t="s">
        <v>5821</v>
      </c>
      <c r="O6" s="2"/>
      <c r="P6" s="2" t="s">
        <v>743</v>
      </c>
      <c r="Q6" s="2" t="s">
        <v>33</v>
      </c>
      <c r="R6" s="2" t="s">
        <v>33</v>
      </c>
      <c r="S6" s="13" t="s">
        <v>135</v>
      </c>
      <c r="T6" s="13" t="s">
        <v>135</v>
      </c>
      <c r="U6" s="2" t="s">
        <v>135</v>
      </c>
      <c r="V6" s="13"/>
      <c r="W6" s="2" t="str">
        <f>_xlfn.XLOOKUP(Table1[[#This Row],[Source PROD ID]],Prod_fields[ID],Prod_fields[Attribute Name],"0-Not Found",0,1)</f>
        <v>Work Type</v>
      </c>
      <c r="X6" s="2" t="str">
        <f>_xlfn.XLOOKUP(Table1[[#This Row],[Target DEV SB ID]],New_fields[ID],New_fields[Attribute Name],"0-Not Found",0,1)</f>
        <v>Work Type</v>
      </c>
      <c r="Y6" s="2" t="b">
        <f>Table1[[#This Row],[Prod Source field name]]=Table1[[#This Row],[New instance Target field name]]</f>
        <v>1</v>
      </c>
      <c r="Z6" s="2" t="b">
        <f>Table1[[#This Row],[Target Field Name]]=Table1[[#This Row],[New instance Target field name]]</f>
        <v>1</v>
      </c>
      <c r="AA6" s="2" t="s">
        <v>388</v>
      </c>
      <c r="AB6" s="2" t="s">
        <v>741</v>
      </c>
      <c r="AC6" s="2" t="s">
        <v>32</v>
      </c>
      <c r="AD6" s="2" t="s">
        <v>33</v>
      </c>
      <c r="AE6" s="5" t="str">
        <f>_xlfn.TEXTJOIN(CHAR(10),TRUE,VAL_Work_Type[])</f>
        <v>Program Value Bundle
Tech-Enabled Request
Business Demand</v>
      </c>
      <c r="AF6" s="5" t="s">
        <v>6279</v>
      </c>
      <c r="AG6" s="5" t="s">
        <v>540</v>
      </c>
      <c r="AH6" s="5" t="s">
        <v>19</v>
      </c>
      <c r="AI6" s="5" t="s">
        <v>1095</v>
      </c>
      <c r="AJ6" s="5" t="s">
        <v>1095</v>
      </c>
      <c r="AK6" s="5" t="s">
        <v>1095</v>
      </c>
      <c r="AL6" s="5" t="s">
        <v>20</v>
      </c>
      <c r="AM6" s="105"/>
      <c r="AN6" s="105"/>
      <c r="AO6" s="105"/>
      <c r="AP6" s="105"/>
      <c r="AQ6" s="105"/>
      <c r="AR6" s="105"/>
      <c r="AS6" s="105"/>
      <c r="AT6" s="105"/>
      <c r="AU6" s="105"/>
      <c r="AV6" s="105"/>
      <c r="AW6" s="105"/>
      <c r="AX6" s="105"/>
      <c r="AY6" s="105"/>
      <c r="AZ6" s="105"/>
      <c r="BA6" s="105"/>
      <c r="BB6" s="105"/>
      <c r="BC6" s="105"/>
      <c r="BD6" s="105"/>
      <c r="BE6" s="105"/>
      <c r="BF6" s="105"/>
      <c r="BG6" s="105"/>
      <c r="BH6" s="105"/>
    </row>
    <row r="7" spans="1:60" ht="69" x14ac:dyDescent="0.3">
      <c r="A7" s="4" t="s">
        <v>385</v>
      </c>
      <c r="B7" s="4" t="s">
        <v>738</v>
      </c>
      <c r="C7" s="4" t="s">
        <v>734</v>
      </c>
      <c r="D7" s="4" t="s">
        <v>735</v>
      </c>
      <c r="E7" s="4" t="s">
        <v>1095</v>
      </c>
      <c r="F7" s="4" t="s">
        <v>736</v>
      </c>
      <c r="G7" s="2" t="s">
        <v>15</v>
      </c>
      <c r="H7" s="2">
        <v>4.0999999999999996</v>
      </c>
      <c r="I7" s="2" t="s">
        <v>386</v>
      </c>
      <c r="J7" s="2"/>
      <c r="K7" s="2"/>
      <c r="L7" s="2" t="str">
        <f>_xlfn.TEXTJOIN("|",FALSE,Table1[[#This Row],[Target Entity]],Table1[[#This Row],[Target DEV SB ID]])</f>
        <v>|Wbs174</v>
      </c>
      <c r="M7" s="2" t="s">
        <v>3432</v>
      </c>
      <c r="N7" s="2" t="s">
        <v>5821</v>
      </c>
      <c r="O7" s="2"/>
      <c r="P7" s="2"/>
      <c r="Q7" s="2" t="s">
        <v>19</v>
      </c>
      <c r="R7" s="2" t="s">
        <v>33</v>
      </c>
      <c r="S7" s="2" t="s">
        <v>3491</v>
      </c>
      <c r="T7" s="13" t="s">
        <v>345</v>
      </c>
      <c r="U7" s="2" t="s">
        <v>138</v>
      </c>
      <c r="V7" s="2" t="s">
        <v>6280</v>
      </c>
      <c r="W7" s="2" t="str">
        <f>_xlfn.XLOOKUP(Table1[[#This Row],[Source PROD ID]],Prod_fields[ID],Prod_fields[Attribute Name],"0-Not Found",0,1)</f>
        <v>0-Not Found</v>
      </c>
      <c r="X7" s="2" t="str">
        <f>_xlfn.XLOOKUP(Table1[[#This Row],[Target DEV SB ID]],New_fields[ID],New_fields[Attribute Name],"0-Not Found",0,1)</f>
        <v>Does this work support either of these type of Programs?</v>
      </c>
      <c r="Y7" s="2" t="b">
        <f>Table1[[#This Row],[Prod Source field name]]=Table1[[#This Row],[New instance Target field name]]</f>
        <v>0</v>
      </c>
      <c r="Z7" s="2" t="b">
        <f>Table1[[#This Row],[Target Field Name]]=Table1[[#This Row],[New instance Target field name]]</f>
        <v>1</v>
      </c>
      <c r="AA7" s="2" t="s">
        <v>363</v>
      </c>
      <c r="AB7" s="2" t="s">
        <v>539</v>
      </c>
      <c r="AC7" s="2" t="s">
        <v>32</v>
      </c>
      <c r="AD7" s="2" t="s">
        <v>33</v>
      </c>
      <c r="AE7" s="5" t="str">
        <f>_xlfn.TEXTJOIN(CHAR(10),TRUE,VAL_Strategic_Program[])</f>
        <v>DRIVE Strategic Program
D&amp;T Program
No</v>
      </c>
      <c r="AF7" s="5"/>
      <c r="AG7" s="5" t="s">
        <v>540</v>
      </c>
      <c r="AH7" s="5" t="s">
        <v>19</v>
      </c>
      <c r="AI7" s="5"/>
      <c r="AJ7" s="5"/>
      <c r="AK7" s="5"/>
      <c r="AL7" s="5"/>
      <c r="AM7" s="105"/>
      <c r="AN7" s="105"/>
      <c r="AO7" s="105"/>
      <c r="AP7" s="105"/>
      <c r="AQ7" s="105"/>
      <c r="AR7" s="105"/>
      <c r="AS7" s="105"/>
      <c r="AT7" s="105"/>
      <c r="AU7" s="105"/>
      <c r="AV7" s="105"/>
      <c r="AW7" s="105"/>
      <c r="AX7" s="105"/>
      <c r="AY7" s="105"/>
      <c r="AZ7" s="105"/>
      <c r="BA7" s="105"/>
      <c r="BB7" s="105"/>
      <c r="BC7" s="105"/>
      <c r="BD7" s="105"/>
      <c r="BE7" s="105"/>
      <c r="BF7" s="105"/>
      <c r="BG7" s="105"/>
      <c r="BH7" s="105"/>
    </row>
    <row r="8" spans="1:60" ht="165.6" x14ac:dyDescent="0.3">
      <c r="A8" s="4" t="s">
        <v>385</v>
      </c>
      <c r="B8" s="4" t="s">
        <v>738</v>
      </c>
      <c r="C8" s="4" t="s">
        <v>734</v>
      </c>
      <c r="D8" s="4" t="s">
        <v>735</v>
      </c>
      <c r="E8" s="4" t="s">
        <v>1095</v>
      </c>
      <c r="F8" s="4" t="s">
        <v>736</v>
      </c>
      <c r="G8" s="2" t="s">
        <v>15</v>
      </c>
      <c r="H8" s="2">
        <v>5</v>
      </c>
      <c r="I8" s="2" t="s">
        <v>386</v>
      </c>
      <c r="J8" s="2"/>
      <c r="K8" s="2"/>
      <c r="L8" s="2" t="str">
        <f>_xlfn.TEXTJOIN("|",FALSE,Table1[[#This Row],[Target Entity]],Table1[[#This Row],[Target DEV SB ID]])</f>
        <v>|Wbs146</v>
      </c>
      <c r="M8" s="2" t="s">
        <v>389</v>
      </c>
      <c r="N8" s="2" t="s">
        <v>5820</v>
      </c>
      <c r="O8" s="13" t="s">
        <v>5841</v>
      </c>
      <c r="P8" s="13" t="s">
        <v>745</v>
      </c>
      <c r="Q8" s="13" t="s">
        <v>19</v>
      </c>
      <c r="R8" s="13" t="s">
        <v>19</v>
      </c>
      <c r="S8" s="13" t="s">
        <v>3491</v>
      </c>
      <c r="T8" s="13"/>
      <c r="U8" s="2" t="s">
        <v>356</v>
      </c>
      <c r="V8" s="13" t="s">
        <v>5810</v>
      </c>
      <c r="W8" s="2" t="str">
        <f>_xlfn.XLOOKUP(Table1[[#This Row],[Source PROD ID]],Prod_fields[ID],Prod_fields[Attribute Name],"0-Not Found",0,1)</f>
        <v>0-Not Found</v>
      </c>
      <c r="X8" s="2" t="str">
        <f>_xlfn.XLOOKUP(Table1[[#This Row],[Target DEV SB ID]],New_fields[ID],New_fields[Attribute Name],"0-Not Found",0,1)</f>
        <v>Does this request support a DRIVE Strategic Program?</v>
      </c>
      <c r="Y8" s="2" t="b">
        <f>Table1[[#This Row],[Prod Source field name]]=Table1[[#This Row],[New instance Target field name]]</f>
        <v>0</v>
      </c>
      <c r="Z8" s="2" t="b">
        <f>Table1[[#This Row],[Target Field Name]]=Table1[[#This Row],[New instance Target field name]]</f>
        <v>1</v>
      </c>
      <c r="AA8" s="2" t="s">
        <v>363</v>
      </c>
      <c r="AB8" s="2" t="s">
        <v>539</v>
      </c>
      <c r="AC8" s="2" t="s">
        <v>32</v>
      </c>
      <c r="AD8" s="2" t="s">
        <v>33</v>
      </c>
      <c r="AE8" s="5" t="str">
        <f>_xlfn.TEXTJOIN(CHAR(10),TRUE,VAL_Strategic_Program[])</f>
        <v>DRIVE Strategic Program
D&amp;T Program
No</v>
      </c>
      <c r="AF8" s="5" t="s">
        <v>5984</v>
      </c>
      <c r="AG8" s="5" t="s">
        <v>540</v>
      </c>
      <c r="AH8" s="5" t="s">
        <v>19</v>
      </c>
      <c r="AI8" s="5" t="s">
        <v>1095</v>
      </c>
      <c r="AJ8" s="5" t="s">
        <v>1095</v>
      </c>
      <c r="AK8" s="5" t="s">
        <v>1095</v>
      </c>
      <c r="AL8" s="5" t="s">
        <v>20</v>
      </c>
      <c r="AM8" s="105"/>
      <c r="AN8" s="105"/>
      <c r="AO8" s="105"/>
      <c r="AP8" s="105"/>
      <c r="AQ8" s="105"/>
      <c r="AR8" s="105"/>
      <c r="AS8" s="105"/>
      <c r="AT8" s="105"/>
      <c r="AU8" s="105"/>
      <c r="AV8" s="105"/>
      <c r="AW8" s="105"/>
      <c r="AX8" s="105"/>
      <c r="AY8" s="105"/>
      <c r="AZ8" s="105"/>
      <c r="BA8" s="105"/>
      <c r="BB8" s="105"/>
      <c r="BC8" s="105"/>
      <c r="BD8" s="105"/>
      <c r="BE8" s="105"/>
      <c r="BF8" s="105"/>
      <c r="BG8" s="105"/>
      <c r="BH8" s="105"/>
    </row>
    <row r="9" spans="1:60" ht="66" customHeight="1" x14ac:dyDescent="0.3">
      <c r="A9" s="4" t="s">
        <v>385</v>
      </c>
      <c r="B9" s="4" t="s">
        <v>738</v>
      </c>
      <c r="C9" s="4" t="s">
        <v>734</v>
      </c>
      <c r="D9" s="4" t="s">
        <v>5929</v>
      </c>
      <c r="E9" s="4" t="s">
        <v>1095</v>
      </c>
      <c r="F9" s="4" t="s">
        <v>736</v>
      </c>
      <c r="G9" s="2" t="s">
        <v>15</v>
      </c>
      <c r="H9" s="2">
        <v>6</v>
      </c>
      <c r="I9" s="2" t="s">
        <v>386</v>
      </c>
      <c r="J9" s="2"/>
      <c r="K9" s="2"/>
      <c r="L9" s="2" t="str">
        <f>_xlfn.TEXTJOIN("|",FALSE,Table1[[#This Row],[Target Entity]],Table1[[#This Row],[Target DEV SB ID]])</f>
        <v>|Wbs154</v>
      </c>
      <c r="M9" s="13" t="s">
        <v>3431</v>
      </c>
      <c r="N9" s="2" t="s">
        <v>5821</v>
      </c>
      <c r="O9" s="2"/>
      <c r="P9" s="2" t="s">
        <v>748</v>
      </c>
      <c r="Q9" s="2" t="s">
        <v>33</v>
      </c>
      <c r="R9" s="2" t="s">
        <v>597</v>
      </c>
      <c r="S9" s="2" t="s">
        <v>143</v>
      </c>
      <c r="T9" s="2" t="s">
        <v>143</v>
      </c>
      <c r="U9" s="2" t="s">
        <v>144</v>
      </c>
      <c r="V9" s="2"/>
      <c r="W9" s="2" t="str">
        <f>_xlfn.XLOOKUP(Table1[[#This Row],[Source PROD ID]],Prod_fields[ID],Prod_fields[Attribute Name],"0-Not Found",0,1)</f>
        <v>Is this confidential?</v>
      </c>
      <c r="X9" s="2" t="str">
        <f>_xlfn.XLOOKUP(Table1[[#This Row],[Target DEV SB ID]],New_fields[ID],New_fields[Attribute Name],"0-Not Found",0,1)</f>
        <v>Does this require Limited Visibility?</v>
      </c>
      <c r="Y9" s="2" t="b">
        <f>Table1[[#This Row],[Prod Source field name]]=Table1[[#This Row],[New instance Target field name]]</f>
        <v>0</v>
      </c>
      <c r="Z9" s="2" t="b">
        <f>Table1[[#This Row],[Target Field Name]]=Table1[[#This Row],[New instance Target field name]]</f>
        <v>1</v>
      </c>
      <c r="AA9" s="2" t="s">
        <v>363</v>
      </c>
      <c r="AB9" s="2" t="s">
        <v>539</v>
      </c>
      <c r="AC9" s="2" t="s">
        <v>32</v>
      </c>
      <c r="AD9" s="2" t="s">
        <v>33</v>
      </c>
      <c r="AE9" s="5" t="str">
        <f>_xlfn.TEXTJOIN(CHAR(10),TRUE,VAL_Limited_Visibility[])</f>
        <v>Yes - Workforce
Yes - Non-Workforce
Yes - Privileged &amp; Confidential
No</v>
      </c>
      <c r="AF9" s="5" t="s">
        <v>5985</v>
      </c>
      <c r="AG9" s="5" t="s">
        <v>747</v>
      </c>
      <c r="AH9" s="5" t="s">
        <v>33</v>
      </c>
      <c r="AI9" s="5" t="s">
        <v>1095</v>
      </c>
      <c r="AJ9" s="5" t="s">
        <v>1095</v>
      </c>
      <c r="AK9" s="5" t="s">
        <v>1095</v>
      </c>
      <c r="AL9" s="5" t="s">
        <v>20</v>
      </c>
      <c r="AM9" s="105"/>
      <c r="AN9" s="105"/>
      <c r="AO9" s="105"/>
      <c r="AP9" s="105"/>
      <c r="AQ9" s="105"/>
      <c r="AR9" s="105"/>
      <c r="AS9" s="105"/>
      <c r="AT9" s="105"/>
      <c r="AU9" s="105"/>
      <c r="AV9" s="105"/>
      <c r="AW9" s="105"/>
      <c r="AX9" s="105"/>
      <c r="AY9" s="105"/>
      <c r="AZ9" s="105"/>
      <c r="BA9" s="105"/>
      <c r="BB9" s="105"/>
      <c r="BC9" s="105"/>
      <c r="BD9" s="105"/>
      <c r="BE9" s="105"/>
      <c r="BF9" s="105"/>
      <c r="BG9" s="105"/>
      <c r="BH9" s="105"/>
    </row>
    <row r="10" spans="1:60" ht="55.2" x14ac:dyDescent="0.3">
      <c r="A10" s="4" t="s">
        <v>385</v>
      </c>
      <c r="B10" s="4" t="s">
        <v>738</v>
      </c>
      <c r="C10" s="4" t="s">
        <v>734</v>
      </c>
      <c r="D10" s="4" t="s">
        <v>5929</v>
      </c>
      <c r="E10" s="4" t="s">
        <v>1095</v>
      </c>
      <c r="F10" s="4" t="s">
        <v>736</v>
      </c>
      <c r="G10" s="2" t="s">
        <v>15</v>
      </c>
      <c r="H10" s="2">
        <v>7</v>
      </c>
      <c r="I10" s="2" t="s">
        <v>386</v>
      </c>
      <c r="J10" s="2"/>
      <c r="K10" s="2"/>
      <c r="L10" s="2" t="str">
        <f>_xlfn.TEXTJOIN("|",FALSE,Table1[[#This Row],[Target Entity]],Table1[[#This Row],[Target DEV SB ID]])</f>
        <v>|Wbs66</v>
      </c>
      <c r="M10" s="13" t="s">
        <v>139</v>
      </c>
      <c r="N10" s="13" t="s">
        <v>5821</v>
      </c>
      <c r="O10" s="13"/>
      <c r="P10" s="13" t="s">
        <v>749</v>
      </c>
      <c r="Q10" s="13" t="s">
        <v>19</v>
      </c>
      <c r="R10" s="13" t="s">
        <v>19</v>
      </c>
      <c r="S10" s="13" t="s">
        <v>3491</v>
      </c>
      <c r="T10" s="13" t="s">
        <v>1095</v>
      </c>
      <c r="U10" s="13" t="s">
        <v>141</v>
      </c>
      <c r="V10" s="13" t="s">
        <v>5832</v>
      </c>
      <c r="W10" s="2" t="str">
        <f>_xlfn.XLOOKUP(Table1[[#This Row],[Source PROD ID]],Prod_fields[ID],Prod_fields[Attribute Name],"0-Not Found",0,1)</f>
        <v>0-Not Found</v>
      </c>
      <c r="X10" s="2" t="str">
        <f>_xlfn.XLOOKUP(Table1[[#This Row],[Target DEV SB ID]],New_fields[ID],New_fields[Attribute Name],"0-Not Found",0,1)</f>
        <v>Is this demand Business Only?</v>
      </c>
      <c r="Y10" s="2" t="b">
        <f>Table1[[#This Row],[Prod Source field name]]=Table1[[#This Row],[New instance Target field name]]</f>
        <v>0</v>
      </c>
      <c r="Z10" s="2" t="b">
        <f>Table1[[#This Row],[Target Field Name]]=Table1[[#This Row],[New instance Target field name]]</f>
        <v>1</v>
      </c>
      <c r="AA10" s="2" t="s">
        <v>363</v>
      </c>
      <c r="AB10" s="2" t="s">
        <v>539</v>
      </c>
      <c r="AC10" s="2" t="s">
        <v>32</v>
      </c>
      <c r="AD10" s="2" t="s">
        <v>33</v>
      </c>
      <c r="AE10" s="5" t="str">
        <f>_xlfn.TEXTJOIN(CHAR(10),TRUE,VAL_Business_Demand[])</f>
        <v>Yes
No</v>
      </c>
      <c r="AF10" s="5" t="s">
        <v>5986</v>
      </c>
      <c r="AG10" s="5" t="s">
        <v>540</v>
      </c>
      <c r="AH10" s="5" t="s">
        <v>19</v>
      </c>
      <c r="AI10" s="5" t="s">
        <v>1095</v>
      </c>
      <c r="AJ10" s="5" t="s">
        <v>1095</v>
      </c>
      <c r="AK10" s="5" t="s">
        <v>1095</v>
      </c>
      <c r="AL10" s="5" t="s">
        <v>20</v>
      </c>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row>
    <row r="11" spans="1:60" ht="69" x14ac:dyDescent="0.3">
      <c r="A11" s="101"/>
      <c r="B11" s="101" t="s">
        <v>6096</v>
      </c>
      <c r="C11" s="101" t="s">
        <v>6096</v>
      </c>
      <c r="D11" s="101" t="s">
        <v>6096</v>
      </c>
      <c r="E11" s="101" t="s">
        <v>6096</v>
      </c>
      <c r="F11" s="101" t="s">
        <v>6096</v>
      </c>
      <c r="G11" s="13"/>
      <c r="H11" s="2">
        <v>8</v>
      </c>
      <c r="I11" s="13"/>
      <c r="J11" s="13"/>
      <c r="K11" s="13"/>
      <c r="L11" s="13" t="str">
        <f>_xlfn.TEXTJOIN("|",FALSE,Table1[[#This Row],[Target Entity]],Table1[[#This Row],[Target DEV SB ID]])</f>
        <v>|</v>
      </c>
      <c r="M11" s="13" t="s">
        <v>5825</v>
      </c>
      <c r="N11" s="13" t="s">
        <v>5827</v>
      </c>
      <c r="O11" s="13" t="s">
        <v>5830</v>
      </c>
      <c r="P11" s="13" t="s">
        <v>6096</v>
      </c>
      <c r="Q11" s="13" t="s">
        <v>6096</v>
      </c>
      <c r="R11" s="13" t="s">
        <v>6096</v>
      </c>
      <c r="S11" s="13"/>
      <c r="T11" s="13"/>
      <c r="U11" s="13"/>
      <c r="V11" s="13" t="s">
        <v>5826</v>
      </c>
      <c r="W11" s="13" t="str">
        <f>_xlfn.XLOOKUP(Table1[[#This Row],[Source PROD ID]],Prod_fields[ID],Prod_fields[Attribute Name],"0-Not Found",0,1)</f>
        <v>0-Not Found</v>
      </c>
      <c r="X11" s="13" t="str">
        <f>_xlfn.XLOOKUP(Table1[[#This Row],[Target DEV SB ID]],New_fields[ID],New_fields[Attribute Name],"0-Not Found",0,1)</f>
        <v>0-Not Found</v>
      </c>
      <c r="Y11" s="13" t="b">
        <f>Table1[[#This Row],[Prod Source field name]]=Table1[[#This Row],[New instance Target field name]]</f>
        <v>1</v>
      </c>
      <c r="Z11" s="13" t="b">
        <f>Table1[[#This Row],[Target Field Name]]=Table1[[#This Row],[New instance Target field name]]</f>
        <v>0</v>
      </c>
      <c r="AA11" s="13"/>
      <c r="AB11" s="13" t="s">
        <v>6096</v>
      </c>
      <c r="AC11" s="13"/>
      <c r="AD11" s="13"/>
      <c r="AE11" s="5"/>
      <c r="AF11" s="5" t="s">
        <v>6096</v>
      </c>
      <c r="AG11" s="5" t="s">
        <v>6096</v>
      </c>
      <c r="AH11" s="5" t="s">
        <v>6096</v>
      </c>
      <c r="AI11" s="5" t="s">
        <v>6096</v>
      </c>
      <c r="AJ11" s="5" t="s">
        <v>6096</v>
      </c>
      <c r="AK11" s="5" t="s">
        <v>6096</v>
      </c>
      <c r="AL11" s="18"/>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row>
    <row r="12" spans="1:60" ht="82.8" x14ac:dyDescent="0.3">
      <c r="A12" s="4" t="s">
        <v>385</v>
      </c>
      <c r="B12" s="4" t="s">
        <v>738</v>
      </c>
      <c r="C12" s="4" t="s">
        <v>734</v>
      </c>
      <c r="D12" s="4" t="s">
        <v>735</v>
      </c>
      <c r="E12" s="4" t="s">
        <v>1095</v>
      </c>
      <c r="F12" s="4" t="s">
        <v>736</v>
      </c>
      <c r="G12" s="2" t="s">
        <v>15</v>
      </c>
      <c r="H12" s="2">
        <v>9</v>
      </c>
      <c r="I12" s="2" t="s">
        <v>386</v>
      </c>
      <c r="J12" s="2"/>
      <c r="K12" s="2"/>
      <c r="L12" s="2" t="str">
        <f>_xlfn.TEXTJOIN("|",FALSE,Table1[[#This Row],[Target Entity]],Table1[[#This Row],[Target DEV SB ID]])</f>
        <v>|Wbs147</v>
      </c>
      <c r="M12" s="13" t="s">
        <v>392</v>
      </c>
      <c r="N12" s="2" t="s">
        <v>5815</v>
      </c>
      <c r="O12" s="13" t="s">
        <v>5828</v>
      </c>
      <c r="P12" s="13" t="s">
        <v>750</v>
      </c>
      <c r="Q12" s="13" t="s">
        <v>19</v>
      </c>
      <c r="R12" s="13" t="s">
        <v>19</v>
      </c>
      <c r="S12" s="13" t="s">
        <v>3491</v>
      </c>
      <c r="T12" s="13" t="s">
        <v>1095</v>
      </c>
      <c r="U12" s="2" t="s">
        <v>393</v>
      </c>
      <c r="V12" s="13" t="s">
        <v>3492</v>
      </c>
      <c r="W12" s="2" t="str">
        <f>_xlfn.XLOOKUP(Table1[[#This Row],[Source PROD ID]],Prod_fields[ID],Prod_fields[Attribute Name],"0-Not Found",0,1)</f>
        <v>0-Not Found</v>
      </c>
      <c r="X12" s="2" t="str">
        <f>_xlfn.XLOOKUP(Table1[[#This Row],[Target DEV SB ID]],New_fields[ID],New_fields[Attribute Name],"0-Not Found",0,1)</f>
        <v>Does this request support a D&amp;T Digital Transformation Strategy?</v>
      </c>
      <c r="Y12" s="2" t="b">
        <f>Table1[[#This Row],[Prod Source field name]]=Table1[[#This Row],[New instance Target field name]]</f>
        <v>0</v>
      </c>
      <c r="Z12" s="2" t="b">
        <f>Table1[[#This Row],[Target Field Name]]=Table1[[#This Row],[New instance Target field name]]</f>
        <v>0</v>
      </c>
      <c r="AA12" s="2" t="s">
        <v>363</v>
      </c>
      <c r="AB12" s="2" t="s">
        <v>539</v>
      </c>
      <c r="AC12" s="2" t="s">
        <v>32</v>
      </c>
      <c r="AD12" s="2" t="s">
        <v>33</v>
      </c>
      <c r="AE12" s="5" t="str">
        <f>_xlfn.TEXTJOIN(CHAR(10),TRUE,VAL_wbs147_d_t[])</f>
        <v>Yes
No</v>
      </c>
      <c r="AF12" s="5" t="s">
        <v>5989</v>
      </c>
      <c r="AG12" s="5" t="s">
        <v>540</v>
      </c>
      <c r="AH12" s="5" t="s">
        <v>19</v>
      </c>
      <c r="AI12" s="5" t="s">
        <v>1095</v>
      </c>
      <c r="AJ12" s="5" t="s">
        <v>1095</v>
      </c>
      <c r="AK12" s="5" t="s">
        <v>1095</v>
      </c>
      <c r="AL12" s="5" t="s">
        <v>20</v>
      </c>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row>
    <row r="13" spans="1:60" ht="55.2" x14ac:dyDescent="0.3">
      <c r="A13" s="4" t="s">
        <v>385</v>
      </c>
      <c r="B13" s="4" t="s">
        <v>738</v>
      </c>
      <c r="C13" s="4" t="s">
        <v>734</v>
      </c>
      <c r="D13" s="4" t="s">
        <v>5930</v>
      </c>
      <c r="E13" s="4" t="s">
        <v>1095</v>
      </c>
      <c r="F13" s="4" t="s">
        <v>736</v>
      </c>
      <c r="G13" s="2" t="s">
        <v>15</v>
      </c>
      <c r="H13" s="2">
        <v>10</v>
      </c>
      <c r="I13" s="2" t="s">
        <v>386</v>
      </c>
      <c r="J13" s="2"/>
      <c r="K13" s="2"/>
      <c r="L13" s="2" t="str">
        <f>_xlfn.TEXTJOIN("|",FALSE,Table1[[#This Row],[Target Entity]],Table1[[#This Row],[Target DEV SB ID]])</f>
        <v>|Wbs148</v>
      </c>
      <c r="M13" s="2" t="s">
        <v>394</v>
      </c>
      <c r="N13" s="2" t="s">
        <v>5815</v>
      </c>
      <c r="O13" s="13" t="s">
        <v>5831</v>
      </c>
      <c r="P13" s="13" t="s">
        <v>752</v>
      </c>
      <c r="Q13" s="13" t="s">
        <v>19</v>
      </c>
      <c r="R13" s="13" t="s">
        <v>19</v>
      </c>
      <c r="S13" s="13" t="s">
        <v>3491</v>
      </c>
      <c r="T13" s="13" t="s">
        <v>1095</v>
      </c>
      <c r="U13" s="2" t="s">
        <v>395</v>
      </c>
      <c r="V13" s="13" t="s">
        <v>5832</v>
      </c>
      <c r="W13" s="2" t="str">
        <f>_xlfn.XLOOKUP(Table1[[#This Row],[Source PROD ID]],Prod_fields[ID],Prod_fields[Attribute Name],"0-Not Found",0,1)</f>
        <v>0-Not Found</v>
      </c>
      <c r="X13" s="2" t="str">
        <f>_xlfn.XLOOKUP(Table1[[#This Row],[Target DEV SB ID]],New_fields[ID],New_fields[Attribute Name],"0-Not Found",0,1)</f>
        <v>Intended Demand Manager</v>
      </c>
      <c r="Y13" s="2" t="b">
        <f>Table1[[#This Row],[Prod Source field name]]=Table1[[#This Row],[New instance Target field name]]</f>
        <v>0</v>
      </c>
      <c r="Z13" s="2" t="b">
        <f>Table1[[#This Row],[Target Field Name]]=Table1[[#This Row],[New instance Target field name]]</f>
        <v>1</v>
      </c>
      <c r="AA13" s="2"/>
      <c r="AB13" s="2" t="s">
        <v>1095</v>
      </c>
      <c r="AC13" s="2"/>
      <c r="AD13" s="2" t="s">
        <v>19</v>
      </c>
      <c r="AE13" s="5" t="str">
        <f>_xlfn.TEXTJOIN(CHAR(10),TRUE,VAL_wbs148_intended_demand_manager[])</f>
        <v>TBD
TBD</v>
      </c>
      <c r="AF13" s="5" t="s">
        <v>5990</v>
      </c>
      <c r="AG13" s="5" t="s">
        <v>540</v>
      </c>
      <c r="AH13" s="5" t="s">
        <v>33</v>
      </c>
      <c r="AI13" s="5" t="s">
        <v>1095</v>
      </c>
      <c r="AJ13" s="5" t="s">
        <v>1095</v>
      </c>
      <c r="AK13" s="5" t="s">
        <v>1095</v>
      </c>
      <c r="AL13" s="5" t="s">
        <v>20</v>
      </c>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row>
    <row r="14" spans="1:60" ht="234.6" x14ac:dyDescent="0.3">
      <c r="A14" s="4" t="s">
        <v>385</v>
      </c>
      <c r="B14" s="4" t="s">
        <v>738</v>
      </c>
      <c r="C14" s="4" t="s">
        <v>734</v>
      </c>
      <c r="D14" s="4" t="s">
        <v>5930</v>
      </c>
      <c r="E14" s="4" t="s">
        <v>1095</v>
      </c>
      <c r="F14" s="4" t="s">
        <v>736</v>
      </c>
      <c r="G14" s="2" t="s">
        <v>15</v>
      </c>
      <c r="H14" s="2">
        <v>11</v>
      </c>
      <c r="I14" s="2" t="s">
        <v>386</v>
      </c>
      <c r="J14" s="2"/>
      <c r="K14" s="2"/>
      <c r="L14" s="2" t="str">
        <f>_xlfn.TEXTJOIN("|",FALSE,Table1[[#This Row],[Target Entity]],Table1[[#This Row],[Target DEV SB ID]])</f>
        <v>|Wbs149</v>
      </c>
      <c r="M14" s="2" t="s">
        <v>396</v>
      </c>
      <c r="N14" s="2" t="s">
        <v>5815</v>
      </c>
      <c r="O14" s="13" t="s">
        <v>5831</v>
      </c>
      <c r="P14" s="13" t="s">
        <v>1095</v>
      </c>
      <c r="Q14" s="13" t="s">
        <v>33</v>
      </c>
      <c r="R14" s="13" t="s">
        <v>597</v>
      </c>
      <c r="S14" s="2" t="s">
        <v>397</v>
      </c>
      <c r="T14" s="2" t="s">
        <v>397</v>
      </c>
      <c r="U14" s="2" t="s">
        <v>398</v>
      </c>
      <c r="V14" s="2"/>
      <c r="W14" s="2" t="str">
        <f>_xlfn.XLOOKUP(Table1[[#This Row],[Source PROD ID]],Prod_fields[ID],Prod_fields[Attribute Name],"0-Not Found",0,1)</f>
        <v>Sponsor Name</v>
      </c>
      <c r="X14" s="2" t="str">
        <f>_xlfn.XLOOKUP(Table1[[#This Row],[Target DEV SB ID]],New_fields[ID],New_fields[Attribute Name],"0-Not Found",0,1)</f>
        <v>VP Sponsor Name</v>
      </c>
      <c r="Y14" s="2" t="b">
        <f>Table1[[#This Row],[Prod Source field name]]=Table1[[#This Row],[New instance Target field name]]</f>
        <v>0</v>
      </c>
      <c r="Z14" s="2" t="b">
        <f>Table1[[#This Row],[Target Field Name]]=Table1[[#This Row],[New instance Target field name]]</f>
        <v>1</v>
      </c>
      <c r="AA14" s="2" t="s">
        <v>363</v>
      </c>
      <c r="AB14" s="2" t="s">
        <v>539</v>
      </c>
      <c r="AC14" s="2" t="s">
        <v>32</v>
      </c>
      <c r="AD14" s="2" t="s">
        <v>33</v>
      </c>
      <c r="AE14" s="5" t="str">
        <f>_xlfn.TEXTJOIN(CHAR(10),TRUE,VAL_wbs149_VP_Sponsor[])</f>
        <v>TBD
TBD</v>
      </c>
      <c r="AF14" s="5" t="s">
        <v>5991</v>
      </c>
      <c r="AG14" s="5" t="s">
        <v>540</v>
      </c>
      <c r="AH14" s="5" t="s">
        <v>33</v>
      </c>
      <c r="AI14" s="5" t="s">
        <v>5992</v>
      </c>
      <c r="AJ14" s="5" t="s">
        <v>1095</v>
      </c>
      <c r="AK14" s="5" t="s">
        <v>1095</v>
      </c>
      <c r="AL14" s="5" t="s">
        <v>20</v>
      </c>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row>
    <row r="15" spans="1:60" ht="110.4" x14ac:dyDescent="0.3">
      <c r="A15" s="4" t="s">
        <v>385</v>
      </c>
      <c r="B15" s="4" t="s">
        <v>738</v>
      </c>
      <c r="C15" s="4" t="s">
        <v>734</v>
      </c>
      <c r="D15" s="4" t="s">
        <v>5930</v>
      </c>
      <c r="E15" s="4" t="s">
        <v>1095</v>
      </c>
      <c r="F15" s="4" t="s">
        <v>736</v>
      </c>
      <c r="G15" s="2" t="s">
        <v>15</v>
      </c>
      <c r="H15" s="2">
        <v>12</v>
      </c>
      <c r="I15" s="2" t="s">
        <v>386</v>
      </c>
      <c r="J15" s="2"/>
      <c r="K15" s="2"/>
      <c r="L15" s="2" t="str">
        <f>_xlfn.TEXTJOIN("|",FALSE,Table1[[#This Row],[Target Entity]],Table1[[#This Row],[Target DEV SB ID]])</f>
        <v>|Wbs144</v>
      </c>
      <c r="M15" s="2" t="s">
        <v>399</v>
      </c>
      <c r="N15" s="2" t="s">
        <v>5821</v>
      </c>
      <c r="O15" s="13"/>
      <c r="P15" s="13" t="s">
        <v>1095</v>
      </c>
      <c r="Q15" s="13" t="s">
        <v>19</v>
      </c>
      <c r="R15" s="13" t="s">
        <v>19</v>
      </c>
      <c r="S15" s="13" t="s">
        <v>3491</v>
      </c>
      <c r="T15" s="13" t="s">
        <v>1095</v>
      </c>
      <c r="U15" s="2" t="s">
        <v>281</v>
      </c>
      <c r="V15" s="13"/>
      <c r="W15" s="2" t="str">
        <f>_xlfn.XLOOKUP(Table1[[#This Row],[Source PROD ID]],Prod_fields[ID],Prod_fields[Attribute Name],"0-Not Found",0,1)</f>
        <v>0-Not Found</v>
      </c>
      <c r="X15" s="2" t="str">
        <f>_xlfn.XLOOKUP(Table1[[#This Row],[Target DEV SB ID]],New_fields[ID],New_fields[Attribute Name],"0-Not Found",0,1)</f>
        <v>Does this request support a planned application or infrastructure upgrade and/or a routine infrastructure refresh?</v>
      </c>
      <c r="Y15" s="2" t="b">
        <f>Table1[[#This Row],[Prod Source field name]]=Table1[[#This Row],[New instance Target field name]]</f>
        <v>0</v>
      </c>
      <c r="Z15" s="2" t="b">
        <f>Table1[[#This Row],[Target Field Name]]=Table1[[#This Row],[New instance Target field name]]</f>
        <v>1</v>
      </c>
      <c r="AA15" s="2" t="s">
        <v>363</v>
      </c>
      <c r="AB15" s="2" t="s">
        <v>539</v>
      </c>
      <c r="AC15" s="2" t="s">
        <v>32</v>
      </c>
      <c r="AD15" s="2" t="s">
        <v>33</v>
      </c>
      <c r="AE15" s="5" t="str">
        <f>_xlfn.TEXTJOIN(CHAR(10),TRUE,VAL_wbs144_Refresh[])</f>
        <v>Yes
No</v>
      </c>
      <c r="AF15" s="5" t="s">
        <v>6000</v>
      </c>
      <c r="AG15" s="5" t="s">
        <v>540</v>
      </c>
      <c r="AH15" s="5" t="s">
        <v>33</v>
      </c>
      <c r="AI15" s="5" t="s">
        <v>1095</v>
      </c>
      <c r="AJ15" s="5" t="s">
        <v>1095</v>
      </c>
      <c r="AK15" s="5" t="s">
        <v>1095</v>
      </c>
      <c r="AL15" s="5" t="s">
        <v>20</v>
      </c>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row>
    <row r="16" spans="1:60" ht="124.2" x14ac:dyDescent="0.3">
      <c r="A16" s="4" t="s">
        <v>385</v>
      </c>
      <c r="B16" s="4" t="s">
        <v>1095</v>
      </c>
      <c r="C16" s="4" t="s">
        <v>734</v>
      </c>
      <c r="D16" s="4" t="s">
        <v>5930</v>
      </c>
      <c r="E16" s="4" t="s">
        <v>1095</v>
      </c>
      <c r="F16" s="4" t="s">
        <v>736</v>
      </c>
      <c r="G16" s="2" t="s">
        <v>15</v>
      </c>
      <c r="H16" s="2">
        <v>13</v>
      </c>
      <c r="I16" s="2" t="s">
        <v>386</v>
      </c>
      <c r="J16" s="2"/>
      <c r="K16" s="2"/>
      <c r="L16" s="2" t="str">
        <f>_xlfn.TEXTJOIN("|",FALSE,Table1[[#This Row],[Target Entity]],Table1[[#This Row],[Target DEV SB ID]])</f>
        <v>|Wbs145</v>
      </c>
      <c r="M16" s="13" t="s">
        <v>3455</v>
      </c>
      <c r="N16" s="2" t="s">
        <v>5815</v>
      </c>
      <c r="O16" s="2" t="s">
        <v>400</v>
      </c>
      <c r="P16" s="2" t="s">
        <v>758</v>
      </c>
      <c r="Q16" s="2" t="s">
        <v>19</v>
      </c>
      <c r="R16" s="2" t="s">
        <v>19</v>
      </c>
      <c r="S16" s="13" t="s">
        <v>5836</v>
      </c>
      <c r="T16" s="13" t="s">
        <v>1095</v>
      </c>
      <c r="U16" s="2" t="s">
        <v>286</v>
      </c>
      <c r="V16" s="13" t="s">
        <v>5837</v>
      </c>
      <c r="W16" s="2" t="str">
        <f>_xlfn.XLOOKUP(Table1[[#This Row],[Source PROD ID]],Prod_fields[ID],Prod_fields[Attribute Name],"0-Not Found",0,1)</f>
        <v>Demand SubType</v>
      </c>
      <c r="X16" s="2" t="str">
        <f>_xlfn.XLOOKUP(Table1[[#This Row],[Target DEV SB ID]],New_fields[ID],New_fields[Attribute Name],"0-Not Found",0,1)</f>
        <v>Risk Subtype (Does this request address a risk or requirement to one of the following?)</v>
      </c>
      <c r="Y16" s="2" t="b">
        <f>Table1[[#This Row],[Prod Source field name]]=Table1[[#This Row],[New instance Target field name]]</f>
        <v>0</v>
      </c>
      <c r="Z16" s="2" t="b">
        <f>Table1[[#This Row],[Target Field Name]]=Table1[[#This Row],[New instance Target field name]]</f>
        <v>1</v>
      </c>
      <c r="AA16" s="2"/>
      <c r="AB16" s="2" t="s">
        <v>1095</v>
      </c>
      <c r="AC16" s="2" t="s">
        <v>32</v>
      </c>
      <c r="AD16" s="2" t="s">
        <v>33</v>
      </c>
      <c r="AE16" s="5" t="str">
        <f>_xlfn.TEXTJOIN(CHAR(10),TRUE,VAL_wbs145_Risk_subtype[])</f>
        <v>Legal
Regulatory
Infosec (Protect Purple)
None</v>
      </c>
      <c r="AF16" s="5" t="s">
        <v>1095</v>
      </c>
      <c r="AG16" s="5" t="s">
        <v>757</v>
      </c>
      <c r="AH16" s="5" t="s">
        <v>33</v>
      </c>
      <c r="AI16" s="5" t="s">
        <v>1095</v>
      </c>
      <c r="AJ16" s="5" t="s">
        <v>1095</v>
      </c>
      <c r="AK16" s="5" t="s">
        <v>1095</v>
      </c>
      <c r="AL16" s="5" t="s">
        <v>20</v>
      </c>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row>
    <row r="17" spans="1:60" ht="207" x14ac:dyDescent="0.3">
      <c r="A17" s="4" t="s">
        <v>385</v>
      </c>
      <c r="B17" s="4" t="s">
        <v>738</v>
      </c>
      <c r="C17" s="4" t="s">
        <v>734</v>
      </c>
      <c r="D17" s="4" t="s">
        <v>759</v>
      </c>
      <c r="E17" s="4" t="s">
        <v>1095</v>
      </c>
      <c r="F17" s="4" t="s">
        <v>736</v>
      </c>
      <c r="G17" s="2" t="s">
        <v>15</v>
      </c>
      <c r="H17" s="2">
        <v>14</v>
      </c>
      <c r="I17" s="2" t="s">
        <v>386</v>
      </c>
      <c r="J17" s="2"/>
      <c r="K17" s="2"/>
      <c r="L17" s="2" t="str">
        <f>_xlfn.TEXTJOIN("|",FALSE,Table1[[#This Row],[Target Entity]],Table1[[#This Row],[Target DEV SB ID]])</f>
        <v>|Wbs150</v>
      </c>
      <c r="M17" s="13" t="s">
        <v>223</v>
      </c>
      <c r="N17" s="2" t="s">
        <v>5815</v>
      </c>
      <c r="O17" s="2" t="s">
        <v>401</v>
      </c>
      <c r="P17" s="2" t="s">
        <v>1095</v>
      </c>
      <c r="Q17" s="2" t="s">
        <v>33</v>
      </c>
      <c r="R17" s="2" t="s">
        <v>33</v>
      </c>
      <c r="S17" s="2" t="s">
        <v>402</v>
      </c>
      <c r="T17" s="2" t="s">
        <v>402</v>
      </c>
      <c r="U17" s="2" t="s">
        <v>403</v>
      </c>
      <c r="V17" s="2"/>
      <c r="W17" s="2" t="str">
        <f>_xlfn.XLOOKUP(Table1[[#This Row],[Source PROD ID]],Prod_fields[ID],Prod_fields[Attribute Name],"0-Not Found",0,1)</f>
        <v>What is the type of risk?</v>
      </c>
      <c r="X17" s="2" t="str">
        <f>_xlfn.XLOOKUP(Table1[[#This Row],[Target DEV SB ID]],New_fields[ID],New_fields[Attribute Name],"0-Not Found",0,1)</f>
        <v>Risk Type</v>
      </c>
      <c r="Y17" s="2" t="b">
        <f>Table1[[#This Row],[Prod Source field name]]=Table1[[#This Row],[New instance Target field name]]</f>
        <v>0</v>
      </c>
      <c r="Z17" s="2" t="b">
        <f>Table1[[#This Row],[Target Field Name]]=Table1[[#This Row],[New instance Target field name]]</f>
        <v>1</v>
      </c>
      <c r="AA17" s="2" t="s">
        <v>363</v>
      </c>
      <c r="AB17" s="2" t="s">
        <v>1095</v>
      </c>
      <c r="AC17" s="2" t="s">
        <v>32</v>
      </c>
      <c r="AD17" s="2" t="s">
        <v>33</v>
      </c>
      <c r="AE17" s="5" t="str">
        <f>_xlfn.TEXTJOIN(CHAR(10),TRUE,VAL_150_RiskType[])</f>
        <v>Operational
Financial
Brand
Safety</v>
      </c>
      <c r="AF17" s="5" t="s">
        <v>6004</v>
      </c>
      <c r="AG17" s="5" t="s">
        <v>757</v>
      </c>
      <c r="AH17" s="5" t="s">
        <v>33</v>
      </c>
      <c r="AI17" s="5" t="s">
        <v>1095</v>
      </c>
      <c r="AJ17" s="5" t="s">
        <v>1095</v>
      </c>
      <c r="AK17" s="5" t="s">
        <v>1095</v>
      </c>
      <c r="AL17" s="5" t="s">
        <v>20</v>
      </c>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row>
    <row r="18" spans="1:60" ht="66" customHeight="1" x14ac:dyDescent="0.3">
      <c r="A18" s="4" t="s">
        <v>385</v>
      </c>
      <c r="B18" s="4" t="s">
        <v>738</v>
      </c>
      <c r="C18" s="4" t="s">
        <v>734</v>
      </c>
      <c r="D18" s="4" t="s">
        <v>759</v>
      </c>
      <c r="E18" s="4" t="s">
        <v>1095</v>
      </c>
      <c r="F18" s="4" t="s">
        <v>736</v>
      </c>
      <c r="G18" s="2" t="s">
        <v>15</v>
      </c>
      <c r="H18" s="2">
        <v>15</v>
      </c>
      <c r="I18" s="2" t="s">
        <v>386</v>
      </c>
      <c r="J18" s="2"/>
      <c r="K18" s="2"/>
      <c r="L18" s="2" t="str">
        <f>_xlfn.TEXTJOIN("|",FALSE,Table1[[#This Row],[Target Entity]],Table1[[#This Row],[Target DEV SB ID]])</f>
        <v>|Wbs151</v>
      </c>
      <c r="M18" s="2" t="s">
        <v>404</v>
      </c>
      <c r="N18" s="2" t="s">
        <v>5821</v>
      </c>
      <c r="O18" s="2"/>
      <c r="P18" s="2" t="s">
        <v>762</v>
      </c>
      <c r="Q18" s="2" t="s">
        <v>33</v>
      </c>
      <c r="R18" s="2" t="s">
        <v>33</v>
      </c>
      <c r="S18" s="2" t="s">
        <v>405</v>
      </c>
      <c r="T18" s="2" t="s">
        <v>405</v>
      </c>
      <c r="U18" s="2" t="s">
        <v>406</v>
      </c>
      <c r="V18" s="13" t="s">
        <v>5845</v>
      </c>
      <c r="W18" s="2" t="str">
        <f>_xlfn.XLOOKUP(Table1[[#This Row],[Source PROD ID]],Prod_fields[ID],Prod_fields[Attribute Name],"0-Not Found",0,1)</f>
        <v>What is the risk exposure?</v>
      </c>
      <c r="X18" s="2" t="str">
        <f>_xlfn.XLOOKUP(Table1[[#This Row],[Target DEV SB ID]],New_fields[ID],New_fields[Attribute Name],"0-Not Found",0,1)</f>
        <v>Risk Level</v>
      </c>
      <c r="Y18" s="2" t="b">
        <f>Table1[[#This Row],[Prod Source field name]]=Table1[[#This Row],[New instance Target field name]]</f>
        <v>0</v>
      </c>
      <c r="Z18" s="2" t="b">
        <f>Table1[[#This Row],[Target Field Name]]=Table1[[#This Row],[New instance Target field name]]</f>
        <v>1</v>
      </c>
      <c r="AA18" s="2" t="s">
        <v>363</v>
      </c>
      <c r="AB18" s="2" t="s">
        <v>539</v>
      </c>
      <c r="AC18" s="2" t="s">
        <v>32</v>
      </c>
      <c r="AD18" s="2" t="s">
        <v>33</v>
      </c>
      <c r="AE18" s="5" t="str">
        <f>_xlfn.TEXTJOIN(CHAR(10),TRUE,VAL_wbs151_riskLevel[])</f>
        <v>Minimal
Low
Medium
High
Maximum</v>
      </c>
      <c r="AF18" s="5" t="s">
        <v>6005</v>
      </c>
      <c r="AG18" s="5" t="s">
        <v>757</v>
      </c>
      <c r="AH18" s="5" t="s">
        <v>33</v>
      </c>
      <c r="AI18" s="5" t="s">
        <v>1095</v>
      </c>
      <c r="AJ18" s="5" t="s">
        <v>1095</v>
      </c>
      <c r="AK18" s="5" t="s">
        <v>1095</v>
      </c>
      <c r="AL18" s="5" t="s">
        <v>20</v>
      </c>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row>
    <row r="19" spans="1:60" ht="55.2" x14ac:dyDescent="0.3">
      <c r="A19" s="4" t="s">
        <v>385</v>
      </c>
      <c r="B19" s="4" t="s">
        <v>738</v>
      </c>
      <c r="C19" s="4" t="s">
        <v>734</v>
      </c>
      <c r="D19" s="4" t="s">
        <v>759</v>
      </c>
      <c r="E19" s="4" t="s">
        <v>1095</v>
      </c>
      <c r="F19" s="4" t="s">
        <v>736</v>
      </c>
      <c r="G19" s="2" t="s">
        <v>15</v>
      </c>
      <c r="H19" s="2">
        <v>16</v>
      </c>
      <c r="I19" s="2" t="s">
        <v>386</v>
      </c>
      <c r="J19" s="2"/>
      <c r="K19" s="2"/>
      <c r="L19" s="2" t="str">
        <f>_xlfn.TEXTJOIN("|",FALSE,Table1[[#This Row],[Target Entity]],Table1[[#This Row],[Target DEV SB ID]])</f>
        <v>|fdx_risk_compwork_wr</v>
      </c>
      <c r="M19" s="2" t="s">
        <v>407</v>
      </c>
      <c r="N19" s="2" t="s">
        <v>5821</v>
      </c>
      <c r="O19" s="2"/>
      <c r="P19" s="2" t="s">
        <v>1095</v>
      </c>
      <c r="Q19" s="2" t="s">
        <v>33</v>
      </c>
      <c r="R19" s="2" t="s">
        <v>33</v>
      </c>
      <c r="S19" s="13" t="s">
        <v>1410</v>
      </c>
      <c r="T19" s="13" t="s">
        <v>408</v>
      </c>
      <c r="U19" s="2" t="s">
        <v>409</v>
      </c>
      <c r="V19" s="13" t="s">
        <v>5846</v>
      </c>
      <c r="W19" s="2" t="str">
        <f>_xlfn.XLOOKUP(Table1[[#This Row],[Source PROD ID]],Prod_fields[ID],Prod_fields[Attribute Name],"0-Not Found",0,1)</f>
        <v>What is the risk of not completing the work?</v>
      </c>
      <c r="X19" s="2" t="str">
        <f>_xlfn.XLOOKUP(Table1[[#This Row],[Target DEV SB ID]],New_fields[ID],New_fields[Attribute Name],"0-Not Found",0,1)</f>
        <v>What is the risk of not completing the work?</v>
      </c>
      <c r="Y19" s="2" t="b">
        <f>Table1[[#This Row],[Prod Source field name]]=Table1[[#This Row],[New instance Target field name]]</f>
        <v>1</v>
      </c>
      <c r="Z19" s="2" t="b">
        <f>Table1[[#This Row],[Target Field Name]]=Table1[[#This Row],[New instance Target field name]]</f>
        <v>1</v>
      </c>
      <c r="AA19" s="2" t="s">
        <v>18</v>
      </c>
      <c r="AB19" s="2" t="s">
        <v>539</v>
      </c>
      <c r="AC19" s="2"/>
      <c r="AD19" s="2" t="s">
        <v>19</v>
      </c>
      <c r="AE19" s="18"/>
      <c r="AF19" s="18" t="s">
        <v>6006</v>
      </c>
      <c r="AG19" s="18" t="s">
        <v>757</v>
      </c>
      <c r="AH19" s="18" t="s">
        <v>33</v>
      </c>
      <c r="AI19" s="18" t="s">
        <v>1095</v>
      </c>
      <c r="AJ19" s="18" t="s">
        <v>1095</v>
      </c>
      <c r="AK19" s="18" t="s">
        <v>1095</v>
      </c>
      <c r="AL19" s="5" t="s">
        <v>20</v>
      </c>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row>
    <row r="20" spans="1:60" ht="55.2" x14ac:dyDescent="0.3">
      <c r="A20" s="4" t="s">
        <v>385</v>
      </c>
      <c r="B20" s="4" t="s">
        <v>738</v>
      </c>
      <c r="C20" s="4" t="s">
        <v>734</v>
      </c>
      <c r="D20" s="4" t="s">
        <v>759</v>
      </c>
      <c r="E20" s="4" t="s">
        <v>1095</v>
      </c>
      <c r="F20" s="4" t="s">
        <v>736</v>
      </c>
      <c r="G20" s="2" t="s">
        <v>15</v>
      </c>
      <c r="H20" s="2">
        <v>17</v>
      </c>
      <c r="I20" s="2" t="s">
        <v>386</v>
      </c>
      <c r="J20" s="2"/>
      <c r="K20" s="2"/>
      <c r="L20" s="2" t="str">
        <f>_xlfn.TEXTJOIN("|",FALSE,Table1[[#This Row],[Target Entity]],Table1[[#This Row],[Target DEV SB ID]])</f>
        <v>|fdx_law_regimp_wr</v>
      </c>
      <c r="M20" s="2" t="s">
        <v>410</v>
      </c>
      <c r="N20" s="2" t="s">
        <v>5821</v>
      </c>
      <c r="O20" s="2"/>
      <c r="P20" s="2" t="s">
        <v>1095</v>
      </c>
      <c r="Q20" s="2" t="s">
        <v>33</v>
      </c>
      <c r="R20" s="2" t="s">
        <v>33</v>
      </c>
      <c r="S20" s="2" t="s">
        <v>411</v>
      </c>
      <c r="T20" s="2" t="s">
        <v>411</v>
      </c>
      <c r="U20" s="2" t="s">
        <v>412</v>
      </c>
      <c r="V20" s="2"/>
      <c r="W20" s="2" t="str">
        <f>_xlfn.XLOOKUP(Table1[[#This Row],[Source PROD ID]],Prod_fields[ID],Prod_fields[Attribute Name],"0-Not Found",0,1)</f>
        <v>What law or regulation is impacted?</v>
      </c>
      <c r="X20" s="2" t="str">
        <f>_xlfn.XLOOKUP(Table1[[#This Row],[Target DEV SB ID]],New_fields[ID],New_fields[Attribute Name],"0-Not Found",0,1)</f>
        <v>What law or regulation is impacted?</v>
      </c>
      <c r="Y20" s="2" t="b">
        <f>Table1[[#This Row],[Prod Source field name]]=Table1[[#This Row],[New instance Target field name]]</f>
        <v>1</v>
      </c>
      <c r="Z20" s="2" t="b">
        <f>Table1[[#This Row],[Target Field Name]]=Table1[[#This Row],[New instance Target field name]]</f>
        <v>1</v>
      </c>
      <c r="AA20" s="2" t="s">
        <v>18</v>
      </c>
      <c r="AB20" s="2" t="s">
        <v>539</v>
      </c>
      <c r="AC20" s="2"/>
      <c r="AD20" s="2" t="s">
        <v>19</v>
      </c>
      <c r="AE20" s="5"/>
      <c r="AF20" s="5" t="s">
        <v>6007</v>
      </c>
      <c r="AG20" s="5" t="s">
        <v>757</v>
      </c>
      <c r="AH20" s="5" t="s">
        <v>33</v>
      </c>
      <c r="AI20" s="5" t="s">
        <v>1095</v>
      </c>
      <c r="AJ20" s="5" t="s">
        <v>1095</v>
      </c>
      <c r="AK20" s="5" t="s">
        <v>1095</v>
      </c>
      <c r="AL20" s="5" t="s">
        <v>20</v>
      </c>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row>
    <row r="21" spans="1:60" ht="124.2" x14ac:dyDescent="0.3">
      <c r="A21" s="4" t="s">
        <v>385</v>
      </c>
      <c r="B21" s="4" t="s">
        <v>738</v>
      </c>
      <c r="C21" s="4" t="s">
        <v>734</v>
      </c>
      <c r="D21" s="4" t="s">
        <v>759</v>
      </c>
      <c r="E21" s="4" t="s">
        <v>1095</v>
      </c>
      <c r="F21" s="4" t="s">
        <v>736</v>
      </c>
      <c r="G21" s="2" t="s">
        <v>15</v>
      </c>
      <c r="H21" s="2">
        <v>18</v>
      </c>
      <c r="I21" s="2" t="s">
        <v>386</v>
      </c>
      <c r="J21" s="2"/>
      <c r="K21" s="2"/>
      <c r="L21" s="2" t="str">
        <f>_xlfn.TEXTJOIN("|",FALSE,Table1[[#This Row],[Target Entity]],Table1[[#This Row],[Target DEV SB ID]])</f>
        <v>|fdx_law_attr_sme_wrk</v>
      </c>
      <c r="M21" s="2" t="s">
        <v>413</v>
      </c>
      <c r="N21" s="2" t="s">
        <v>5821</v>
      </c>
      <c r="O21" s="2"/>
      <c r="P21" s="2" t="s">
        <v>1095</v>
      </c>
      <c r="Q21" s="2" t="s">
        <v>33</v>
      </c>
      <c r="R21" s="2" t="s">
        <v>33</v>
      </c>
      <c r="S21" s="2" t="s">
        <v>414</v>
      </c>
      <c r="T21" s="2" t="s">
        <v>414</v>
      </c>
      <c r="U21" s="2" t="s">
        <v>415</v>
      </c>
      <c r="V21" s="2"/>
      <c r="W21" s="2" t="str">
        <f>_xlfn.XLOOKUP(Table1[[#This Row],[Source PROD ID]],Prod_fields[ID],Prod_fields[Attribute Name],"0-Not Found",0,1)</f>
        <v>Attorney/SME who can attest to risk: Name &amp; FDX ID</v>
      </c>
      <c r="X21" s="2" t="str">
        <f>_xlfn.XLOOKUP(Table1[[#This Row],[Target DEV SB ID]],New_fields[ID],New_fields[Attribute Name],"0-Not Found",0,1)</f>
        <v>Attorney/SME who can attest to risk: Name &amp; FDX ID</v>
      </c>
      <c r="Y21" s="2" t="b">
        <f>Table1[[#This Row],[Prod Source field name]]=Table1[[#This Row],[New instance Target field name]]</f>
        <v>1</v>
      </c>
      <c r="Z21" s="2" t="b">
        <f>Table1[[#This Row],[Target Field Name]]=Table1[[#This Row],[New instance Target field name]]</f>
        <v>1</v>
      </c>
      <c r="AA21" s="2" t="s">
        <v>18</v>
      </c>
      <c r="AB21" s="2" t="s">
        <v>539</v>
      </c>
      <c r="AC21" s="2"/>
      <c r="AD21" s="2" t="s">
        <v>19</v>
      </c>
      <c r="AE21" s="5"/>
      <c r="AF21" s="5" t="s">
        <v>6008</v>
      </c>
      <c r="AG21" s="5" t="s">
        <v>757</v>
      </c>
      <c r="AH21" s="5" t="s">
        <v>33</v>
      </c>
      <c r="AI21" s="5" t="s">
        <v>1095</v>
      </c>
      <c r="AJ21" s="5" t="s">
        <v>1095</v>
      </c>
      <c r="AK21" s="5" t="s">
        <v>1095</v>
      </c>
      <c r="AL21" s="5" t="s">
        <v>20</v>
      </c>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row>
    <row r="22" spans="1:60" ht="69" x14ac:dyDescent="0.3">
      <c r="A22" s="4" t="s">
        <v>385</v>
      </c>
      <c r="B22" s="4" t="s">
        <v>738</v>
      </c>
      <c r="C22" s="4" t="s">
        <v>734</v>
      </c>
      <c r="D22" s="4" t="s">
        <v>759</v>
      </c>
      <c r="E22" s="4" t="s">
        <v>1095</v>
      </c>
      <c r="F22" s="4" t="s">
        <v>736</v>
      </c>
      <c r="G22" s="2" t="s">
        <v>15</v>
      </c>
      <c r="H22" s="2">
        <v>19</v>
      </c>
      <c r="I22" s="2" t="s">
        <v>386</v>
      </c>
      <c r="J22" s="2"/>
      <c r="K22" s="2"/>
      <c r="L22" s="2" t="str">
        <f>_xlfn.TEXTJOIN("|",FALSE,Table1[[#This Row],[Target Entity]],Table1[[#This Row],[Target DEV SB ID]])</f>
        <v>|Wbs152</v>
      </c>
      <c r="M22" s="2" t="s">
        <v>416</v>
      </c>
      <c r="N22" s="2" t="s">
        <v>5821</v>
      </c>
      <c r="O22" s="2"/>
      <c r="P22" s="2" t="s">
        <v>1095</v>
      </c>
      <c r="Q22" s="2" t="s">
        <v>33</v>
      </c>
      <c r="R22" s="2" t="s">
        <v>33</v>
      </c>
      <c r="S22" s="2" t="s">
        <v>417</v>
      </c>
      <c r="T22" s="2" t="s">
        <v>417</v>
      </c>
      <c r="U22" s="2" t="s">
        <v>418</v>
      </c>
      <c r="V22" s="13" t="s">
        <v>5845</v>
      </c>
      <c r="W22" s="2" t="str">
        <f>_xlfn.XLOOKUP(Table1[[#This Row],[Source PROD ID]],Prod_fields[ID],Prod_fields[Attribute Name],"0-Not Found",0,1)</f>
        <v>Is there a manual solution?</v>
      </c>
      <c r="X22" s="2" t="str">
        <f>_xlfn.XLOOKUP(Table1[[#This Row],[Target DEV SB ID]],New_fields[ID],New_fields[Attribute Name],"0-Not Found",0,1)</f>
        <v>Is there a manual solution?</v>
      </c>
      <c r="Y22" s="2" t="b">
        <f>Table1[[#This Row],[Prod Source field name]]=Table1[[#This Row],[New instance Target field name]]</f>
        <v>1</v>
      </c>
      <c r="Z22" s="2" t="b">
        <f>Table1[[#This Row],[Target Field Name]]=Table1[[#This Row],[New instance Target field name]]</f>
        <v>1</v>
      </c>
      <c r="AA22" s="2" t="s">
        <v>363</v>
      </c>
      <c r="AB22" s="2" t="s">
        <v>539</v>
      </c>
      <c r="AC22" s="2" t="s">
        <v>32</v>
      </c>
      <c r="AD22" s="2" t="s">
        <v>33</v>
      </c>
      <c r="AE22" s="5" t="str">
        <f>_xlfn.TEXTJOIN(CHAR(10),TRUE,VAL_wbs152_manual[])</f>
        <v>Yes
No</v>
      </c>
      <c r="AF22" s="5" t="s">
        <v>6009</v>
      </c>
      <c r="AG22" s="5" t="s">
        <v>757</v>
      </c>
      <c r="AH22" s="5" t="s">
        <v>33</v>
      </c>
      <c r="AI22" s="5" t="s">
        <v>1095</v>
      </c>
      <c r="AJ22" s="5" t="s">
        <v>1095</v>
      </c>
      <c r="AK22" s="5" t="s">
        <v>1095</v>
      </c>
      <c r="AL22" s="5" t="s">
        <v>20</v>
      </c>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row>
    <row r="23" spans="1:60" ht="55.2" x14ac:dyDescent="0.3">
      <c r="A23" s="4" t="s">
        <v>385</v>
      </c>
      <c r="B23" s="4" t="s">
        <v>738</v>
      </c>
      <c r="C23" s="4" t="s">
        <v>734</v>
      </c>
      <c r="D23" s="4" t="s">
        <v>759</v>
      </c>
      <c r="E23" s="4" t="s">
        <v>1095</v>
      </c>
      <c r="F23" s="4" t="s">
        <v>736</v>
      </c>
      <c r="G23" s="2" t="s">
        <v>15</v>
      </c>
      <c r="H23" s="2">
        <v>20</v>
      </c>
      <c r="I23" s="2" t="s">
        <v>386</v>
      </c>
      <c r="J23" s="2"/>
      <c r="K23" s="2"/>
      <c r="L23" s="2" t="str">
        <f>_xlfn.TEXTJOIN("|",FALSE,Table1[[#This Row],[Target Entity]],Table1[[#This Row],[Target DEV SB ID]])</f>
        <v>|fdx_manual_wrk_wrk</v>
      </c>
      <c r="M23" s="2" t="s">
        <v>419</v>
      </c>
      <c r="N23" s="2" t="s">
        <v>5821</v>
      </c>
      <c r="O23" s="2"/>
      <c r="P23" s="2" t="s">
        <v>1095</v>
      </c>
      <c r="Q23" s="2" t="s">
        <v>33</v>
      </c>
      <c r="R23" s="2" t="s">
        <v>33</v>
      </c>
      <c r="S23" s="2" t="s">
        <v>420</v>
      </c>
      <c r="T23" s="2" t="s">
        <v>420</v>
      </c>
      <c r="U23" s="2" t="s">
        <v>421</v>
      </c>
      <c r="V23" s="2"/>
      <c r="W23" s="2" t="str">
        <f>_xlfn.XLOOKUP(Table1[[#This Row],[Source PROD ID]],Prod_fields[ID],Prod_fields[Attribute Name],"0-Not Found",0,1)</f>
        <v>If there is a manual solution, explain:</v>
      </c>
      <c r="X23" s="2" t="str">
        <f>_xlfn.XLOOKUP(Table1[[#This Row],[Target DEV SB ID]],New_fields[ID],New_fields[Attribute Name],"0-Not Found",0,1)</f>
        <v>If there is a manual solution, explain:</v>
      </c>
      <c r="Y23" s="2" t="b">
        <f>Table1[[#This Row],[Prod Source field name]]=Table1[[#This Row],[New instance Target field name]]</f>
        <v>1</v>
      </c>
      <c r="Z23" s="2" t="b">
        <f>Table1[[#This Row],[Target Field Name]]=Table1[[#This Row],[New instance Target field name]]</f>
        <v>1</v>
      </c>
      <c r="AA23" s="2" t="s">
        <v>18</v>
      </c>
      <c r="AB23" s="2" t="s">
        <v>539</v>
      </c>
      <c r="AC23" s="2"/>
      <c r="AD23" s="2" t="s">
        <v>19</v>
      </c>
      <c r="AE23" s="18"/>
      <c r="AF23" s="18" t="s">
        <v>1095</v>
      </c>
      <c r="AG23" s="18" t="s">
        <v>757</v>
      </c>
      <c r="AH23" s="18" t="s">
        <v>33</v>
      </c>
      <c r="AI23" s="18" t="s">
        <v>1095</v>
      </c>
      <c r="AJ23" s="18" t="s">
        <v>1095</v>
      </c>
      <c r="AK23" s="18" t="s">
        <v>1095</v>
      </c>
      <c r="AL23" s="5" t="s">
        <v>20</v>
      </c>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row>
    <row r="24" spans="1:60" ht="91.95" customHeight="1" x14ac:dyDescent="0.3">
      <c r="A24" s="4" t="s">
        <v>385</v>
      </c>
      <c r="B24" s="4" t="s">
        <v>738</v>
      </c>
      <c r="C24" s="4" t="s">
        <v>734</v>
      </c>
      <c r="D24" s="4" t="s">
        <v>759</v>
      </c>
      <c r="E24" s="4" t="s">
        <v>1095</v>
      </c>
      <c r="F24" s="4" t="s">
        <v>736</v>
      </c>
      <c r="G24" s="2" t="s">
        <v>15</v>
      </c>
      <c r="H24" s="2">
        <v>21</v>
      </c>
      <c r="I24" s="2" t="s">
        <v>386</v>
      </c>
      <c r="J24" s="2"/>
      <c r="K24" s="2"/>
      <c r="L24" s="2" t="str">
        <f>_xlfn.TEXTJOIN("|",FALSE,Table1[[#This Row],[Target Entity]],Table1[[#This Row],[Target DEV SB ID]])</f>
        <v>|Wbs153</v>
      </c>
      <c r="M24" s="2" t="s">
        <v>422</v>
      </c>
      <c r="N24" s="2" t="s">
        <v>5821</v>
      </c>
      <c r="O24" s="2" t="s">
        <v>6278</v>
      </c>
      <c r="P24" s="13" t="s">
        <v>1095</v>
      </c>
      <c r="Q24" s="13" t="s">
        <v>33</v>
      </c>
      <c r="R24" s="13" t="s">
        <v>33</v>
      </c>
      <c r="S24" s="2" t="s">
        <v>423</v>
      </c>
      <c r="T24" s="2" t="s">
        <v>423</v>
      </c>
      <c r="U24" s="2" t="s">
        <v>424</v>
      </c>
      <c r="V24" s="2" t="s">
        <v>5845</v>
      </c>
      <c r="W24" s="2" t="str">
        <f>_xlfn.XLOOKUP(Table1[[#This Row],[Source PROD ID]],Prod_fields[ID],Prod_fields[Attribute Name],"0-Not Found",0,1)</f>
        <v>What is the time criticality?</v>
      </c>
      <c r="X24" s="2" t="str">
        <f>_xlfn.XLOOKUP(Table1[[#This Row],[Target DEV SB ID]],New_fields[ID],New_fields[Attribute Name],"0-Not Found",0,1)</f>
        <v>What is the time criticality?</v>
      </c>
      <c r="Y24" s="2" t="b">
        <f>Table1[[#This Row],[Prod Source field name]]=Table1[[#This Row],[New instance Target field name]]</f>
        <v>1</v>
      </c>
      <c r="Z24" s="2" t="b">
        <f>Table1[[#This Row],[Target Field Name]]=Table1[[#This Row],[New instance Target field name]]</f>
        <v>1</v>
      </c>
      <c r="AA24" s="2" t="s">
        <v>363</v>
      </c>
      <c r="AB24" s="2" t="s">
        <v>539</v>
      </c>
      <c r="AC24" s="2" t="s">
        <v>32</v>
      </c>
      <c r="AD24" s="2" t="s">
        <v>33</v>
      </c>
      <c r="AE24" s="5" t="str">
        <f>_xlfn.TEXTJOIN(CHAR(10),TRUE,VAL_wbs153_time_Criticality[])</f>
        <v>&gt; 15 months
12 - 15 months
6 - 12 months
3 - 6 months
&lt; 3 months
N/A</v>
      </c>
      <c r="AF24" s="5" t="s">
        <v>6010</v>
      </c>
      <c r="AG24" s="5" t="s">
        <v>540</v>
      </c>
      <c r="AH24" s="5" t="s">
        <v>33</v>
      </c>
      <c r="AI24" s="5" t="s">
        <v>1095</v>
      </c>
      <c r="AJ24" s="5" t="s">
        <v>1095</v>
      </c>
      <c r="AK24" s="5" t="s">
        <v>1095</v>
      </c>
      <c r="AL24" s="5" t="s">
        <v>20</v>
      </c>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row>
    <row r="25" spans="1:60" ht="82.8" x14ac:dyDescent="0.3">
      <c r="A25" s="4" t="s">
        <v>385</v>
      </c>
      <c r="B25" s="4" t="s">
        <v>738</v>
      </c>
      <c r="C25" s="4" t="s">
        <v>734</v>
      </c>
      <c r="D25" s="4" t="s">
        <v>759</v>
      </c>
      <c r="E25" s="4" t="s">
        <v>1095</v>
      </c>
      <c r="F25" s="4" t="s">
        <v>736</v>
      </c>
      <c r="G25" s="2" t="s">
        <v>15</v>
      </c>
      <c r="H25" s="2">
        <v>22</v>
      </c>
      <c r="I25" s="2" t="s">
        <v>386</v>
      </c>
      <c r="J25" s="2"/>
      <c r="K25" s="2"/>
      <c r="L25" s="2" t="str">
        <f>_xlfn.TEXTJOIN("|",FALSE,Table1[[#This Row],[Target Entity]],Table1[[#This Row],[Target DEV SB ID]])</f>
        <v>|fdx_it_cmplet_date</v>
      </c>
      <c r="M25" s="2" t="s">
        <v>425</v>
      </c>
      <c r="N25" s="2" t="s">
        <v>5818</v>
      </c>
      <c r="O25" s="13" t="s">
        <v>5856</v>
      </c>
      <c r="P25" s="13" t="s">
        <v>766</v>
      </c>
      <c r="Q25" s="13" t="s">
        <v>33</v>
      </c>
      <c r="R25" s="13" t="s">
        <v>33</v>
      </c>
      <c r="S25" s="2" t="s">
        <v>426</v>
      </c>
      <c r="T25" s="2" t="s">
        <v>426</v>
      </c>
      <c r="U25" s="2" t="s">
        <v>427</v>
      </c>
      <c r="V25" s="2"/>
      <c r="W25" s="2" t="str">
        <f>_xlfn.XLOOKUP(Table1[[#This Row],[Source PROD ID]],Prod_fields[ID],Prod_fields[Attribute Name],"0-Not Found",0,1)</f>
        <v>Requested IT Completion Date</v>
      </c>
      <c r="X25" s="2" t="str">
        <f>_xlfn.XLOOKUP(Table1[[#This Row],[Target DEV SB ID]],New_fields[ID],New_fields[Attribute Name],"0-Not Found",0,1)</f>
        <v>Requested IT completion Date:</v>
      </c>
      <c r="Y25" s="2" t="b">
        <f>Table1[[#This Row],[Prod Source field name]]=Table1[[#This Row],[New instance Target field name]]</f>
        <v>0</v>
      </c>
      <c r="Z25" s="2" t="b">
        <f>Table1[[#This Row],[Target Field Name]]=Table1[[#This Row],[New instance Target field name]]</f>
        <v>0</v>
      </c>
      <c r="AA25" s="2" t="s">
        <v>18</v>
      </c>
      <c r="AB25" s="2" t="s">
        <v>588</v>
      </c>
      <c r="AC25" s="2"/>
      <c r="AD25" s="2" t="s">
        <v>19</v>
      </c>
      <c r="AE25" s="5"/>
      <c r="AF25" s="5" t="s">
        <v>6011</v>
      </c>
      <c r="AG25" s="5" t="s">
        <v>318</v>
      </c>
      <c r="AH25" s="5" t="s">
        <v>33</v>
      </c>
      <c r="AI25" s="5" t="s">
        <v>1095</v>
      </c>
      <c r="AJ25" s="5" t="s">
        <v>1095</v>
      </c>
      <c r="AK25" s="5" t="s">
        <v>1095</v>
      </c>
      <c r="AL25" s="5" t="s">
        <v>20</v>
      </c>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row>
    <row r="26" spans="1:60" ht="262.2" x14ac:dyDescent="0.3">
      <c r="A26" s="4" t="s">
        <v>385</v>
      </c>
      <c r="B26" s="4" t="s">
        <v>738</v>
      </c>
      <c r="C26" s="4" t="s">
        <v>734</v>
      </c>
      <c r="D26" s="4" t="s">
        <v>767</v>
      </c>
      <c r="E26" s="4" t="s">
        <v>1095</v>
      </c>
      <c r="F26" s="4" t="s">
        <v>768</v>
      </c>
      <c r="G26" s="2" t="s">
        <v>15</v>
      </c>
      <c r="H26" s="2">
        <v>23</v>
      </c>
      <c r="I26" s="2" t="s">
        <v>386</v>
      </c>
      <c r="J26" s="2"/>
      <c r="K26" s="2"/>
      <c r="L26" s="2" t="str">
        <f>_xlfn.TEXTJOIN("|",FALSE,Table1[[#This Row],[Target Entity]],Table1[[#This Row],[Target DEV SB ID]])</f>
        <v>|WR2</v>
      </c>
      <c r="M26" s="2" t="s">
        <v>428</v>
      </c>
      <c r="N26" s="2" t="s">
        <v>5815</v>
      </c>
      <c r="O26" s="2"/>
      <c r="P26" s="2" t="s">
        <v>770</v>
      </c>
      <c r="Q26" s="2" t="s">
        <v>771</v>
      </c>
      <c r="R26" s="2" t="s">
        <v>772</v>
      </c>
      <c r="S26" s="102" t="s">
        <v>6276</v>
      </c>
      <c r="T26" s="2" t="s">
        <v>430</v>
      </c>
      <c r="U26" s="2" t="s">
        <v>430</v>
      </c>
      <c r="V26" s="13" t="s">
        <v>5857</v>
      </c>
      <c r="W26" s="2" t="str">
        <f>_xlfn.XLOOKUP(Table1[[#This Row],[Source PROD ID]],Prod_fields[ID],Prod_fields[Attribute Name],"0-Not Found",0,1)</f>
        <v>0-Not Found</v>
      </c>
      <c r="X26" s="2" t="str">
        <f>_xlfn.XLOOKUP(Table1[[#This Row],[Target DEV SB ID]],New_fields[ID],New_fields[Attribute Name],"0-Not Found",0,1)</f>
        <v>Demand Type</v>
      </c>
      <c r="Y26" s="2" t="b">
        <f>Table1[[#This Row],[Prod Source field name]]=Table1[[#This Row],[New instance Target field name]]</f>
        <v>0</v>
      </c>
      <c r="Z26" s="2" t="b">
        <f>Table1[[#This Row],[Target Field Name]]=Table1[[#This Row],[New instance Target field name]]</f>
        <v>1</v>
      </c>
      <c r="AA26" s="2" t="s">
        <v>363</v>
      </c>
      <c r="AB26" s="2" t="s">
        <v>539</v>
      </c>
      <c r="AC26" s="2" t="s">
        <v>32</v>
      </c>
      <c r="AD26" s="2" t="s">
        <v>33</v>
      </c>
      <c r="AE26" s="5"/>
      <c r="AF26" s="5" t="s">
        <v>6012</v>
      </c>
      <c r="AG26" s="5" t="s">
        <v>429</v>
      </c>
      <c r="AH26" s="5" t="s">
        <v>19</v>
      </c>
      <c r="AI26" s="5" t="s">
        <v>1095</v>
      </c>
      <c r="AJ26" s="5" t="s">
        <v>1095</v>
      </c>
      <c r="AK26" s="5" t="s">
        <v>1095</v>
      </c>
      <c r="AL26" s="5" t="s">
        <v>20</v>
      </c>
      <c r="AM26" s="105" t="s">
        <v>497</v>
      </c>
      <c r="AN26" s="105" t="s">
        <v>497</v>
      </c>
      <c r="AO26" s="105" t="s">
        <v>497</v>
      </c>
      <c r="AP26" s="105" t="s">
        <v>497</v>
      </c>
      <c r="AQ26" s="105" t="s">
        <v>5931</v>
      </c>
      <c r="AR26" s="105"/>
      <c r="AS26" s="105"/>
      <c r="AT26" s="105"/>
      <c r="AU26" s="105"/>
      <c r="AV26" s="105"/>
      <c r="AW26" s="105"/>
      <c r="AX26" s="105"/>
      <c r="AY26" s="105"/>
      <c r="AZ26" s="105"/>
      <c r="BA26" s="105"/>
      <c r="BB26" s="105"/>
      <c r="BC26" s="105"/>
      <c r="BD26" s="105"/>
      <c r="BE26" s="105"/>
      <c r="BF26" s="105"/>
      <c r="BG26" s="105"/>
      <c r="BH26" s="105"/>
    </row>
    <row r="27" spans="1:60" ht="55.2" x14ac:dyDescent="0.3">
      <c r="A27" s="4" t="s">
        <v>385</v>
      </c>
      <c r="B27" s="4" t="s">
        <v>738</v>
      </c>
      <c r="C27" s="4" t="s">
        <v>734</v>
      </c>
      <c r="D27" s="4" t="s">
        <v>5932</v>
      </c>
      <c r="E27" s="4" t="s">
        <v>1095</v>
      </c>
      <c r="F27" s="4" t="s">
        <v>736</v>
      </c>
      <c r="G27" s="2" t="s">
        <v>15</v>
      </c>
      <c r="H27" s="2">
        <v>24</v>
      </c>
      <c r="I27" s="2" t="s">
        <v>386</v>
      </c>
      <c r="J27" s="2"/>
      <c r="K27" s="2"/>
      <c r="L27" s="2" t="str">
        <f>_xlfn.TEXTJOIN("|",FALSE,Table1[[#This Row],[Target Entity]],Table1[[#This Row],[Target DEV SB ID]])</f>
        <v>|fdx_biz_prob_solve</v>
      </c>
      <c r="M27" s="2" t="s">
        <v>431</v>
      </c>
      <c r="N27" s="2" t="s">
        <v>5821</v>
      </c>
      <c r="O27" s="2"/>
      <c r="P27" s="2" t="s">
        <v>1095</v>
      </c>
      <c r="Q27" s="2" t="s">
        <v>19</v>
      </c>
      <c r="R27" s="2" t="s">
        <v>19</v>
      </c>
      <c r="S27" s="13" t="s">
        <v>3491</v>
      </c>
      <c r="T27" s="13" t="s">
        <v>1095</v>
      </c>
      <c r="U27" s="2" t="s">
        <v>432</v>
      </c>
      <c r="V27" s="13" t="s">
        <v>3492</v>
      </c>
      <c r="W27" s="2" t="str">
        <f>_xlfn.XLOOKUP(Table1[[#This Row],[Source PROD ID]],Prod_fields[ID],Prod_fields[Attribute Name],"0-Not Found",0,1)</f>
        <v>0-Not Found</v>
      </c>
      <c r="X27" s="2" t="str">
        <f>_xlfn.XLOOKUP(Table1[[#This Row],[Target DEV SB ID]],New_fields[ID],New_fields[Attribute Name],"0-Not Found",0,1)</f>
        <v>What business problem are you looking to solve?</v>
      </c>
      <c r="Y27" s="2" t="b">
        <f>Table1[[#This Row],[Prod Source field name]]=Table1[[#This Row],[New instance Target field name]]</f>
        <v>0</v>
      </c>
      <c r="Z27" s="2" t="b">
        <f>Table1[[#This Row],[Target Field Name]]=Table1[[#This Row],[New instance Target field name]]</f>
        <v>1</v>
      </c>
      <c r="AA27" s="2" t="s">
        <v>18</v>
      </c>
      <c r="AB27" s="2" t="s">
        <v>539</v>
      </c>
      <c r="AC27" s="2"/>
      <c r="AD27" s="2" t="s">
        <v>19</v>
      </c>
      <c r="AE27" s="5"/>
      <c r="AF27" s="5" t="s">
        <v>6013</v>
      </c>
      <c r="AG27" s="5" t="s">
        <v>540</v>
      </c>
      <c r="AH27" s="5" t="s">
        <v>33</v>
      </c>
      <c r="AI27" s="5" t="s">
        <v>1095</v>
      </c>
      <c r="AJ27" s="5" t="s">
        <v>1095</v>
      </c>
      <c r="AK27" s="5" t="s">
        <v>1095</v>
      </c>
      <c r="AL27" s="5" t="s">
        <v>20</v>
      </c>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row>
    <row r="28" spans="1:60" ht="55.2" x14ac:dyDescent="0.3">
      <c r="A28" s="4" t="s">
        <v>385</v>
      </c>
      <c r="B28" s="4" t="s">
        <v>738</v>
      </c>
      <c r="C28" s="4" t="s">
        <v>734</v>
      </c>
      <c r="D28" s="4" t="s">
        <v>5932</v>
      </c>
      <c r="E28" s="4" t="s">
        <v>1095</v>
      </c>
      <c r="F28" s="4" t="s">
        <v>736</v>
      </c>
      <c r="G28" s="2" t="s">
        <v>15</v>
      </c>
      <c r="H28" s="2">
        <v>25</v>
      </c>
      <c r="I28" s="2" t="s">
        <v>386</v>
      </c>
      <c r="J28" s="2"/>
      <c r="K28" s="2"/>
      <c r="L28" s="2" t="str">
        <f>_xlfn.TEXTJOIN("|",FALSE,Table1[[#This Row],[Target Entity]],Table1[[#This Row],[Target DEV SB ID]])</f>
        <v>|fdx_why_needed</v>
      </c>
      <c r="M28" s="2" t="s">
        <v>433</v>
      </c>
      <c r="N28" s="2" t="s">
        <v>5821</v>
      </c>
      <c r="O28" s="2"/>
      <c r="P28" s="2" t="s">
        <v>1095</v>
      </c>
      <c r="Q28" s="2" t="s">
        <v>19</v>
      </c>
      <c r="R28" s="2" t="s">
        <v>19</v>
      </c>
      <c r="S28" s="13" t="s">
        <v>3491</v>
      </c>
      <c r="T28" s="13" t="s">
        <v>1095</v>
      </c>
      <c r="U28" s="2" t="s">
        <v>434</v>
      </c>
      <c r="V28" s="13" t="s">
        <v>3492</v>
      </c>
      <c r="W28" s="2" t="str">
        <f>_xlfn.XLOOKUP(Table1[[#This Row],[Source PROD ID]],Prod_fields[ID],Prod_fields[Attribute Name],"0-Not Found",0,1)</f>
        <v>0-Not Found</v>
      </c>
      <c r="X28" s="2" t="str">
        <f>_xlfn.XLOOKUP(Table1[[#This Row],[Target DEV SB ID]],New_fields[ID],New_fields[Attribute Name],"0-Not Found",0,1)</f>
        <v>Why is this needed?</v>
      </c>
      <c r="Y28" s="2" t="b">
        <f>Table1[[#This Row],[Prod Source field name]]=Table1[[#This Row],[New instance Target field name]]</f>
        <v>0</v>
      </c>
      <c r="Z28" s="2" t="b">
        <f>Table1[[#This Row],[Target Field Name]]=Table1[[#This Row],[New instance Target field name]]</f>
        <v>1</v>
      </c>
      <c r="AA28" s="2" t="s">
        <v>18</v>
      </c>
      <c r="AB28" s="2" t="s">
        <v>539</v>
      </c>
      <c r="AC28" s="2"/>
      <c r="AD28" s="2" t="s">
        <v>19</v>
      </c>
      <c r="AE28" s="5"/>
      <c r="AF28" s="5" t="s">
        <v>6014</v>
      </c>
      <c r="AG28" s="5" t="s">
        <v>540</v>
      </c>
      <c r="AH28" s="5" t="s">
        <v>33</v>
      </c>
      <c r="AI28" s="5" t="s">
        <v>1095</v>
      </c>
      <c r="AJ28" s="5" t="s">
        <v>1095</v>
      </c>
      <c r="AK28" s="5" t="s">
        <v>1095</v>
      </c>
      <c r="AL28" s="5" t="s">
        <v>20</v>
      </c>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row>
    <row r="29" spans="1:60" ht="55.2" x14ac:dyDescent="0.3">
      <c r="A29" s="4" t="s">
        <v>385</v>
      </c>
      <c r="B29" s="4" t="s">
        <v>738</v>
      </c>
      <c r="C29" s="4" t="s">
        <v>734</v>
      </c>
      <c r="D29" s="4" t="s">
        <v>5932</v>
      </c>
      <c r="E29" s="4" t="s">
        <v>1095</v>
      </c>
      <c r="F29" s="4" t="s">
        <v>736</v>
      </c>
      <c r="G29" s="2" t="s">
        <v>15</v>
      </c>
      <c r="H29" s="2">
        <v>26</v>
      </c>
      <c r="I29" s="2" t="s">
        <v>386</v>
      </c>
      <c r="J29" s="2"/>
      <c r="K29" s="2"/>
      <c r="L29" s="2" t="str">
        <f>_xlfn.TEXTJOIN("|",FALSE,Table1[[#This Row],[Target Entity]],Table1[[#This Row],[Target DEV SB ID]])</f>
        <v>|fdx_risk_if_not_done</v>
      </c>
      <c r="M29" s="2" t="s">
        <v>435</v>
      </c>
      <c r="N29" s="2" t="s">
        <v>5821</v>
      </c>
      <c r="O29" s="2"/>
      <c r="P29" s="2" t="s">
        <v>1095</v>
      </c>
      <c r="Q29" s="2" t="s">
        <v>19</v>
      </c>
      <c r="R29" s="2" t="s">
        <v>19</v>
      </c>
      <c r="S29" s="13" t="s">
        <v>3491</v>
      </c>
      <c r="T29" s="13" t="s">
        <v>1095</v>
      </c>
      <c r="U29" s="2" t="s">
        <v>436</v>
      </c>
      <c r="V29" s="13" t="s">
        <v>3492</v>
      </c>
      <c r="W29" s="2" t="str">
        <f>_xlfn.XLOOKUP(Table1[[#This Row],[Source PROD ID]],Prod_fields[ID],Prod_fields[Attribute Name],"0-Not Found",0,1)</f>
        <v>0-Not Found</v>
      </c>
      <c r="X29" s="2" t="str">
        <f>_xlfn.XLOOKUP(Table1[[#This Row],[Target DEV SB ID]],New_fields[ID],New_fields[Attribute Name],"0-Not Found",0,1)</f>
        <v>What is the risk if not done?</v>
      </c>
      <c r="Y29" s="2" t="b">
        <f>Table1[[#This Row],[Prod Source field name]]=Table1[[#This Row],[New instance Target field name]]</f>
        <v>0</v>
      </c>
      <c r="Z29" s="2" t="b">
        <f>Table1[[#This Row],[Target Field Name]]=Table1[[#This Row],[New instance Target field name]]</f>
        <v>1</v>
      </c>
      <c r="AA29" s="2" t="s">
        <v>18</v>
      </c>
      <c r="AB29" s="2" t="s">
        <v>539</v>
      </c>
      <c r="AC29" s="2"/>
      <c r="AD29" s="2" t="s">
        <v>19</v>
      </c>
      <c r="AE29" s="5"/>
      <c r="AF29" s="5" t="s">
        <v>6015</v>
      </c>
      <c r="AG29" s="5" t="s">
        <v>540</v>
      </c>
      <c r="AH29" s="5" t="s">
        <v>33</v>
      </c>
      <c r="AI29" s="5" t="s">
        <v>1095</v>
      </c>
      <c r="AJ29" s="5" t="s">
        <v>1095</v>
      </c>
      <c r="AK29" s="5" t="s">
        <v>1095</v>
      </c>
      <c r="AL29" s="5" t="s">
        <v>20</v>
      </c>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row>
    <row r="30" spans="1:60" ht="276" x14ac:dyDescent="0.3">
      <c r="A30" s="4" t="s">
        <v>385</v>
      </c>
      <c r="B30" s="4" t="s">
        <v>738</v>
      </c>
      <c r="C30" s="4" t="s">
        <v>734</v>
      </c>
      <c r="D30" s="4" t="s">
        <v>5932</v>
      </c>
      <c r="E30" s="4" t="s">
        <v>1095</v>
      </c>
      <c r="F30" s="4" t="s">
        <v>736</v>
      </c>
      <c r="G30" s="2" t="s">
        <v>15</v>
      </c>
      <c r="H30" s="2">
        <v>27</v>
      </c>
      <c r="I30" s="2" t="s">
        <v>386</v>
      </c>
      <c r="J30" s="2"/>
      <c r="K30" s="2"/>
      <c r="L30" s="2" t="str">
        <f>_xlfn.TEXTJOIN("|",FALSE,Table1[[#This Row],[Target Entity]],Table1[[#This Row],[Target DEV SB ID]])</f>
        <v>|fdx_ability_to_work</v>
      </c>
      <c r="M30" s="2" t="s">
        <v>437</v>
      </c>
      <c r="N30" s="2" t="s">
        <v>5821</v>
      </c>
      <c r="O30" s="2"/>
      <c r="P30" s="2" t="s">
        <v>773</v>
      </c>
      <c r="Q30" s="2" t="s">
        <v>33</v>
      </c>
      <c r="R30" s="2" t="s">
        <v>33</v>
      </c>
      <c r="S30" s="2" t="s">
        <v>438</v>
      </c>
      <c r="T30" s="2" t="s">
        <v>438</v>
      </c>
      <c r="U30" s="2" t="s">
        <v>320</v>
      </c>
      <c r="V30" s="2"/>
      <c r="W30" s="2" t="str">
        <f>_xlfn.XLOOKUP(Table1[[#This Row],[Source PROD ID]],Prod_fields[ID],Prod_fields[Attribute Name],"0-Not Found",0,1)</f>
        <v>Ability To Statements</v>
      </c>
      <c r="X30" s="2" t="str">
        <f>_xlfn.XLOOKUP(Table1[[#This Row],[Target DEV SB ID]],New_fields[ID],New_fields[Attribute Name],"0-Not Found",0,1)</f>
        <v>Business Ability To Statements</v>
      </c>
      <c r="Y30" s="2" t="b">
        <f>Table1[[#This Row],[Prod Source field name]]=Table1[[#This Row],[New instance Target field name]]</f>
        <v>0</v>
      </c>
      <c r="Z30" s="2" t="b">
        <f>Table1[[#This Row],[Target Field Name]]=Table1[[#This Row],[New instance Target field name]]</f>
        <v>1</v>
      </c>
      <c r="AA30" s="2" t="s">
        <v>18</v>
      </c>
      <c r="AB30" s="2" t="s">
        <v>539</v>
      </c>
      <c r="AC30" s="2"/>
      <c r="AD30" s="2" t="s">
        <v>19</v>
      </c>
      <c r="AE30" s="5"/>
      <c r="AF30" s="5" t="s">
        <v>6016</v>
      </c>
      <c r="AG30" s="5" t="s">
        <v>540</v>
      </c>
      <c r="AH30" s="5" t="s">
        <v>33</v>
      </c>
      <c r="AI30" s="5" t="s">
        <v>1095</v>
      </c>
      <c r="AJ30" s="5" t="s">
        <v>1095</v>
      </c>
      <c r="AK30" s="5" t="s">
        <v>1095</v>
      </c>
      <c r="AL30" s="5" t="s">
        <v>20</v>
      </c>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row>
    <row r="31" spans="1:60" ht="55.2" x14ac:dyDescent="0.3">
      <c r="A31" s="4" t="s">
        <v>385</v>
      </c>
      <c r="B31" s="4" t="s">
        <v>738</v>
      </c>
      <c r="C31" s="4" t="s">
        <v>734</v>
      </c>
      <c r="D31" s="4" t="s">
        <v>5932</v>
      </c>
      <c r="E31" s="4" t="s">
        <v>1095</v>
      </c>
      <c r="F31" s="4" t="s">
        <v>736</v>
      </c>
      <c r="G31" s="2" t="s">
        <v>15</v>
      </c>
      <c r="H31" s="2">
        <v>28</v>
      </c>
      <c r="I31" s="2" t="s">
        <v>386</v>
      </c>
      <c r="J31" s="2"/>
      <c r="K31" s="2"/>
      <c r="L31" s="2" t="str">
        <f>_xlfn.TEXTJOIN("|",FALSE,Table1[[#This Row],[Target Entity]],Table1[[#This Row],[Target DEV SB ID]])</f>
        <v>|fdx_biz_out_work</v>
      </c>
      <c r="M31" s="2" t="s">
        <v>43</v>
      </c>
      <c r="N31" s="2" t="s">
        <v>5821</v>
      </c>
      <c r="O31" s="2"/>
      <c r="P31" s="2" t="s">
        <v>1095</v>
      </c>
      <c r="Q31" s="2" t="s">
        <v>33</v>
      </c>
      <c r="R31" s="2" t="s">
        <v>33</v>
      </c>
      <c r="S31" s="2" t="s">
        <v>439</v>
      </c>
      <c r="T31" s="2" t="s">
        <v>439</v>
      </c>
      <c r="U31" s="2" t="s">
        <v>164</v>
      </c>
      <c r="V31" s="2"/>
      <c r="W31" s="2" t="str">
        <f>_xlfn.XLOOKUP(Table1[[#This Row],[Source PROD ID]],Prod_fields[ID],Prod_fields[Attribute Name],"0-Not Found",0,1)</f>
        <v>Expected Business Outcome</v>
      </c>
      <c r="X31" s="2" t="str">
        <f>_xlfn.XLOOKUP(Table1[[#This Row],[Target DEV SB ID]],New_fields[ID],New_fields[Attribute Name],"0-Not Found",0,1)</f>
        <v>Expected Business Outcome</v>
      </c>
      <c r="Y31" s="2" t="b">
        <f>Table1[[#This Row],[Prod Source field name]]=Table1[[#This Row],[New instance Target field name]]</f>
        <v>1</v>
      </c>
      <c r="Z31" s="2" t="b">
        <f>Table1[[#This Row],[Target Field Name]]=Table1[[#This Row],[New instance Target field name]]</f>
        <v>1</v>
      </c>
      <c r="AA31" s="2" t="s">
        <v>18</v>
      </c>
      <c r="AB31" s="2" t="s">
        <v>539</v>
      </c>
      <c r="AC31" s="2"/>
      <c r="AD31" s="2" t="s">
        <v>19</v>
      </c>
      <c r="AE31" s="18"/>
      <c r="AF31" s="18" t="s">
        <v>6017</v>
      </c>
      <c r="AG31" s="18" t="s">
        <v>540</v>
      </c>
      <c r="AH31" s="18" t="s">
        <v>33</v>
      </c>
      <c r="AI31" s="18" t="s">
        <v>1095</v>
      </c>
      <c r="AJ31" s="18" t="s">
        <v>1095</v>
      </c>
      <c r="AK31" s="18" t="s">
        <v>1095</v>
      </c>
      <c r="AL31" s="5" t="s">
        <v>20</v>
      </c>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row>
    <row r="32" spans="1:60" ht="151.80000000000001" x14ac:dyDescent="0.3">
      <c r="A32" s="4" t="s">
        <v>385</v>
      </c>
      <c r="B32" s="4" t="s">
        <v>738</v>
      </c>
      <c r="C32" s="4" t="s">
        <v>734</v>
      </c>
      <c r="D32" s="4" t="s">
        <v>5932</v>
      </c>
      <c r="E32" s="4" t="s">
        <v>1095</v>
      </c>
      <c r="F32" s="4" t="s">
        <v>736</v>
      </c>
      <c r="G32" s="2" t="s">
        <v>15</v>
      </c>
      <c r="H32" s="2">
        <v>29</v>
      </c>
      <c r="I32" s="2" t="s">
        <v>386</v>
      </c>
      <c r="J32" s="2"/>
      <c r="K32" s="2"/>
      <c r="L32" s="2" t="str">
        <f>_xlfn.TEXTJOIN("|",FALSE,Table1[[#This Row],[Target Entity]],Table1[[#This Row],[Target DEV SB ID]])</f>
        <v>|Str62</v>
      </c>
      <c r="M32" s="2" t="s">
        <v>440</v>
      </c>
      <c r="N32" s="2" t="s">
        <v>5821</v>
      </c>
      <c r="O32" s="2"/>
      <c r="P32" s="2" t="s">
        <v>774</v>
      </c>
      <c r="Q32" s="2" t="s">
        <v>33</v>
      </c>
      <c r="R32" s="2" t="s">
        <v>33</v>
      </c>
      <c r="S32" s="2" t="s">
        <v>172</v>
      </c>
      <c r="T32" s="2" t="s">
        <v>172</v>
      </c>
      <c r="U32" s="2" t="s">
        <v>172</v>
      </c>
      <c r="V32" s="13" t="s">
        <v>5845</v>
      </c>
      <c r="W32" s="2" t="str">
        <f>_xlfn.XLOOKUP(Table1[[#This Row],[Source PROD ID]],Prod_fields[ID],Prod_fields[Attribute Name],"0-Not Found",0,1)</f>
        <v>T-Shirt Size</v>
      </c>
      <c r="X32" s="2" t="str">
        <f>_xlfn.XLOOKUP(Table1[[#This Row],[Target DEV SB ID]],New_fields[ID],New_fields[Attribute Name],"0-Not Found",0,1)</f>
        <v>T-Shirt Size</v>
      </c>
      <c r="Y32" s="2" t="b">
        <f>Table1[[#This Row],[Prod Source field name]]=Table1[[#This Row],[New instance Target field name]]</f>
        <v>1</v>
      </c>
      <c r="Z32" s="2" t="b">
        <f>Table1[[#This Row],[Target Field Name]]=Table1[[#This Row],[New instance Target field name]]</f>
        <v>1</v>
      </c>
      <c r="AA32" s="2" t="s">
        <v>363</v>
      </c>
      <c r="AB32" s="2" t="s">
        <v>539</v>
      </c>
      <c r="AC32" s="2" t="s">
        <v>32</v>
      </c>
      <c r="AD32" s="2" t="s">
        <v>33</v>
      </c>
      <c r="AE32" s="5" t="str">
        <f>_xlfn.TEXTJOIN(CHAR(10),TRUE,VAL_str62_tsize[])</f>
        <v>1: XS
2: S
3: M
4: L
5: XL</v>
      </c>
      <c r="AF32" s="5" t="s">
        <v>841</v>
      </c>
      <c r="AG32" s="5" t="s">
        <v>540</v>
      </c>
      <c r="AH32" s="5" t="s">
        <v>33</v>
      </c>
      <c r="AI32" s="5" t="s">
        <v>1095</v>
      </c>
      <c r="AJ32" s="5" t="s">
        <v>1095</v>
      </c>
      <c r="AK32" s="5" t="s">
        <v>1095</v>
      </c>
      <c r="AL32" s="5" t="s">
        <v>20</v>
      </c>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row>
    <row r="33" spans="1:60" ht="138" x14ac:dyDescent="0.3">
      <c r="A33" s="101"/>
      <c r="B33" s="101" t="s">
        <v>738</v>
      </c>
      <c r="C33" s="101" t="s">
        <v>734</v>
      </c>
      <c r="D33" s="101" t="s">
        <v>5932</v>
      </c>
      <c r="E33" s="101" t="s">
        <v>1095</v>
      </c>
      <c r="F33" s="101" t="s">
        <v>736</v>
      </c>
      <c r="G33" s="13"/>
      <c r="H33" s="2">
        <v>30</v>
      </c>
      <c r="I33" s="13"/>
      <c r="J33" s="13"/>
      <c r="K33" s="13"/>
      <c r="L33" s="13" t="str">
        <f>_xlfn.TEXTJOIN("|",FALSE,Table1[[#This Row],[Target Entity]],Table1[[#This Row],[Target DEV SB ID]])</f>
        <v>|WR36</v>
      </c>
      <c r="M33" s="13" t="s">
        <v>2238</v>
      </c>
      <c r="N33" s="13" t="s">
        <v>5817</v>
      </c>
      <c r="O33" s="2" t="s">
        <v>6285</v>
      </c>
      <c r="P33" s="13" t="s">
        <v>6018</v>
      </c>
      <c r="Q33" s="13" t="s">
        <v>33</v>
      </c>
      <c r="R33" s="13" t="s">
        <v>33</v>
      </c>
      <c r="S33" s="13" t="s">
        <v>2239</v>
      </c>
      <c r="T33" s="13" t="s">
        <v>2239</v>
      </c>
      <c r="U33" s="13" t="s">
        <v>2239</v>
      </c>
      <c r="V33" s="2" t="s">
        <v>6286</v>
      </c>
      <c r="W33" s="13" t="str">
        <f>_xlfn.XLOOKUP(Table1[[#This Row],[Source PROD ID]],Prod_fields[ID],Prod_fields[Attribute Name],"0-Not Found",0,1)</f>
        <v>Estimated Annualized Value Range</v>
      </c>
      <c r="X33" s="13" t="str">
        <f>_xlfn.XLOOKUP(Table1[[#This Row],[Target DEV SB ID]],New_fields[ID],New_fields[Attribute Name],"0-Not Found",0,1)</f>
        <v>Estimated Annualized Value Range</v>
      </c>
      <c r="Y33" s="13" t="b">
        <f>Table1[[#This Row],[Prod Source field name]]=Table1[[#This Row],[New instance Target field name]]</f>
        <v>1</v>
      </c>
      <c r="Z33" s="13" t="b">
        <f>Table1[[#This Row],[Target Field Name]]=Table1[[#This Row],[New instance Target field name]]</f>
        <v>1</v>
      </c>
      <c r="AA33" s="2" t="s">
        <v>363</v>
      </c>
      <c r="AB33" s="2" t="s">
        <v>539</v>
      </c>
      <c r="AC33" s="2" t="s">
        <v>32</v>
      </c>
      <c r="AD33" s="2" t="s">
        <v>33</v>
      </c>
      <c r="AE33" s="5" t="str">
        <f>_xlfn.TEXTJOIN(CHAR(10),TRUE,VAL_wr36_value_range[])</f>
        <v>1: Unknown
2: Low = &lt; $1M
3: Medium = $1M &lt; Value &lt; $10M
4: High = &gt; $10M</v>
      </c>
      <c r="AF33" s="5" t="s">
        <v>6020</v>
      </c>
      <c r="AG33" s="5" t="s">
        <v>540</v>
      </c>
      <c r="AH33" s="5" t="s">
        <v>33</v>
      </c>
      <c r="AI33" s="5" t="s">
        <v>1095</v>
      </c>
      <c r="AJ33" s="5" t="s">
        <v>1095</v>
      </c>
      <c r="AK33" s="5" t="s">
        <v>1095</v>
      </c>
      <c r="AL33" s="18"/>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row>
    <row r="34" spans="1:60" ht="69" x14ac:dyDescent="0.3">
      <c r="A34" s="101"/>
      <c r="B34" s="101" t="s">
        <v>738</v>
      </c>
      <c r="C34" s="101" t="s">
        <v>734</v>
      </c>
      <c r="D34" s="101" t="s">
        <v>5932</v>
      </c>
      <c r="E34" s="101" t="s">
        <v>1095</v>
      </c>
      <c r="F34" s="101" t="s">
        <v>736</v>
      </c>
      <c r="G34" s="13"/>
      <c r="H34" s="2">
        <v>31</v>
      </c>
      <c r="I34" s="13"/>
      <c r="J34" s="13"/>
      <c r="K34" s="13"/>
      <c r="L34" s="13" t="str">
        <f>_xlfn.TEXTJOIN("|",FALSE,Table1[[#This Row],[Target Entity]],Table1[[#This Row],[Target DEV SB ID]])</f>
        <v>|fdx_exp_est_val_rng</v>
      </c>
      <c r="M34" s="13" t="s">
        <v>5865</v>
      </c>
      <c r="N34" s="13" t="s">
        <v>5815</v>
      </c>
      <c r="O34" s="13" t="s">
        <v>5866</v>
      </c>
      <c r="P34" s="13" t="s">
        <v>6021</v>
      </c>
      <c r="Q34" s="13" t="s">
        <v>19</v>
      </c>
      <c r="R34" s="13" t="s">
        <v>19</v>
      </c>
      <c r="S34" s="103" t="s">
        <v>54</v>
      </c>
      <c r="T34" s="13" t="s">
        <v>1095</v>
      </c>
      <c r="U34" s="13" t="s">
        <v>1496</v>
      </c>
      <c r="V34" s="13" t="s">
        <v>5873</v>
      </c>
      <c r="W34" s="13" t="str">
        <f>_xlfn.XLOOKUP(Table1[[#This Row],[Source PROD ID]],Prod_fields[ID],Prod_fields[Attribute Name],"0-Not Found",0,1)</f>
        <v>Key Assumptions made in Quantifying Impact</v>
      </c>
      <c r="X34" s="13" t="str">
        <f>_xlfn.XLOOKUP(Table1[[#This Row],[Target DEV SB ID]],New_fields[ID],New_fields[Attribute Name],"0-Not Found",0,1)</f>
        <v>Explain how you arrived at the estimated value range above:</v>
      </c>
      <c r="Y34" s="13" t="b">
        <f>Table1[[#This Row],[Prod Source field name]]=Table1[[#This Row],[New instance Target field name]]</f>
        <v>0</v>
      </c>
      <c r="Z34" s="13" t="b">
        <f>Table1[[#This Row],[Target Field Name]]=Table1[[#This Row],[New instance Target field name]]</f>
        <v>0</v>
      </c>
      <c r="AA34" s="2" t="s">
        <v>18</v>
      </c>
      <c r="AB34" s="2" t="s">
        <v>539</v>
      </c>
      <c r="AC34" s="2"/>
      <c r="AD34" s="2" t="s">
        <v>19</v>
      </c>
      <c r="AE34" s="18"/>
      <c r="AF34" s="18" t="s">
        <v>1095</v>
      </c>
      <c r="AG34" s="18" t="s">
        <v>540</v>
      </c>
      <c r="AH34" s="18" t="s">
        <v>33</v>
      </c>
      <c r="AI34" s="18" t="s">
        <v>1095</v>
      </c>
      <c r="AJ34" s="18" t="s">
        <v>1095</v>
      </c>
      <c r="AK34" s="18" t="s">
        <v>1095</v>
      </c>
      <c r="AL34" s="18"/>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row>
    <row r="35" spans="1:60" ht="317.39999999999998" x14ac:dyDescent="0.3">
      <c r="A35" s="101"/>
      <c r="B35" s="101" t="s">
        <v>738</v>
      </c>
      <c r="C35" s="101" t="s">
        <v>734</v>
      </c>
      <c r="D35" s="101" t="s">
        <v>5932</v>
      </c>
      <c r="E35" s="101" t="s">
        <v>1095</v>
      </c>
      <c r="F35" s="101" t="s">
        <v>736</v>
      </c>
      <c r="G35" s="13"/>
      <c r="H35" s="2">
        <v>32</v>
      </c>
      <c r="I35" s="13"/>
      <c r="J35" s="13"/>
      <c r="K35" s="13"/>
      <c r="L35" s="13" t="str">
        <f>_xlfn.TEXTJOIN("|",FALSE,Table1[[#This Row],[Target Entity]],Table1[[#This Row],[Target DEV SB ID]])</f>
        <v>|STR119</v>
      </c>
      <c r="M35" s="13" t="s">
        <v>55</v>
      </c>
      <c r="N35" s="13" t="s">
        <v>5815</v>
      </c>
      <c r="O35" s="13" t="s">
        <v>5866</v>
      </c>
      <c r="P35" s="13" t="s">
        <v>6021</v>
      </c>
      <c r="Q35" s="13" t="s">
        <v>33</v>
      </c>
      <c r="R35" s="13" t="s">
        <v>33</v>
      </c>
      <c r="S35" s="13" t="s">
        <v>5875</v>
      </c>
      <c r="T35" s="13" t="s">
        <v>56</v>
      </c>
      <c r="U35" s="13" t="s">
        <v>5875</v>
      </c>
      <c r="V35" s="13" t="s">
        <v>5845</v>
      </c>
      <c r="W35" s="13" t="str">
        <f>_xlfn.XLOOKUP(Table1[[#This Row],[Source PROD ID]],Prod_fields[ID],Prod_fields[Attribute Name],"0-Not Found",0,1)</f>
        <v>Primary Type of Value</v>
      </c>
      <c r="X35" s="13" t="str">
        <f>_xlfn.XLOOKUP(Table1[[#This Row],[Target DEV SB ID]],New_fields[ID],New_fields[Attribute Name],"0-Not Found",0,1)</f>
        <v>Primary Type of Value</v>
      </c>
      <c r="Y35" s="13" t="b">
        <f>Table1[[#This Row],[Prod Source field name]]=Table1[[#This Row],[New instance Target field name]]</f>
        <v>1</v>
      </c>
      <c r="Z35" s="13" t="b">
        <f>Table1[[#This Row],[Target Field Name]]=Table1[[#This Row],[New instance Target field name]]</f>
        <v>1</v>
      </c>
      <c r="AA35" s="2" t="s">
        <v>363</v>
      </c>
      <c r="AB35" s="2" t="s">
        <v>539</v>
      </c>
      <c r="AC35" s="2" t="s">
        <v>32</v>
      </c>
      <c r="AD35" s="2" t="s">
        <v>33</v>
      </c>
      <c r="AE35" s="5" t="str">
        <f>_xlfn.TEXTJOIN(CHAR(10),TRUE,VAL_str119_Value_type[])</f>
        <v>Brand
Financial - Cost Avoidance
Financial - Cost Savings/Reductions
Customer Experience - Recipient Experience
Customer Experience - Visibility
Customer Experience - Problem Resolution
Customer Experience - Other
Innovation
Financial - Revenue Growth (Customer Acquisition)
Financial - Revenue Growth (Yield)
Financial - Revenue Protection
Safety/Legal
Service - Modernization
Service - Other
Sustainability
Talent and Culture
Tech Reliability
Tech Development Experience</v>
      </c>
      <c r="AF35" s="5" t="s">
        <v>6023</v>
      </c>
      <c r="AG35" s="5" t="s">
        <v>540</v>
      </c>
      <c r="AH35" s="5" t="s">
        <v>33</v>
      </c>
      <c r="AI35" s="5" t="s">
        <v>1095</v>
      </c>
      <c r="AJ35" s="5" t="s">
        <v>1095</v>
      </c>
      <c r="AK35" s="5" t="s">
        <v>1095</v>
      </c>
      <c r="AL35" s="18"/>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row>
    <row r="36" spans="1:60" ht="207" x14ac:dyDescent="0.3">
      <c r="A36" s="4" t="s">
        <v>385</v>
      </c>
      <c r="B36" s="4" t="s">
        <v>738</v>
      </c>
      <c r="C36" s="4" t="s">
        <v>734</v>
      </c>
      <c r="D36" s="4" t="s">
        <v>5932</v>
      </c>
      <c r="E36" s="4" t="s">
        <v>1095</v>
      </c>
      <c r="F36" s="4" t="s">
        <v>736</v>
      </c>
      <c r="G36" s="2" t="s">
        <v>15</v>
      </c>
      <c r="H36" s="2">
        <v>33</v>
      </c>
      <c r="I36" s="2" t="s">
        <v>386</v>
      </c>
      <c r="J36" s="2"/>
      <c r="K36" s="2"/>
      <c r="L36" s="2" t="str">
        <f>_xlfn.TEXTJOIN("|",FALSE,Table1[[#This Row],[Target Entity]],Table1[[#This Row],[Target DEV SB ID]])</f>
        <v>|Str128</v>
      </c>
      <c r="M36" s="2" t="s">
        <v>210</v>
      </c>
      <c r="N36" s="2" t="s">
        <v>5821</v>
      </c>
      <c r="O36" s="2" t="s">
        <v>6277</v>
      </c>
      <c r="P36" s="13" t="s">
        <v>776</v>
      </c>
      <c r="Q36" s="13" t="s">
        <v>33</v>
      </c>
      <c r="R36" s="13" t="s">
        <v>33</v>
      </c>
      <c r="S36" s="2" t="s">
        <v>211</v>
      </c>
      <c r="T36" s="2" t="s">
        <v>211</v>
      </c>
      <c r="U36" s="2" t="s">
        <v>211</v>
      </c>
      <c r="V36" s="13" t="s">
        <v>5845</v>
      </c>
      <c r="W36" s="2" t="str">
        <f>_xlfn.XLOOKUP(Table1[[#This Row],[Source PROD ID]],Prod_fields[ID],Prod_fields[Attribute Name],"0-Not Found",0,1)</f>
        <v>Primary Type of Value Impact</v>
      </c>
      <c r="X36" s="2" t="str">
        <f>_xlfn.XLOOKUP(Table1[[#This Row],[Target DEV SB ID]],New_fields[ID],New_fields[Attribute Name],"0-Not Found",0,1)</f>
        <v>Primary Type of Value Impact</v>
      </c>
      <c r="Y36" s="2" t="b">
        <f>Table1[[#This Row],[Prod Source field name]]=Table1[[#This Row],[New instance Target field name]]</f>
        <v>1</v>
      </c>
      <c r="Z36" s="2" t="b">
        <f>Table1[[#This Row],[Target Field Name]]=Table1[[#This Row],[New instance Target field name]]</f>
        <v>1</v>
      </c>
      <c r="AA36" s="2" t="s">
        <v>363</v>
      </c>
      <c r="AB36" s="2" t="s">
        <v>539</v>
      </c>
      <c r="AC36" s="2" t="s">
        <v>32</v>
      </c>
      <c r="AD36" s="2" t="s">
        <v>33</v>
      </c>
      <c r="AE36" s="5" t="str">
        <f>_xlfn.TEXTJOIN(CHAR(10),TRUE,VAL_str128_value_impact[])</f>
        <v>High
Medium
Low</v>
      </c>
      <c r="AF36" s="5" t="s">
        <v>6024</v>
      </c>
      <c r="AG36" s="5" t="s">
        <v>540</v>
      </c>
      <c r="AH36" s="5" t="s">
        <v>33</v>
      </c>
      <c r="AI36" s="5" t="s">
        <v>1095</v>
      </c>
      <c r="AJ36" s="5" t="s">
        <v>1095</v>
      </c>
      <c r="AK36" s="5" t="s">
        <v>1095</v>
      </c>
      <c r="AL36" s="5" t="s">
        <v>20</v>
      </c>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row>
    <row r="37" spans="1:60" ht="69" x14ac:dyDescent="0.3">
      <c r="A37" s="4" t="s">
        <v>385</v>
      </c>
      <c r="B37" s="4" t="s">
        <v>738</v>
      </c>
      <c r="C37" s="4" t="s">
        <v>734</v>
      </c>
      <c r="D37" s="4" t="s">
        <v>5932</v>
      </c>
      <c r="E37" s="4" t="s">
        <v>1095</v>
      </c>
      <c r="F37" s="4" t="s">
        <v>736</v>
      </c>
      <c r="G37" s="2" t="s">
        <v>15</v>
      </c>
      <c r="H37" s="2">
        <v>34</v>
      </c>
      <c r="I37" s="2" t="s">
        <v>386</v>
      </c>
      <c r="J37" s="2"/>
      <c r="K37" s="2"/>
      <c r="L37" s="2" t="str">
        <f>_xlfn.TEXTJOIN("|",FALSE,Table1[[#This Row],[Target Entity]],Table1[[#This Row],[Target DEV SB ID]])</f>
        <v>|Wbs155</v>
      </c>
      <c r="M37" s="2" t="s">
        <v>442</v>
      </c>
      <c r="N37" s="2" t="s">
        <v>5821</v>
      </c>
      <c r="O37" s="13" t="s">
        <v>5898</v>
      </c>
      <c r="P37" s="13" t="s">
        <v>778</v>
      </c>
      <c r="Q37" s="13" t="s">
        <v>19</v>
      </c>
      <c r="R37" s="13" t="s">
        <v>19</v>
      </c>
      <c r="S37" s="103" t="s">
        <v>3491</v>
      </c>
      <c r="T37" s="13" t="s">
        <v>1095</v>
      </c>
      <c r="U37" s="2" t="s">
        <v>443</v>
      </c>
      <c r="V37" s="13" t="s">
        <v>5894</v>
      </c>
      <c r="W37" s="2" t="str">
        <f>_xlfn.XLOOKUP(Table1[[#This Row],[Source PROD ID]],Prod_fields[ID],Prod_fields[Attribute Name],"0-Not Found",0,1)</f>
        <v>0-Not Found</v>
      </c>
      <c r="X37" s="2" t="str">
        <f>_xlfn.XLOOKUP(Table1[[#This Row],[Target DEV SB ID]],New_fields[ID],New_fields[Attribute Name],"0-Not Found",0,1)</f>
        <v>Primary Impacted Portfolio</v>
      </c>
      <c r="Y37" s="2" t="b">
        <f>Table1[[#This Row],[Prod Source field name]]=Table1[[#This Row],[New instance Target field name]]</f>
        <v>0</v>
      </c>
      <c r="Z37" s="2" t="b">
        <f>Table1[[#This Row],[Target Field Name]]=Table1[[#This Row],[New instance Target field name]]</f>
        <v>1</v>
      </c>
      <c r="AA37" s="2" t="s">
        <v>363</v>
      </c>
      <c r="AB37" s="2" t="s">
        <v>539</v>
      </c>
      <c r="AC37" s="2" t="s">
        <v>32</v>
      </c>
      <c r="AD37" s="2" t="s">
        <v>33</v>
      </c>
      <c r="AE37" s="5" t="str">
        <f>_xlfn.TEXTJOIN(CHAR(10),TRUE,VAL_wbs155_portfolio[])</f>
        <v>Commercial
Enterprise Services
Platforms
Supply Chain Operations</v>
      </c>
      <c r="AF37" s="5" t="s">
        <v>6025</v>
      </c>
      <c r="AG37" s="5" t="s">
        <v>540</v>
      </c>
      <c r="AH37" s="5" t="s">
        <v>33</v>
      </c>
      <c r="AI37" s="5" t="s">
        <v>1095</v>
      </c>
      <c r="AJ37" s="5" t="s">
        <v>1095</v>
      </c>
      <c r="AK37" s="5" t="s">
        <v>1095</v>
      </c>
      <c r="AL37" s="5" t="s">
        <v>20</v>
      </c>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row>
    <row r="38" spans="1:60" ht="55.2" x14ac:dyDescent="0.3">
      <c r="A38" s="4" t="s">
        <v>385</v>
      </c>
      <c r="B38" s="4" t="s">
        <v>738</v>
      </c>
      <c r="C38" s="4" t="s">
        <v>734</v>
      </c>
      <c r="D38" s="4" t="s">
        <v>5932</v>
      </c>
      <c r="E38" s="4" t="s">
        <v>1095</v>
      </c>
      <c r="F38" s="4" t="s">
        <v>736</v>
      </c>
      <c r="G38" s="2" t="s">
        <v>15</v>
      </c>
      <c r="H38" s="2">
        <v>35</v>
      </c>
      <c r="I38" s="2" t="s">
        <v>386</v>
      </c>
      <c r="J38" s="2"/>
      <c r="K38" s="2"/>
      <c r="L38" s="2" t="str">
        <f>_xlfn.TEXTJOIN("|",FALSE,Table1[[#This Row],[Target Entity]],Table1[[#This Row],[Target DEV SB ID]])</f>
        <v>|Wbs156</v>
      </c>
      <c r="M38" s="2" t="s">
        <v>444</v>
      </c>
      <c r="N38" s="2" t="s">
        <v>5821</v>
      </c>
      <c r="O38" s="13" t="s">
        <v>5898</v>
      </c>
      <c r="P38" s="13" t="s">
        <v>779</v>
      </c>
      <c r="Q38" s="13" t="s">
        <v>33</v>
      </c>
      <c r="R38" s="13" t="s">
        <v>780</v>
      </c>
      <c r="S38" s="2" t="s">
        <v>445</v>
      </c>
      <c r="T38" s="2" t="s">
        <v>445</v>
      </c>
      <c r="U38" s="2" t="s">
        <v>446</v>
      </c>
      <c r="V38" s="13" t="s">
        <v>5902</v>
      </c>
      <c r="W38" s="2" t="str">
        <f>_xlfn.XLOOKUP(Table1[[#This Row],[Source PROD ID]],Prod_fields[ID],Prod_fields[Attribute Name],"0-Not Found",0,1)</f>
        <v>Impacted Portfolios</v>
      </c>
      <c r="X38" s="2" t="str">
        <f>_xlfn.XLOOKUP(Table1[[#This Row],[Target DEV SB ID]],New_fields[ID],New_fields[Attribute Name],"0-Not Found",0,1)</f>
        <v>Other Impacted Portfolios</v>
      </c>
      <c r="Y38" s="2" t="b">
        <f>Table1[[#This Row],[Prod Source field name]]=Table1[[#This Row],[New instance Target field name]]</f>
        <v>0</v>
      </c>
      <c r="Z38" s="2" t="b">
        <f>Table1[[#This Row],[Target Field Name]]=Table1[[#This Row],[New instance Target field name]]</f>
        <v>1</v>
      </c>
      <c r="AA38" s="2" t="s">
        <v>363</v>
      </c>
      <c r="AB38" s="2" t="s">
        <v>539</v>
      </c>
      <c r="AC38" s="2" t="s">
        <v>35</v>
      </c>
      <c r="AD38" s="2" t="s">
        <v>33</v>
      </c>
      <c r="AE38" s="5" t="str">
        <f>_xlfn.TEXTJOIN(CHAR(10),TRUE,VAL_wbs156_portfolio_other[])</f>
        <v>Commercial
Enterprise Services
Platforms
Supply Chain Operations</v>
      </c>
      <c r="AF38" s="5" t="s">
        <v>6026</v>
      </c>
      <c r="AG38" s="5" t="s">
        <v>318</v>
      </c>
      <c r="AH38" s="5" t="s">
        <v>33</v>
      </c>
      <c r="AI38" s="5" t="s">
        <v>1095</v>
      </c>
      <c r="AJ38" s="5" t="s">
        <v>1095</v>
      </c>
      <c r="AK38" s="5" t="s">
        <v>1095</v>
      </c>
      <c r="AL38" s="5" t="s">
        <v>20</v>
      </c>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row>
    <row r="39" spans="1:60" ht="331.2" x14ac:dyDescent="0.3">
      <c r="A39" s="4" t="s">
        <v>385</v>
      </c>
      <c r="B39" s="4" t="s">
        <v>1095</v>
      </c>
      <c r="C39" s="4" t="s">
        <v>734</v>
      </c>
      <c r="D39" s="4" t="s">
        <v>5932</v>
      </c>
      <c r="E39" s="4" t="s">
        <v>1095</v>
      </c>
      <c r="F39" s="4" t="s">
        <v>736</v>
      </c>
      <c r="G39" s="2" t="s">
        <v>15</v>
      </c>
      <c r="H39" s="2">
        <v>36</v>
      </c>
      <c r="I39" s="2" t="s">
        <v>386</v>
      </c>
      <c r="J39" s="2"/>
      <c r="K39" s="2"/>
      <c r="L39" s="2" t="str">
        <f>_xlfn.TEXTJOIN("|",FALSE,Table1[[#This Row],[Target Entity]],Table1[[#This Row],[Target DEV SB ID]])</f>
        <v>|Wbs169</v>
      </c>
      <c r="M39" s="2" t="s">
        <v>447</v>
      </c>
      <c r="N39" s="2" t="s">
        <v>5821</v>
      </c>
      <c r="O39" s="2"/>
      <c r="P39" s="2" t="s">
        <v>779</v>
      </c>
      <c r="Q39" s="2" t="s">
        <v>1095</v>
      </c>
      <c r="R39" s="2" t="s">
        <v>1095</v>
      </c>
      <c r="S39" s="103" t="s">
        <v>5920</v>
      </c>
      <c r="T39" s="13" t="s">
        <v>1095</v>
      </c>
      <c r="U39" s="2" t="s">
        <v>448</v>
      </c>
      <c r="V39" s="13" t="s">
        <v>5927</v>
      </c>
      <c r="W39" s="2" t="str">
        <f>_xlfn.XLOOKUP(Table1[[#This Row],[Source PROD ID]],Prod_fields[ID],Prod_fields[Attribute Name],"0-Not Found",0,1)</f>
        <v>Demand Domain or Portfolio</v>
      </c>
      <c r="X39" s="2" t="str">
        <f>_xlfn.XLOOKUP(Table1[[#This Row],[Target DEV SB ID]],New_fields[ID],New_fields[Attribute Name],"0-Not Found",0,1)</f>
        <v>What Business Unit does this request support?</v>
      </c>
      <c r="Y39" s="2" t="b">
        <f>Table1[[#This Row],[Prod Source field name]]=Table1[[#This Row],[New instance Target field name]]</f>
        <v>0</v>
      </c>
      <c r="Z39" s="2" t="b">
        <f>Table1[[#This Row],[Target Field Name]]=Table1[[#This Row],[New instance Target field name]]</f>
        <v>1</v>
      </c>
      <c r="AA39" s="2" t="s">
        <v>363</v>
      </c>
      <c r="AB39" s="2" t="s">
        <v>539</v>
      </c>
      <c r="AC39" s="2" t="s">
        <v>32</v>
      </c>
      <c r="AD39" s="2" t="s">
        <v>33</v>
      </c>
      <c r="AE39" s="5" t="str">
        <f>_xlfn.TEXTJOIN(CHAR(10),TRUE,VAL_wbs168_BU[])</f>
        <v>Airline
Americas International
APAC
Commercial
Data and Tech
Dock
Europe
Freight
Global Air Hubs &amp; Ramps
Global Capabilities Strategy
Global Clearance
Linehaul
MEISA
Network 2.0
None
P&amp;D
Revenue Growth
Robotics/Physical AI
Safety
Service
SG&amp;A
Surface Fleet and Support Equipment
Surface Operations
Tricolor</v>
      </c>
      <c r="AF39" s="5" t="s">
        <v>1095</v>
      </c>
      <c r="AG39" s="5" t="s">
        <v>540</v>
      </c>
      <c r="AH39" s="5" t="s">
        <v>1095</v>
      </c>
      <c r="AI39" s="5" t="s">
        <v>1095</v>
      </c>
      <c r="AJ39" s="5" t="s">
        <v>1095</v>
      </c>
      <c r="AK39" s="5" t="s">
        <v>1095</v>
      </c>
      <c r="AL39" s="5" t="s">
        <v>20</v>
      </c>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row>
    <row r="40" spans="1:60" ht="55.2" x14ac:dyDescent="0.3">
      <c r="A40" s="4" t="s">
        <v>385</v>
      </c>
      <c r="B40" s="4" t="s">
        <v>738</v>
      </c>
      <c r="C40" s="4" t="s">
        <v>734</v>
      </c>
      <c r="D40" s="4" t="s">
        <v>5932</v>
      </c>
      <c r="E40" s="4" t="s">
        <v>1095</v>
      </c>
      <c r="F40" s="4" t="s">
        <v>736</v>
      </c>
      <c r="G40" s="2" t="s">
        <v>15</v>
      </c>
      <c r="H40" s="2">
        <v>37</v>
      </c>
      <c r="I40" s="2" t="s">
        <v>386</v>
      </c>
      <c r="J40" s="2"/>
      <c r="K40" s="2"/>
      <c r="L40" s="2" t="str">
        <f>_xlfn.TEXTJOIN("|",FALSE,Table1[[#This Row],[Target Entity]],Table1[[#This Row],[Target DEV SB ID]])</f>
        <v>|WR46</v>
      </c>
      <c r="M40" s="2" t="s">
        <v>5921</v>
      </c>
      <c r="N40" s="2" t="s">
        <v>5815</v>
      </c>
      <c r="O40" s="13" t="s">
        <v>5928</v>
      </c>
      <c r="P40" s="13" t="s">
        <v>783</v>
      </c>
      <c r="Q40" s="13" t="s">
        <v>33</v>
      </c>
      <c r="R40" s="13" t="s">
        <v>33</v>
      </c>
      <c r="S40" s="2" t="s">
        <v>450</v>
      </c>
      <c r="T40" s="2" t="s">
        <v>450</v>
      </c>
      <c r="U40" s="2" t="s">
        <v>450</v>
      </c>
      <c r="V40" s="2"/>
      <c r="W40" s="2" t="str">
        <f>_xlfn.XLOOKUP(Table1[[#This Row],[Source PROD ID]],Prod_fields[ID],Prod_fields[Attribute Name],"0-Not Found",0,1)</f>
        <v>Submit for Triage</v>
      </c>
      <c r="X40" s="2" t="str">
        <f>_xlfn.XLOOKUP(Table1[[#This Row],[Target DEV SB ID]],New_fields[ID],New_fields[Attribute Name],"0-Not Found",0,1)</f>
        <v>Submit for Triage</v>
      </c>
      <c r="Y40" s="2" t="b">
        <f>Table1[[#This Row],[Prod Source field name]]=Table1[[#This Row],[New instance Target field name]]</f>
        <v>1</v>
      </c>
      <c r="Z40" s="2" t="b">
        <f>Table1[[#This Row],[Target Field Name]]=Table1[[#This Row],[New instance Target field name]]</f>
        <v>0</v>
      </c>
      <c r="AA40" s="2" t="s">
        <v>363</v>
      </c>
      <c r="AB40" s="2" t="s">
        <v>539</v>
      </c>
      <c r="AC40" s="2" t="s">
        <v>32</v>
      </c>
      <c r="AD40" s="2" t="s">
        <v>33</v>
      </c>
      <c r="AE40" s="5" t="str">
        <f>_xlfn.TEXTJOIN(CHAR(10),TRUE,VAL_WR46_Triage[])</f>
        <v>Yes</v>
      </c>
      <c r="AF40" s="5" t="s">
        <v>6027</v>
      </c>
      <c r="AG40" s="5" t="s">
        <v>540</v>
      </c>
      <c r="AH40" s="5" t="s">
        <v>19</v>
      </c>
      <c r="AI40" s="5" t="s">
        <v>1095</v>
      </c>
      <c r="AJ40" s="5" t="s">
        <v>1095</v>
      </c>
      <c r="AK40" s="5" t="s">
        <v>1095</v>
      </c>
      <c r="AL40" s="5" t="s">
        <v>20</v>
      </c>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row>
    <row r="41" spans="1:60" ht="69" x14ac:dyDescent="0.3">
      <c r="A41" s="4" t="s">
        <v>385</v>
      </c>
      <c r="B41" s="4" t="s">
        <v>738</v>
      </c>
      <c r="C41" s="4" t="s">
        <v>784</v>
      </c>
      <c r="D41" s="4" t="s">
        <v>785</v>
      </c>
      <c r="E41" s="4" t="s">
        <v>1095</v>
      </c>
      <c r="F41" s="4" t="s">
        <v>786</v>
      </c>
      <c r="G41" s="2" t="s">
        <v>15</v>
      </c>
      <c r="H41" s="2">
        <v>38</v>
      </c>
      <c r="I41" s="2" t="s">
        <v>386</v>
      </c>
      <c r="J41" s="2"/>
      <c r="K41" s="2"/>
      <c r="L41" s="2" t="str">
        <f>_xlfn.TEXTJOIN("|",FALSE,Table1[[#This Row],[Target Entity]],Table1[[#This Row],[Target DEV SB ID]])</f>
        <v>|Wbs160</v>
      </c>
      <c r="M41" s="2" t="s">
        <v>451</v>
      </c>
      <c r="N41" s="2" t="s">
        <v>5821</v>
      </c>
      <c r="O41" s="2"/>
      <c r="P41" s="2" t="s">
        <v>788</v>
      </c>
      <c r="Q41" s="2" t="s">
        <v>19</v>
      </c>
      <c r="R41" s="2" t="s">
        <v>19</v>
      </c>
      <c r="S41" s="102" t="s">
        <v>2429</v>
      </c>
      <c r="T41" s="2" t="s">
        <v>1095</v>
      </c>
      <c r="U41" s="2" t="s">
        <v>452</v>
      </c>
      <c r="V41" s="2" t="s">
        <v>5941</v>
      </c>
      <c r="W41" s="2" t="str">
        <f>_xlfn.XLOOKUP(Table1[[#This Row],[Source PROD ID]],Prod_fields[ID],Prod_fields[Attribute Name],"0-Not Found",0,1)</f>
        <v>Is this request vital to business continuity?</v>
      </c>
      <c r="X41" s="2" t="str">
        <f>_xlfn.XLOOKUP(Table1[[#This Row],[Target DEV SB ID]],New_fields[ID],New_fields[Attribute Name],"0-Not Found",0,1)</f>
        <v>Is this non-discretionary demand vital to business continuity?</v>
      </c>
      <c r="Y41" s="2" t="b">
        <f>Table1[[#This Row],[Prod Source field name]]=Table1[[#This Row],[New instance Target field name]]</f>
        <v>0</v>
      </c>
      <c r="Z41" s="2" t="b">
        <f>Table1[[#This Row],[Target Field Name]]=Table1[[#This Row],[New instance Target field name]]</f>
        <v>1</v>
      </c>
      <c r="AA41" s="2" t="s">
        <v>363</v>
      </c>
      <c r="AB41" s="2" t="s">
        <v>539</v>
      </c>
      <c r="AC41" s="2" t="s">
        <v>32</v>
      </c>
      <c r="AD41" s="2" t="s">
        <v>33</v>
      </c>
      <c r="AE41" s="5" t="str">
        <f>_xlfn.TEXTJOIN(CHAR(10),TRUE,VAL_wbs160_vital[])</f>
        <v>Yes
No</v>
      </c>
      <c r="AF41" s="5" t="s">
        <v>6028</v>
      </c>
      <c r="AG41" s="5" t="s">
        <v>540</v>
      </c>
      <c r="AH41" s="5" t="s">
        <v>1095</v>
      </c>
      <c r="AI41" s="5" t="s">
        <v>1095</v>
      </c>
      <c r="AJ41" s="5" t="s">
        <v>1095</v>
      </c>
      <c r="AK41" s="5" t="s">
        <v>1095</v>
      </c>
      <c r="AL41" s="5" t="s">
        <v>20</v>
      </c>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row>
    <row r="42" spans="1:60" ht="69" x14ac:dyDescent="0.3">
      <c r="A42" s="4" t="s">
        <v>385</v>
      </c>
      <c r="B42" s="4" t="s">
        <v>738</v>
      </c>
      <c r="C42" s="4" t="s">
        <v>784</v>
      </c>
      <c r="D42" s="4" t="s">
        <v>785</v>
      </c>
      <c r="E42" s="4" t="s">
        <v>1095</v>
      </c>
      <c r="F42" s="4" t="s">
        <v>786</v>
      </c>
      <c r="G42" s="2" t="s">
        <v>15</v>
      </c>
      <c r="H42" s="2">
        <v>39</v>
      </c>
      <c r="I42" s="2" t="s">
        <v>386</v>
      </c>
      <c r="J42" s="2"/>
      <c r="K42" s="2"/>
      <c r="L42" s="2" t="str">
        <f>_xlfn.TEXTJOIN("|",FALSE,Table1[[#This Row],[Target Entity]],Table1[[#This Row],[Target DEV SB ID]])</f>
        <v>|Wbs161</v>
      </c>
      <c r="M42" s="2" t="s">
        <v>3422</v>
      </c>
      <c r="N42" s="2" t="s">
        <v>5821</v>
      </c>
      <c r="O42" s="2"/>
      <c r="P42" s="2" t="s">
        <v>790</v>
      </c>
      <c r="Q42" s="2" t="s">
        <v>19</v>
      </c>
      <c r="R42" s="2" t="s">
        <v>19</v>
      </c>
      <c r="S42" s="13" t="s">
        <v>3491</v>
      </c>
      <c r="T42" s="13" t="s">
        <v>1095</v>
      </c>
      <c r="U42" s="2" t="s">
        <v>454</v>
      </c>
      <c r="V42" s="2" t="s">
        <v>5946</v>
      </c>
      <c r="W42" s="2" t="str">
        <f>_xlfn.XLOOKUP(Table1[[#This Row],[Source PROD ID]],Prod_fields[ID],Prod_fields[Attribute Name],"0-Not Found",0,1)</f>
        <v>0-Not Found</v>
      </c>
      <c r="X42" s="2" t="str">
        <f>_xlfn.XLOOKUP(Table1[[#This Row],[Target DEV SB ID]],New_fields[ID],New_fields[Attribute Name],"0-Not Found",0,1)</f>
        <v>Business Case Requirements</v>
      </c>
      <c r="Y42" s="2" t="b">
        <f>Table1[[#This Row],[Prod Source field name]]=Table1[[#This Row],[New instance Target field name]]</f>
        <v>0</v>
      </c>
      <c r="Z42" s="2" t="b">
        <f>Table1[[#This Row],[Target Field Name]]=Table1[[#This Row],[New instance Target field name]]</f>
        <v>1</v>
      </c>
      <c r="AA42" s="2" t="s">
        <v>363</v>
      </c>
      <c r="AB42" s="2" t="s">
        <v>539</v>
      </c>
      <c r="AC42" s="2" t="s">
        <v>32</v>
      </c>
      <c r="AD42" s="2" t="s">
        <v>33</v>
      </c>
      <c r="AE42" s="5" t="str">
        <f>_xlfn.TEXTJOIN(CHAR(10),TRUE,VAL_wbs161_businesscase[])</f>
        <v xml:space="preserve">Certified 
Value Statement
None </v>
      </c>
      <c r="AF42" s="5" t="s">
        <v>6029</v>
      </c>
      <c r="AG42" s="5" t="s">
        <v>540</v>
      </c>
      <c r="AH42" s="5" t="s">
        <v>1095</v>
      </c>
      <c r="AI42" s="5" t="s">
        <v>1095</v>
      </c>
      <c r="AJ42" s="5" t="s">
        <v>1095</v>
      </c>
      <c r="AK42" s="5" t="s">
        <v>1095</v>
      </c>
      <c r="AL42" s="5" t="s">
        <v>20</v>
      </c>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row>
    <row r="43" spans="1:60" ht="49.95" customHeight="1" x14ac:dyDescent="0.3">
      <c r="A43" s="4" t="s">
        <v>385</v>
      </c>
      <c r="B43" s="4" t="s">
        <v>738</v>
      </c>
      <c r="C43" s="4" t="s">
        <v>784</v>
      </c>
      <c r="D43" s="4" t="s">
        <v>785</v>
      </c>
      <c r="E43" s="4" t="s">
        <v>1095</v>
      </c>
      <c r="F43" s="4" t="s">
        <v>786</v>
      </c>
      <c r="G43" s="2" t="s">
        <v>15</v>
      </c>
      <c r="H43" s="2">
        <v>40</v>
      </c>
      <c r="I43" s="2" t="s">
        <v>386</v>
      </c>
      <c r="J43" s="2"/>
      <c r="K43" s="2"/>
      <c r="L43" s="2" t="str">
        <f>_xlfn.TEXTJOIN("|",FALSE,Table1[[#This Row],[Target Entity]],Table1[[#This Row],[Target DEV SB ID]])</f>
        <v>|Wbs162</v>
      </c>
      <c r="M43" s="2" t="s">
        <v>455</v>
      </c>
      <c r="N43" s="2" t="s">
        <v>5821</v>
      </c>
      <c r="O43" s="2"/>
      <c r="P43" s="2" t="s">
        <v>1095</v>
      </c>
      <c r="Q43" s="2" t="s">
        <v>19</v>
      </c>
      <c r="R43" s="2" t="s">
        <v>19</v>
      </c>
      <c r="S43" s="13" t="s">
        <v>3491</v>
      </c>
      <c r="T43" s="13" t="s">
        <v>1095</v>
      </c>
      <c r="U43" s="2" t="s">
        <v>456</v>
      </c>
      <c r="V43" s="2" t="s">
        <v>5946</v>
      </c>
      <c r="W43" s="2" t="str">
        <f>_xlfn.XLOOKUP(Table1[[#This Row],[Source PROD ID]],Prod_fields[ID],Prod_fields[Attribute Name],"0-Not Found",0,1)</f>
        <v>0-Not Found</v>
      </c>
      <c r="X43" s="2" t="str">
        <f>_xlfn.XLOOKUP(Table1[[#This Row],[Target DEV SB ID]],New_fields[ID],New_fields[Attribute Name],"0-Not Found",0,1)</f>
        <v>Level of Architecture</v>
      </c>
      <c r="Y43" s="2" t="b">
        <f>Table1[[#This Row],[Prod Source field name]]=Table1[[#This Row],[New instance Target field name]]</f>
        <v>0</v>
      </c>
      <c r="Z43" s="2" t="b">
        <f>Table1[[#This Row],[Target Field Name]]=Table1[[#This Row],[New instance Target field name]]</f>
        <v>1</v>
      </c>
      <c r="AA43" s="2" t="s">
        <v>363</v>
      </c>
      <c r="AB43" s="2" t="s">
        <v>539</v>
      </c>
      <c r="AC43" s="2" t="s">
        <v>32</v>
      </c>
      <c r="AD43" s="2" t="s">
        <v>33</v>
      </c>
      <c r="AE43" s="5" t="str">
        <f>_xlfn.TEXTJOIN(CHAR(10),TRUE,VAL_wbs162_architecturelevel[])</f>
        <v>Enterprise Architecture Led
Enterprise Technology Architecture Led (future use)
Portfolio Led</v>
      </c>
      <c r="AF43" s="5" t="s">
        <v>6030</v>
      </c>
      <c r="AG43" s="5" t="s">
        <v>540</v>
      </c>
      <c r="AH43" s="5" t="s">
        <v>1095</v>
      </c>
      <c r="AI43" s="5" t="s">
        <v>1095</v>
      </c>
      <c r="AJ43" s="5" t="s">
        <v>1095</v>
      </c>
      <c r="AK43" s="5" t="s">
        <v>1095</v>
      </c>
      <c r="AL43" s="5" t="s">
        <v>20</v>
      </c>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row>
    <row r="44" spans="1:60" ht="409.6" x14ac:dyDescent="0.3">
      <c r="A44" s="4" t="s">
        <v>385</v>
      </c>
      <c r="B44" s="4" t="s">
        <v>797</v>
      </c>
      <c r="C44" s="4" t="s">
        <v>792</v>
      </c>
      <c r="D44" s="4" t="s">
        <v>785</v>
      </c>
      <c r="E44" s="4" t="s">
        <v>1095</v>
      </c>
      <c r="F44" s="4" t="s">
        <v>786</v>
      </c>
      <c r="G44" s="2" t="s">
        <v>15</v>
      </c>
      <c r="H44" s="2">
        <v>41</v>
      </c>
      <c r="I44" s="2" t="s">
        <v>386</v>
      </c>
      <c r="J44" s="2"/>
      <c r="K44" s="2"/>
      <c r="L44" s="2" t="str">
        <f>_xlfn.TEXTJOIN("|",FALSE,Table1[[#This Row],[Target Entity]],Table1[[#This Row],[Target DEV SB ID]])</f>
        <v>|WR50</v>
      </c>
      <c r="M44" s="2" t="s">
        <v>457</v>
      </c>
      <c r="N44" s="2" t="s">
        <v>5815</v>
      </c>
      <c r="O44" s="13" t="s">
        <v>5928</v>
      </c>
      <c r="P44" s="13" t="s">
        <v>796</v>
      </c>
      <c r="Q44" s="13" t="s">
        <v>33</v>
      </c>
      <c r="R44" s="13" t="s">
        <v>33</v>
      </c>
      <c r="S44" s="2" t="s">
        <v>458</v>
      </c>
      <c r="T44" s="2" t="s">
        <v>458</v>
      </c>
      <c r="U44" s="2" t="s">
        <v>458</v>
      </c>
      <c r="V44" s="13" t="s">
        <v>5845</v>
      </c>
      <c r="W44" s="2" t="str">
        <f>_xlfn.XLOOKUP(Table1[[#This Row],[Source PROD ID]],Prod_fields[ID],Prod_fields[Attribute Name],"0-Not Found",0,1)</f>
        <v>Impacts Value Prop or Risk to Customer Service?</v>
      </c>
      <c r="X44" s="2" t="str">
        <f>_xlfn.XLOOKUP(Table1[[#This Row],[Target DEV SB ID]],New_fields[ID],New_fields[Attribute Name],"0-Not Found",0,1)</f>
        <v>Impacts Value Prop or Risk to Customer Service?</v>
      </c>
      <c r="Y44" s="2" t="b">
        <f>Table1[[#This Row],[Prod Source field name]]=Table1[[#This Row],[New instance Target field name]]</f>
        <v>1</v>
      </c>
      <c r="Z44" s="2" t="b">
        <f>Table1[[#This Row],[Target Field Name]]=Table1[[#This Row],[New instance Target field name]]</f>
        <v>0</v>
      </c>
      <c r="AA44" s="2" t="s">
        <v>363</v>
      </c>
      <c r="AB44" s="2" t="s">
        <v>539</v>
      </c>
      <c r="AC44" s="2" t="s">
        <v>32</v>
      </c>
      <c r="AD44" s="2" t="s">
        <v>33</v>
      </c>
      <c r="AE44" s="5" t="str">
        <f>_xlfn.TEXTJOIN(CHAR(10),TRUE,VAL_wr50_valueprop[])</f>
        <v>Yes
No</v>
      </c>
      <c r="AF44" s="5" t="s">
        <v>6031</v>
      </c>
      <c r="AG44" s="5" t="s">
        <v>540</v>
      </c>
      <c r="AH44" s="5" t="s">
        <v>795</v>
      </c>
      <c r="AI44" s="5" t="s">
        <v>33</v>
      </c>
      <c r="AJ44" s="5" t="s">
        <v>470</v>
      </c>
      <c r="AK44" s="5" t="s">
        <v>19</v>
      </c>
      <c r="AL44" s="5" t="s">
        <v>20</v>
      </c>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row>
    <row r="45" spans="1:60" ht="179.4" x14ac:dyDescent="0.3">
      <c r="A45" s="4" t="s">
        <v>385</v>
      </c>
      <c r="B45" s="4" t="s">
        <v>738</v>
      </c>
      <c r="C45" s="4" t="s">
        <v>784</v>
      </c>
      <c r="D45" s="4" t="s">
        <v>785</v>
      </c>
      <c r="E45" s="4" t="s">
        <v>1095</v>
      </c>
      <c r="F45" s="4" t="s">
        <v>786</v>
      </c>
      <c r="G45" s="2" t="s">
        <v>15</v>
      </c>
      <c r="H45" s="2">
        <v>42</v>
      </c>
      <c r="I45" s="2" t="s">
        <v>386</v>
      </c>
      <c r="J45" s="2"/>
      <c r="K45" s="2"/>
      <c r="L45" s="2" t="str">
        <f>_xlfn.TEXTJOIN("|",FALSE,Table1[[#This Row],[Target Entity]],Table1[[#This Row],[Target DEV SB ID]])</f>
        <v>|Wbs86</v>
      </c>
      <c r="M45" s="2" t="s">
        <v>459</v>
      </c>
      <c r="N45" s="2" t="s">
        <v>5821</v>
      </c>
      <c r="O45" s="2"/>
      <c r="P45" s="2" t="s">
        <v>1095</v>
      </c>
      <c r="Q45" s="2" t="s">
        <v>19</v>
      </c>
      <c r="R45" s="2" t="s">
        <v>19</v>
      </c>
      <c r="S45" s="2" t="s">
        <v>5953</v>
      </c>
      <c r="T45" s="2" t="s">
        <v>1095</v>
      </c>
      <c r="U45" s="2" t="s">
        <v>460</v>
      </c>
      <c r="V45" s="2" t="s">
        <v>5955</v>
      </c>
      <c r="W45" s="2" t="str">
        <f>_xlfn.XLOOKUP(Table1[[#This Row],[Source PROD ID]],Prod_fields[ID],Prod_fields[Attribute Name],"0-Not Found",0,1)</f>
        <v>Governance Level</v>
      </c>
      <c r="X45" s="2" t="str">
        <f>_xlfn.XLOOKUP(Table1[[#This Row],[Target DEV SB ID]],New_fields[ID],New_fields[Attribute Name],"0-Not Found",0,1)</f>
        <v>Level of Governance</v>
      </c>
      <c r="Y45" s="2" t="b">
        <f>Table1[[#This Row],[Prod Source field name]]=Table1[[#This Row],[New instance Target field name]]</f>
        <v>0</v>
      </c>
      <c r="Z45" s="2" t="b">
        <f>Table1[[#This Row],[Target Field Name]]=Table1[[#This Row],[New instance Target field name]]</f>
        <v>1</v>
      </c>
      <c r="AA45" s="2" t="s">
        <v>363</v>
      </c>
      <c r="AB45" s="2" t="s">
        <v>539</v>
      </c>
      <c r="AC45" s="2" t="s">
        <v>32</v>
      </c>
      <c r="AD45" s="2" t="s">
        <v>33</v>
      </c>
      <c r="AE45" s="5" t="str">
        <f>_xlfn.TEXTJOIN(CHAR(10),TRUE,VAL_wbs86_governancelevel[])</f>
        <v>Portfolio Execution Leadership
Enterprise Portfolio Governance</v>
      </c>
      <c r="AF45" s="5" t="s">
        <v>6032</v>
      </c>
      <c r="AG45" s="5" t="s">
        <v>540</v>
      </c>
      <c r="AH45" s="5" t="s">
        <v>19</v>
      </c>
      <c r="AI45" s="5" t="s">
        <v>1095</v>
      </c>
      <c r="AJ45" s="5" t="s">
        <v>1095</v>
      </c>
      <c r="AK45" s="5" t="s">
        <v>1095</v>
      </c>
      <c r="AL45" s="5" t="s">
        <v>20</v>
      </c>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row>
    <row r="46" spans="1:60" ht="69" x14ac:dyDescent="0.3">
      <c r="A46" s="4" t="s">
        <v>385</v>
      </c>
      <c r="B46" s="4" t="s">
        <v>738</v>
      </c>
      <c r="C46" s="4" t="s">
        <v>784</v>
      </c>
      <c r="D46" s="4" t="s">
        <v>785</v>
      </c>
      <c r="E46" s="4" t="s">
        <v>1095</v>
      </c>
      <c r="F46" s="4" t="s">
        <v>786</v>
      </c>
      <c r="G46" s="2" t="s">
        <v>15</v>
      </c>
      <c r="H46" s="2">
        <v>43</v>
      </c>
      <c r="I46" s="2" t="s">
        <v>386</v>
      </c>
      <c r="J46" s="2"/>
      <c r="K46" s="2"/>
      <c r="L46" s="2" t="str">
        <f>_xlfn.TEXTJOIN("|",FALSE,Table1[[#This Row],[Target Entity]],Table1[[#This Row],[Target DEV SB ID]])</f>
        <v>|Wbs163</v>
      </c>
      <c r="M46" s="2" t="s">
        <v>3473</v>
      </c>
      <c r="N46" s="2" t="s">
        <v>5821</v>
      </c>
      <c r="O46" s="2"/>
      <c r="P46" s="2" t="s">
        <v>800</v>
      </c>
      <c r="Q46" s="2" t="s">
        <v>33</v>
      </c>
      <c r="R46" s="2" t="s">
        <v>597</v>
      </c>
      <c r="S46" s="2" t="s">
        <v>462</v>
      </c>
      <c r="T46" s="2" t="s">
        <v>462</v>
      </c>
      <c r="U46" s="2" t="s">
        <v>463</v>
      </c>
      <c r="V46" s="2" t="s">
        <v>5956</v>
      </c>
      <c r="W46" s="2" t="str">
        <f>_xlfn.XLOOKUP(Table1[[#This Row],[Source PROD ID]],Prod_fields[ID],Prod_fields[Attribute Name],"0-Not Found",0,1)</f>
        <v>Ready for SL1?</v>
      </c>
      <c r="X46" s="2" t="str">
        <f>_xlfn.XLOOKUP(Table1[[#This Row],[Target DEV SB ID]],New_fields[ID],New_fields[Attribute Name],"0-Not Found",0,1)</f>
        <v>Triage Decision</v>
      </c>
      <c r="Y46" s="2" t="b">
        <f>Table1[[#This Row],[Prod Source field name]]=Table1[[#This Row],[New instance Target field name]]</f>
        <v>0</v>
      </c>
      <c r="Z46" s="2" t="b">
        <f>Table1[[#This Row],[Target Field Name]]=Table1[[#This Row],[New instance Target field name]]</f>
        <v>1</v>
      </c>
      <c r="AA46" s="2" t="s">
        <v>363</v>
      </c>
      <c r="AB46" s="2" t="s">
        <v>539</v>
      </c>
      <c r="AC46" s="2" t="s">
        <v>32</v>
      </c>
      <c r="AD46" s="2" t="s">
        <v>33</v>
      </c>
      <c r="AE46" s="5" t="str">
        <f>_xlfn.TEXTJOIN(CHAR(10),TRUE,VAL_wbs163_triage[])</f>
        <v>Ready
Not Ready - Feedback Requested
Rejected</v>
      </c>
      <c r="AF46" s="5" t="s">
        <v>1095</v>
      </c>
      <c r="AG46" s="5" t="s">
        <v>540</v>
      </c>
      <c r="AH46" s="5" t="s">
        <v>19</v>
      </c>
      <c r="AI46" s="5" t="s">
        <v>1095</v>
      </c>
      <c r="AJ46" s="5" t="s">
        <v>1095</v>
      </c>
      <c r="AK46" s="5" t="s">
        <v>1095</v>
      </c>
      <c r="AL46" s="5" t="s">
        <v>20</v>
      </c>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row>
    <row r="47" spans="1:60" ht="55.2" x14ac:dyDescent="0.3">
      <c r="A47" s="4" t="s">
        <v>385</v>
      </c>
      <c r="B47" s="4" t="s">
        <v>738</v>
      </c>
      <c r="C47" s="4" t="s">
        <v>784</v>
      </c>
      <c r="D47" s="4" t="s">
        <v>785</v>
      </c>
      <c r="E47" s="4" t="s">
        <v>1095</v>
      </c>
      <c r="F47" s="4" t="s">
        <v>786</v>
      </c>
      <c r="G47" s="2" t="s">
        <v>15</v>
      </c>
      <c r="H47" s="2">
        <v>44</v>
      </c>
      <c r="I47" s="2" t="s">
        <v>386</v>
      </c>
      <c r="J47" s="2"/>
      <c r="K47" s="2"/>
      <c r="L47" s="2" t="str">
        <f>_xlfn.TEXTJOIN("|",FALSE,Table1[[#This Row],[Target Entity]],Table1[[#This Row],[Target DEV SB ID]])</f>
        <v>|fdx_ready_sl1_work</v>
      </c>
      <c r="M47" s="2" t="s">
        <v>464</v>
      </c>
      <c r="N47" s="2" t="s">
        <v>5821</v>
      </c>
      <c r="O47" s="2"/>
      <c r="P47" s="2" t="s">
        <v>1095</v>
      </c>
      <c r="Q47" s="2" t="s">
        <v>33</v>
      </c>
      <c r="R47" s="2" t="s">
        <v>33</v>
      </c>
      <c r="S47" s="2" t="s">
        <v>465</v>
      </c>
      <c r="T47" s="2" t="s">
        <v>465</v>
      </c>
      <c r="U47" s="2" t="s">
        <v>466</v>
      </c>
      <c r="V47" s="2" t="s">
        <v>5957</v>
      </c>
      <c r="W47" s="2" t="str">
        <f>_xlfn.XLOOKUP(Table1[[#This Row],[Source PROD ID]],Prod_fields[ID],Prod_fields[Attribute Name],"0-Not Found",0,1)</f>
        <v>Triage Comments</v>
      </c>
      <c r="X47" s="2" t="str">
        <f>_xlfn.XLOOKUP(Table1[[#This Row],[Target DEV SB ID]],New_fields[ID],New_fields[Attribute Name],"0-Not Found",0,1)</f>
        <v>Triage Comments</v>
      </c>
      <c r="Y47" s="2" t="b">
        <f>Table1[[#This Row],[Prod Source field name]]=Table1[[#This Row],[New instance Target field name]]</f>
        <v>1</v>
      </c>
      <c r="Z47" s="2" t="b">
        <f>Table1[[#This Row],[Target Field Name]]=Table1[[#This Row],[New instance Target field name]]</f>
        <v>1</v>
      </c>
      <c r="AA47" s="2" t="s">
        <v>18</v>
      </c>
      <c r="AB47" s="2" t="s">
        <v>539</v>
      </c>
      <c r="AC47" s="2"/>
      <c r="AD47" s="2" t="s">
        <v>19</v>
      </c>
      <c r="AE47" s="5"/>
      <c r="AF47" s="5" t="s">
        <v>1095</v>
      </c>
      <c r="AG47" s="5" t="s">
        <v>540</v>
      </c>
      <c r="AH47" s="5" t="s">
        <v>1095</v>
      </c>
      <c r="AI47" s="5" t="s">
        <v>1095</v>
      </c>
      <c r="AJ47" s="5" t="s">
        <v>1095</v>
      </c>
      <c r="AK47" s="5" t="s">
        <v>1095</v>
      </c>
      <c r="AL47" s="5" t="s">
        <v>20</v>
      </c>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row>
    <row r="48" spans="1:60" ht="55.2" x14ac:dyDescent="0.3">
      <c r="A48" s="4" t="s">
        <v>385</v>
      </c>
      <c r="B48" s="4" t="s">
        <v>6096</v>
      </c>
      <c r="C48" s="4" t="s">
        <v>6096</v>
      </c>
      <c r="D48" s="4" t="s">
        <v>6096</v>
      </c>
      <c r="E48" s="4" t="s">
        <v>6096</v>
      </c>
      <c r="F48" s="4" t="s">
        <v>6096</v>
      </c>
      <c r="G48" s="2" t="s">
        <v>15</v>
      </c>
      <c r="H48" s="2">
        <v>45</v>
      </c>
      <c r="I48" s="2" t="s">
        <v>386</v>
      </c>
      <c r="J48" s="2"/>
      <c r="K48" s="2"/>
      <c r="L48" s="2" t="str">
        <f>_xlfn.TEXTJOIN("|",FALSE,Table1[[#This Row],[Target Entity]],Table1[[#This Row],[Target DEV SB ID]])</f>
        <v>|</v>
      </c>
      <c r="M48" s="13" t="s">
        <v>3496</v>
      </c>
      <c r="N48" s="13" t="s">
        <v>5827</v>
      </c>
      <c r="O48" s="13"/>
      <c r="P48" s="13" t="s">
        <v>6096</v>
      </c>
      <c r="Q48" s="13" t="s">
        <v>6096</v>
      </c>
      <c r="R48" s="13" t="s">
        <v>6096</v>
      </c>
      <c r="S48" s="13" t="s">
        <v>3491</v>
      </c>
      <c r="T48" s="13"/>
      <c r="U48" s="13"/>
      <c r="V48" s="2"/>
      <c r="W48" s="2" t="str">
        <f>_xlfn.XLOOKUP(Table1[[#This Row],[Source PROD ID]],Prod_fields[ID],Prod_fields[Attribute Name],"0-Not Found",0,1)</f>
        <v>0-Not Found</v>
      </c>
      <c r="X48" s="2" t="str">
        <f>_xlfn.XLOOKUP(Table1[[#This Row],[Target DEV SB ID]],New_fields[ID],New_fields[Attribute Name],"0-Not Found",0,1)</f>
        <v>0-Not Found</v>
      </c>
      <c r="Y48" s="2" t="b">
        <f>Table1[[#This Row],[Prod Source field name]]=Table1[[#This Row],[New instance Target field name]]</f>
        <v>1</v>
      </c>
      <c r="Z48" s="2" t="b">
        <f>Table1[[#This Row],[Target Field Name]]=Table1[[#This Row],[New instance Target field name]]</f>
        <v>0</v>
      </c>
      <c r="AA48" s="2" t="s">
        <v>469</v>
      </c>
      <c r="AB48" s="2" t="s">
        <v>6096</v>
      </c>
      <c r="AC48" s="2"/>
      <c r="AD48" s="2" t="s">
        <v>19</v>
      </c>
      <c r="AE48" s="5"/>
      <c r="AF48" s="5" t="s">
        <v>6096</v>
      </c>
      <c r="AG48" s="5" t="s">
        <v>6096</v>
      </c>
      <c r="AH48" s="5" t="s">
        <v>6096</v>
      </c>
      <c r="AI48" s="5" t="s">
        <v>6096</v>
      </c>
      <c r="AJ48" s="5" t="s">
        <v>6096</v>
      </c>
      <c r="AK48" s="5" t="s">
        <v>6096</v>
      </c>
      <c r="AL48" s="5" t="s">
        <v>20</v>
      </c>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row>
    <row r="49" spans="1:60" ht="82.8" x14ac:dyDescent="0.3">
      <c r="A49" s="4" t="s">
        <v>385</v>
      </c>
      <c r="B49" s="4" t="s">
        <v>738</v>
      </c>
      <c r="C49" s="4" t="s">
        <v>784</v>
      </c>
      <c r="D49" s="4" t="s">
        <v>785</v>
      </c>
      <c r="E49" s="4" t="s">
        <v>1095</v>
      </c>
      <c r="F49" s="4" t="s">
        <v>786</v>
      </c>
      <c r="G49" s="2" t="s">
        <v>15</v>
      </c>
      <c r="H49" s="2">
        <v>46</v>
      </c>
      <c r="I49" s="2" t="s">
        <v>386</v>
      </c>
      <c r="J49" s="13"/>
      <c r="K49" s="13"/>
      <c r="L49" s="13" t="str">
        <f>_xlfn.TEXTJOIN("|",FALSE,Table1[[#This Row],[Target Entity]],Table1[[#This Row],[Target DEV SB ID]])</f>
        <v>|191005</v>
      </c>
      <c r="M49" s="13" t="s">
        <v>3494</v>
      </c>
      <c r="N49" s="13" t="s">
        <v>5815</v>
      </c>
      <c r="O49" s="2" t="s">
        <v>5959</v>
      </c>
      <c r="P49" s="2" t="s">
        <v>801</v>
      </c>
      <c r="Q49" s="2" t="s">
        <v>19</v>
      </c>
      <c r="R49" s="2" t="s">
        <v>19</v>
      </c>
      <c r="S49" s="13" t="s">
        <v>3491</v>
      </c>
      <c r="T49" s="13">
        <v>179115</v>
      </c>
      <c r="U49" s="13">
        <v>191005</v>
      </c>
      <c r="V49" s="13"/>
      <c r="W49" s="13" t="str">
        <f>_xlfn.XLOOKUP(Table1[[#This Row],[Source PROD ID]],Prod_fields[ID],Prod_fields[Attribute Name],"0-Not Found",0,1)</f>
        <v>0-Not Found</v>
      </c>
      <c r="X49" s="13" t="str">
        <f>_xlfn.XLOOKUP(Table1[[#This Row],[Target DEV SB ID]],New_fields[ID],New_fields[Attribute Name],"0-Not Found",0,1)</f>
        <v>0-Not Found</v>
      </c>
      <c r="Y49" s="13" t="b">
        <f>Table1[[#This Row],[Prod Source field name]]=Table1[[#This Row],[New instance Target field name]]</f>
        <v>1</v>
      </c>
      <c r="Z49" s="13" t="b">
        <f>Table1[[#This Row],[Target Field Name]]=Table1[[#This Row],[New instance Target field name]]</f>
        <v>0</v>
      </c>
      <c r="AA49" s="2" t="s">
        <v>469</v>
      </c>
      <c r="AB49" s="2" t="s">
        <v>1095</v>
      </c>
      <c r="AC49" s="2" t="s">
        <v>32</v>
      </c>
      <c r="AD49" s="2" t="s">
        <v>5958</v>
      </c>
      <c r="AE49" s="113"/>
      <c r="AF49" s="113" t="s">
        <v>1095</v>
      </c>
      <c r="AG49" s="113" t="s">
        <v>540</v>
      </c>
      <c r="AH49" s="113" t="s">
        <v>19</v>
      </c>
      <c r="AI49" s="113" t="s">
        <v>5931</v>
      </c>
      <c r="AJ49" s="113" t="s">
        <v>33</v>
      </c>
      <c r="AK49" s="113" t="s">
        <v>1095</v>
      </c>
      <c r="AL49" s="18"/>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row>
    <row r="50" spans="1:60" ht="82.8" x14ac:dyDescent="0.3">
      <c r="A50" s="4" t="s">
        <v>385</v>
      </c>
      <c r="B50" s="4" t="s">
        <v>738</v>
      </c>
      <c r="C50" s="4" t="s">
        <v>784</v>
      </c>
      <c r="D50" s="4" t="s">
        <v>785</v>
      </c>
      <c r="E50" s="4" t="s">
        <v>1095</v>
      </c>
      <c r="F50" s="4" t="s">
        <v>786</v>
      </c>
      <c r="G50" s="2" t="s">
        <v>15</v>
      </c>
      <c r="H50" s="2">
        <v>47</v>
      </c>
      <c r="I50" s="2" t="s">
        <v>386</v>
      </c>
      <c r="J50" s="13"/>
      <c r="K50" s="13"/>
      <c r="L50" s="13" t="str">
        <f>_xlfn.TEXTJOIN("|",FALSE,Table1[[#This Row],[Target Entity]],Table1[[#This Row],[Target DEV SB ID]])</f>
        <v>|96199</v>
      </c>
      <c r="M50" s="13" t="s">
        <v>3495</v>
      </c>
      <c r="N50" s="13" t="s">
        <v>5815</v>
      </c>
      <c r="O50" s="2" t="s">
        <v>5959</v>
      </c>
      <c r="P50" s="2" t="s">
        <v>801</v>
      </c>
      <c r="Q50" s="2" t="s">
        <v>19</v>
      </c>
      <c r="R50" s="2" t="s">
        <v>19</v>
      </c>
      <c r="S50" s="13" t="s">
        <v>2801</v>
      </c>
      <c r="T50" s="13">
        <v>96199</v>
      </c>
      <c r="U50" s="13">
        <v>96199</v>
      </c>
      <c r="V50" s="13"/>
      <c r="W50" s="13" t="str">
        <f>_xlfn.XLOOKUP(Table1[[#This Row],[Source PROD ID]],Prod_fields[ID],Prod_fields[Attribute Name],"0-Not Found",0,1)</f>
        <v>PEO</v>
      </c>
      <c r="X50" s="13" t="str">
        <f>_xlfn.XLOOKUP(Table1[[#This Row],[Target DEV SB ID]],New_fields[ID],New_fields[Attribute Name],"0-Not Found",0,1)</f>
        <v>0-Not Found</v>
      </c>
      <c r="Y50" s="13" t="b">
        <f>Table1[[#This Row],[Prod Source field name]]=Table1[[#This Row],[New instance Target field name]]</f>
        <v>0</v>
      </c>
      <c r="Z50" s="13" t="b">
        <f>Table1[[#This Row],[Target Field Name]]=Table1[[#This Row],[New instance Target field name]]</f>
        <v>0</v>
      </c>
      <c r="AA50" s="2" t="s">
        <v>469</v>
      </c>
      <c r="AB50" s="2" t="s">
        <v>1095</v>
      </c>
      <c r="AC50" s="2" t="s">
        <v>32</v>
      </c>
      <c r="AD50" s="2" t="s">
        <v>5958</v>
      </c>
      <c r="AE50" s="113"/>
      <c r="AF50" s="113" t="s">
        <v>1095</v>
      </c>
      <c r="AG50" s="113" t="s">
        <v>540</v>
      </c>
      <c r="AH50" s="113" t="s">
        <v>19</v>
      </c>
      <c r="AI50" s="113" t="s">
        <v>5931</v>
      </c>
      <c r="AJ50" s="113" t="s">
        <v>33</v>
      </c>
      <c r="AK50" s="113" t="s">
        <v>1095</v>
      </c>
      <c r="AL50" s="18"/>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row>
    <row r="51" spans="1:60" ht="69" x14ac:dyDescent="0.3">
      <c r="A51" s="4" t="s">
        <v>385</v>
      </c>
      <c r="B51" s="4" t="s">
        <v>744</v>
      </c>
      <c r="C51" s="4" t="s">
        <v>808</v>
      </c>
      <c r="D51" s="4" t="s">
        <v>5933</v>
      </c>
      <c r="E51" s="4" t="s">
        <v>1095</v>
      </c>
      <c r="F51" s="4" t="s">
        <v>809</v>
      </c>
      <c r="G51" s="2" t="s">
        <v>15</v>
      </c>
      <c r="H51" s="2">
        <v>48</v>
      </c>
      <c r="I51" s="2" t="s">
        <v>386</v>
      </c>
      <c r="J51" s="2"/>
      <c r="K51" s="2"/>
      <c r="L51" s="2" t="str">
        <f>_xlfn.TEXTJOIN("|",FALSE,Table1[[#This Row],[Target Entity]],Table1[[#This Row],[Target DEV SB ID]])</f>
        <v>|Wbs164</v>
      </c>
      <c r="M51" s="13" t="s">
        <v>3454</v>
      </c>
      <c r="N51" s="13" t="s">
        <v>5821</v>
      </c>
      <c r="O51" s="13"/>
      <c r="P51" s="13" t="s">
        <v>811</v>
      </c>
      <c r="Q51" s="13" t="s">
        <v>812</v>
      </c>
      <c r="R51" s="13" t="s">
        <v>812</v>
      </c>
      <c r="S51" s="2" t="s">
        <v>473</v>
      </c>
      <c r="T51" s="2" t="s">
        <v>473</v>
      </c>
      <c r="U51" s="2" t="s">
        <v>474</v>
      </c>
      <c r="V51" s="13" t="s">
        <v>5845</v>
      </c>
      <c r="W51" s="2" t="str">
        <f>_xlfn.XLOOKUP(Table1[[#This Row],[Source PROD ID]],Prod_fields[ID],Prod_fields[Attribute Name],"0-Not Found",0,1)</f>
        <v>SL1: Approved for L1?</v>
      </c>
      <c r="X51" s="2" t="str">
        <f>_xlfn.XLOOKUP(Table1[[#This Row],[Target DEV SB ID]],New_fields[ID],New_fields[Attribute Name],"0-Not Found",0,1)</f>
        <v>Request Approved?</v>
      </c>
      <c r="Y51" s="2" t="b">
        <f>Table1[[#This Row],[Prod Source field name]]=Table1[[#This Row],[New instance Target field name]]</f>
        <v>0</v>
      </c>
      <c r="Z51" s="2" t="b">
        <f>Table1[[#This Row],[Target Field Name]]=Table1[[#This Row],[New instance Target field name]]</f>
        <v>1</v>
      </c>
      <c r="AA51" s="2" t="s">
        <v>363</v>
      </c>
      <c r="AB51" s="2" t="s">
        <v>539</v>
      </c>
      <c r="AC51" s="2" t="s">
        <v>32</v>
      </c>
      <c r="AD51" s="2" t="s">
        <v>33</v>
      </c>
      <c r="AE51" s="5" t="str">
        <f>_xlfn.TEXTJOIN(CHAR(10),TRUE,VAL_wbs164_requestapproved[])</f>
        <v>Approved
Reject
Not Approved - Feedback Requested</v>
      </c>
      <c r="AF51" s="5" t="s">
        <v>1095</v>
      </c>
      <c r="AG51" s="5" t="s">
        <v>540</v>
      </c>
      <c r="AH51" s="5" t="s">
        <v>19</v>
      </c>
      <c r="AI51" s="5" t="s">
        <v>1095</v>
      </c>
      <c r="AJ51" s="5" t="s">
        <v>1095</v>
      </c>
      <c r="AK51" s="5" t="s">
        <v>1095</v>
      </c>
      <c r="AL51" s="5" t="s">
        <v>20</v>
      </c>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row>
    <row r="52" spans="1:60" ht="69" x14ac:dyDescent="0.3">
      <c r="A52" s="4" t="s">
        <v>385</v>
      </c>
      <c r="B52" s="4" t="s">
        <v>744</v>
      </c>
      <c r="C52" s="4" t="s">
        <v>808</v>
      </c>
      <c r="D52" s="4" t="s">
        <v>5933</v>
      </c>
      <c r="E52" s="4" t="s">
        <v>1095</v>
      </c>
      <c r="F52" s="4" t="s">
        <v>809</v>
      </c>
      <c r="G52" s="2" t="s">
        <v>15</v>
      </c>
      <c r="H52" s="2">
        <v>49</v>
      </c>
      <c r="I52" s="2" t="s">
        <v>386</v>
      </c>
      <c r="J52" s="2"/>
      <c r="K52" s="2"/>
      <c r="L52" s="2" t="str">
        <f>_xlfn.TEXTJOIN("|",FALSE,Table1[[#This Row],[Target Entity]],Table1[[#This Row],[Target DEV SB ID]])</f>
        <v>|fdx_req_apv_dec_note</v>
      </c>
      <c r="M52" s="2" t="s">
        <v>1558</v>
      </c>
      <c r="N52" s="2" t="s">
        <v>5821</v>
      </c>
      <c r="O52" s="2"/>
      <c r="P52" s="2" t="s">
        <v>1095</v>
      </c>
      <c r="Q52" s="2" t="s">
        <v>812</v>
      </c>
      <c r="R52" s="2" t="s">
        <v>812</v>
      </c>
      <c r="S52" s="2" t="s">
        <v>476</v>
      </c>
      <c r="T52" s="2" t="s">
        <v>1095</v>
      </c>
      <c r="U52" s="2" t="s">
        <v>477</v>
      </c>
      <c r="V52" s="2" t="s">
        <v>5957</v>
      </c>
      <c r="W52" s="2" t="str">
        <f>_xlfn.XLOOKUP(Table1[[#This Row],[Source PROD ID]],Prod_fields[ID],Prod_fields[Attribute Name],"0-Not Found",0,1)</f>
        <v>Notes on SL1 Decision</v>
      </c>
      <c r="X52" s="2" t="str">
        <f>_xlfn.XLOOKUP(Table1[[#This Row],[Target DEV SB ID]],New_fields[ID],New_fields[Attribute Name],"0-Not Found",0,1)</f>
        <v>Notes on Request Approval Decision</v>
      </c>
      <c r="Y52" s="2" t="b">
        <f>Table1[[#This Row],[Prod Source field name]]=Table1[[#This Row],[New instance Target field name]]</f>
        <v>0</v>
      </c>
      <c r="Z52" s="2" t="b">
        <f>Table1[[#This Row],[Target Field Name]]=Table1[[#This Row],[New instance Target field name]]</f>
        <v>1</v>
      </c>
      <c r="AA52" s="2" t="s">
        <v>18</v>
      </c>
      <c r="AB52" s="2" t="s">
        <v>539</v>
      </c>
      <c r="AC52" s="2"/>
      <c r="AD52" s="2" t="s">
        <v>19</v>
      </c>
      <c r="AE52" s="5"/>
      <c r="AF52" s="5" t="s">
        <v>1095</v>
      </c>
      <c r="AG52" s="5" t="s">
        <v>540</v>
      </c>
      <c r="AH52" s="5" t="s">
        <v>33</v>
      </c>
      <c r="AI52" s="5" t="s">
        <v>1095</v>
      </c>
      <c r="AJ52" s="5" t="s">
        <v>1095</v>
      </c>
      <c r="AK52" s="5" t="s">
        <v>1095</v>
      </c>
      <c r="AL52" s="5" t="s">
        <v>20</v>
      </c>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row>
    <row r="53" spans="1:60" ht="55.2" x14ac:dyDescent="0.3">
      <c r="A53" s="4" t="s">
        <v>385</v>
      </c>
      <c r="B53" s="4" t="s">
        <v>744</v>
      </c>
      <c r="C53" s="4" t="s">
        <v>1095</v>
      </c>
      <c r="D53" s="4" t="s">
        <v>5934</v>
      </c>
      <c r="E53" s="4" t="s">
        <v>1095</v>
      </c>
      <c r="F53" s="4" t="s">
        <v>786</v>
      </c>
      <c r="G53" s="2" t="s">
        <v>15</v>
      </c>
      <c r="H53" s="2">
        <v>50</v>
      </c>
      <c r="I53" s="2" t="s">
        <v>386</v>
      </c>
      <c r="J53" s="2"/>
      <c r="K53" s="2"/>
      <c r="L53" s="2" t="str">
        <f>_xlfn.TEXTJOIN("|",FALSE,Table1[[#This Row],[Target Entity]],Table1[[#This Row],[Target DEV SB ID]])</f>
        <v>|191248</v>
      </c>
      <c r="M53" s="2" t="s">
        <v>470</v>
      </c>
      <c r="N53" s="2" t="s">
        <v>5821</v>
      </c>
      <c r="O53" s="2"/>
      <c r="P53" s="2" t="s">
        <v>1095</v>
      </c>
      <c r="Q53" s="2" t="s">
        <v>19</v>
      </c>
      <c r="R53" s="2" t="s">
        <v>33</v>
      </c>
      <c r="S53" s="13" t="s">
        <v>3491</v>
      </c>
      <c r="T53" s="13">
        <v>178353</v>
      </c>
      <c r="U53" s="2">
        <v>191248</v>
      </c>
      <c r="V53" s="13" t="s">
        <v>3497</v>
      </c>
      <c r="W53" s="2" t="str">
        <f>_xlfn.XLOOKUP(Table1[[#This Row],[Source PROD ID]],Prod_fields[ID],Prod_fields[Attribute Name],"0-Not Found",0,1)</f>
        <v>0-Not Found</v>
      </c>
      <c r="X53" s="2" t="str">
        <f>_xlfn.XLOOKUP(Table1[[#This Row],[Target DEV SB ID]],New_fields[ID],New_fields[Attribute Name],"0-Not Found",0,1)</f>
        <v>0-Not Found</v>
      </c>
      <c r="Y53" s="2" t="b">
        <f>Table1[[#This Row],[Prod Source field name]]=Table1[[#This Row],[New instance Target field name]]</f>
        <v>1</v>
      </c>
      <c r="Z53" s="2" t="b">
        <f>Table1[[#This Row],[Target Field Name]]=Table1[[#This Row],[New instance Target field name]]</f>
        <v>0</v>
      </c>
      <c r="AA53" s="2" t="s">
        <v>18</v>
      </c>
      <c r="AB53" s="2" t="s">
        <v>539</v>
      </c>
      <c r="AC53" s="2" t="s">
        <v>32</v>
      </c>
      <c r="AD53" s="2" t="s">
        <v>5958</v>
      </c>
      <c r="AE53" s="114"/>
      <c r="AF53" s="114" t="s">
        <v>1095</v>
      </c>
      <c r="AG53" s="114" t="s">
        <v>540</v>
      </c>
      <c r="AH53" s="114" t="s">
        <v>33</v>
      </c>
      <c r="AI53" s="114" t="s">
        <v>1095</v>
      </c>
      <c r="AJ53" s="114" t="s">
        <v>1095</v>
      </c>
      <c r="AK53" s="114" t="s">
        <v>1095</v>
      </c>
      <c r="AL53" s="2" t="s">
        <v>20</v>
      </c>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row>
    <row r="54" spans="1:60" ht="138" x14ac:dyDescent="0.3">
      <c r="A54" s="4" t="s">
        <v>385</v>
      </c>
      <c r="B54" s="4" t="s">
        <v>744</v>
      </c>
      <c r="C54" s="4" t="s">
        <v>1095</v>
      </c>
      <c r="D54" s="4" t="s">
        <v>5934</v>
      </c>
      <c r="E54" s="4" t="s">
        <v>1095</v>
      </c>
      <c r="F54" s="4" t="s">
        <v>802</v>
      </c>
      <c r="G54" s="2" t="s">
        <v>15</v>
      </c>
      <c r="H54" s="2">
        <v>51</v>
      </c>
      <c r="I54" s="2" t="s">
        <v>386</v>
      </c>
      <c r="J54" s="2"/>
      <c r="K54" s="2"/>
      <c r="L54" s="2" t="str">
        <f>_xlfn.TEXTJOIN("|",FALSE,Table1[[#This Row],[Target Entity]],Table1[[#This Row],[Target DEV SB ID]])</f>
        <v>|191004</v>
      </c>
      <c r="M54" s="2" t="s">
        <v>147</v>
      </c>
      <c r="N54" s="2" t="s">
        <v>5821</v>
      </c>
      <c r="O54" s="2"/>
      <c r="P54" s="2" t="s">
        <v>1095</v>
      </c>
      <c r="Q54" s="2" t="s">
        <v>19</v>
      </c>
      <c r="R54" s="2" t="s">
        <v>33</v>
      </c>
      <c r="S54" s="13" t="s">
        <v>3491</v>
      </c>
      <c r="T54" s="13">
        <v>178521</v>
      </c>
      <c r="U54" s="2">
        <v>191004</v>
      </c>
      <c r="V54" s="13" t="s">
        <v>3497</v>
      </c>
      <c r="W54" s="2" t="str">
        <f>_xlfn.XLOOKUP(Table1[[#This Row],[Source PROD ID]],Prod_fields[ID],Prod_fields[Attribute Name],"0-Not Found",0,1)</f>
        <v>0-Not Found</v>
      </c>
      <c r="X54" s="2" t="str">
        <f>_xlfn.XLOOKUP(Table1[[#This Row],[Target DEV SB ID]],New_fields[ID],New_fields[Attribute Name],"0-Not Found",0,1)</f>
        <v>0-Not Found</v>
      </c>
      <c r="Y54" s="2" t="b">
        <f>Table1[[#This Row],[Prod Source field name]]=Table1[[#This Row],[New instance Target field name]]</f>
        <v>1</v>
      </c>
      <c r="Z54" s="2" t="b">
        <f>Table1[[#This Row],[Target Field Name]]=Table1[[#This Row],[New instance Target field name]]</f>
        <v>0</v>
      </c>
      <c r="AA54" s="2" t="s">
        <v>18</v>
      </c>
      <c r="AB54" s="2" t="s">
        <v>539</v>
      </c>
      <c r="AC54" s="2" t="s">
        <v>32</v>
      </c>
      <c r="AD54" s="2" t="s">
        <v>5958</v>
      </c>
      <c r="AE54" s="114"/>
      <c r="AF54" s="114" t="s">
        <v>6036</v>
      </c>
      <c r="AG54" s="114" t="s">
        <v>540</v>
      </c>
      <c r="AH54" s="114" t="s">
        <v>33</v>
      </c>
      <c r="AI54" s="114" t="s">
        <v>1095</v>
      </c>
      <c r="AJ54" s="114" t="s">
        <v>1095</v>
      </c>
      <c r="AK54" s="114" t="s">
        <v>1095</v>
      </c>
      <c r="AL54" s="2" t="s">
        <v>20</v>
      </c>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row>
    <row r="55" spans="1:60" ht="138" x14ac:dyDescent="0.3">
      <c r="A55" s="4" t="s">
        <v>385</v>
      </c>
      <c r="B55" s="4" t="s">
        <v>744</v>
      </c>
      <c r="C55" s="4" t="s">
        <v>1095</v>
      </c>
      <c r="D55" s="4" t="s">
        <v>5934</v>
      </c>
      <c r="E55" s="4" t="s">
        <v>1095</v>
      </c>
      <c r="F55" s="4" t="s">
        <v>802</v>
      </c>
      <c r="G55" s="2" t="s">
        <v>15</v>
      </c>
      <c r="H55" s="2">
        <v>52</v>
      </c>
      <c r="I55" s="2" t="s">
        <v>386</v>
      </c>
      <c r="J55" s="2"/>
      <c r="K55" s="2"/>
      <c r="L55" s="2" t="str">
        <f>_xlfn.TEXTJOIN("|",FALSE,Table1[[#This Row],[Target Entity]],Table1[[#This Row],[Target DEV SB ID]])</f>
        <v>|190987</v>
      </c>
      <c r="M55" s="2" t="s">
        <v>38</v>
      </c>
      <c r="N55" s="2" t="s">
        <v>5821</v>
      </c>
      <c r="O55" s="2"/>
      <c r="P55" s="2" t="s">
        <v>806</v>
      </c>
      <c r="Q55" s="2" t="s">
        <v>19</v>
      </c>
      <c r="R55" s="2" t="s">
        <v>33</v>
      </c>
      <c r="S55" s="13" t="s">
        <v>3491</v>
      </c>
      <c r="T55" s="13">
        <v>178340</v>
      </c>
      <c r="U55" s="2">
        <v>190987</v>
      </c>
      <c r="V55" s="13" t="s">
        <v>3497</v>
      </c>
      <c r="W55" s="2" t="str">
        <f>_xlfn.XLOOKUP(Table1[[#This Row],[Source PROD ID]],Prod_fields[ID],Prod_fields[Attribute Name],"0-Not Found",0,1)</f>
        <v>0-Not Found</v>
      </c>
      <c r="X55" s="2" t="str">
        <f>_xlfn.XLOOKUP(Table1[[#This Row],[Target DEV SB ID]],New_fields[ID],New_fields[Attribute Name],"0-Not Found",0,1)</f>
        <v>0-Not Found</v>
      </c>
      <c r="Y55" s="2" t="b">
        <f>Table1[[#This Row],[Prod Source field name]]=Table1[[#This Row],[New instance Target field name]]</f>
        <v>1</v>
      </c>
      <c r="Z55" s="2" t="b">
        <f>Table1[[#This Row],[Target Field Name]]=Table1[[#This Row],[New instance Target field name]]</f>
        <v>0</v>
      </c>
      <c r="AA55" s="2" t="s">
        <v>18</v>
      </c>
      <c r="AB55" s="2" t="s">
        <v>539</v>
      </c>
      <c r="AC55" s="2" t="s">
        <v>32</v>
      </c>
      <c r="AD55" s="2" t="s">
        <v>5958</v>
      </c>
      <c r="AE55" s="114"/>
      <c r="AF55" s="114" t="s">
        <v>6037</v>
      </c>
      <c r="AG55" s="114" t="s">
        <v>540</v>
      </c>
      <c r="AH55" s="114" t="s">
        <v>33</v>
      </c>
      <c r="AI55" s="114" t="s">
        <v>1095</v>
      </c>
      <c r="AJ55" s="114" t="s">
        <v>1095</v>
      </c>
      <c r="AK55" s="114" t="s">
        <v>1095</v>
      </c>
      <c r="AL55" s="5" t="s">
        <v>20</v>
      </c>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row>
    <row r="56" spans="1:60" ht="55.2" x14ac:dyDescent="0.3">
      <c r="A56" s="4" t="s">
        <v>385</v>
      </c>
      <c r="B56" s="4" t="s">
        <v>744</v>
      </c>
      <c r="C56" s="4" t="s">
        <v>1095</v>
      </c>
      <c r="D56" s="4" t="s">
        <v>5934</v>
      </c>
      <c r="E56" s="4" t="s">
        <v>1095</v>
      </c>
      <c r="F56" s="4" t="s">
        <v>802</v>
      </c>
      <c r="G56" s="2" t="s">
        <v>15</v>
      </c>
      <c r="H56" s="2">
        <v>53</v>
      </c>
      <c r="I56" s="2" t="s">
        <v>386</v>
      </c>
      <c r="J56" s="2"/>
      <c r="K56" s="2"/>
      <c r="L56" s="2" t="str">
        <f>_xlfn.TEXTJOIN("|",FALSE,Table1[[#This Row],[Target Entity]],Table1[[#This Row],[Target DEV SB ID]])</f>
        <v>|190988</v>
      </c>
      <c r="M56" s="2" t="s">
        <v>471</v>
      </c>
      <c r="N56" s="2" t="s">
        <v>5821</v>
      </c>
      <c r="O56" s="2"/>
      <c r="P56" s="2" t="s">
        <v>1095</v>
      </c>
      <c r="Q56" s="2" t="s">
        <v>19</v>
      </c>
      <c r="R56" s="2" t="s">
        <v>33</v>
      </c>
      <c r="S56" s="13" t="s">
        <v>3491</v>
      </c>
      <c r="T56" s="13">
        <v>178310</v>
      </c>
      <c r="U56" s="2">
        <v>190988</v>
      </c>
      <c r="V56" s="13" t="s">
        <v>3497</v>
      </c>
      <c r="W56" s="2" t="str">
        <f>_xlfn.XLOOKUP(Table1[[#This Row],[Source PROD ID]],Prod_fields[ID],Prod_fields[Attribute Name],"0-Not Found",0,1)</f>
        <v>0-Not Found</v>
      </c>
      <c r="X56" s="2" t="str">
        <f>_xlfn.XLOOKUP(Table1[[#This Row],[Target DEV SB ID]],New_fields[ID],New_fields[Attribute Name],"0-Not Found",0,1)</f>
        <v>0-Not Found</v>
      </c>
      <c r="Y56" s="2" t="b">
        <f>Table1[[#This Row],[Prod Source field name]]=Table1[[#This Row],[New instance Target field name]]</f>
        <v>1</v>
      </c>
      <c r="Z56" s="2" t="b">
        <f>Table1[[#This Row],[Target Field Name]]=Table1[[#This Row],[New instance Target field name]]</f>
        <v>0</v>
      </c>
      <c r="AA56" s="2" t="s">
        <v>18</v>
      </c>
      <c r="AB56" s="2" t="s">
        <v>539</v>
      </c>
      <c r="AC56" s="2" t="s">
        <v>32</v>
      </c>
      <c r="AD56" s="2" t="s">
        <v>5958</v>
      </c>
      <c r="AE56" s="114"/>
      <c r="AF56" s="114" t="s">
        <v>1095</v>
      </c>
      <c r="AG56" s="114" t="s">
        <v>540</v>
      </c>
      <c r="AH56" s="114" t="s">
        <v>33</v>
      </c>
      <c r="AI56" s="114" t="s">
        <v>1095</v>
      </c>
      <c r="AJ56" s="114" t="s">
        <v>1095</v>
      </c>
      <c r="AK56" s="114" t="s">
        <v>1095</v>
      </c>
      <c r="AL56" s="5" t="s">
        <v>20</v>
      </c>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row>
    <row r="57" spans="1:60" ht="289.8" x14ac:dyDescent="0.3">
      <c r="A57" s="4" t="s">
        <v>385</v>
      </c>
      <c r="B57" s="4" t="s">
        <v>744</v>
      </c>
      <c r="C57" s="4" t="s">
        <v>1095</v>
      </c>
      <c r="D57" s="4" t="s">
        <v>740</v>
      </c>
      <c r="E57" s="4" t="s">
        <v>1095</v>
      </c>
      <c r="F57" s="4" t="s">
        <v>809</v>
      </c>
      <c r="G57" s="2" t="s">
        <v>15</v>
      </c>
      <c r="H57" s="2">
        <v>55</v>
      </c>
      <c r="I57" s="2" t="s">
        <v>386</v>
      </c>
      <c r="J57" s="2"/>
      <c r="K57" s="2"/>
      <c r="L57" s="2" t="str">
        <f>_xlfn.TEXTJOIN("|",FALSE,Table1[[#This Row],[Target Entity]],Table1[[#This Row],[Target DEV SB ID]])</f>
        <v>|Wbs157</v>
      </c>
      <c r="M57" s="2" t="s">
        <v>478</v>
      </c>
      <c r="N57" s="2" t="s">
        <v>5815</v>
      </c>
      <c r="O57" s="2" t="s">
        <v>5965</v>
      </c>
      <c r="P57" s="2" t="s">
        <v>814</v>
      </c>
      <c r="Q57" s="2" t="s">
        <v>19</v>
      </c>
      <c r="R57" s="2" t="s">
        <v>19</v>
      </c>
      <c r="S57" s="13" t="s">
        <v>3491</v>
      </c>
      <c r="T57" s="13" t="s">
        <v>1095</v>
      </c>
      <c r="U57" s="2" t="s">
        <v>479</v>
      </c>
      <c r="V57" s="13" t="s">
        <v>3497</v>
      </c>
      <c r="W57" s="2" t="str">
        <f>_xlfn.XLOOKUP(Table1[[#This Row],[Source PROD ID]],Prod_fields[ID],Prod_fields[Attribute Name],"0-Not Found",0,1)</f>
        <v>0-Not Found</v>
      </c>
      <c r="X57" s="2" t="str">
        <f>_xlfn.XLOOKUP(Table1[[#This Row],[Target DEV SB ID]],New_fields[ID],New_fields[Attribute Name],"0-Not Found",0,1)</f>
        <v>Flow Type</v>
      </c>
      <c r="Y57" s="2" t="b">
        <f>Table1[[#This Row],[Prod Source field name]]=Table1[[#This Row],[New instance Target field name]]</f>
        <v>0</v>
      </c>
      <c r="Z57" s="2" t="b">
        <f>Table1[[#This Row],[Target Field Name]]=Table1[[#This Row],[New instance Target field name]]</f>
        <v>1</v>
      </c>
      <c r="AA57" s="2" t="s">
        <v>363</v>
      </c>
      <c r="AB57" s="2" t="s">
        <v>539</v>
      </c>
      <c r="AC57" s="2" t="s">
        <v>32</v>
      </c>
      <c r="AD57" s="2" t="s">
        <v>33</v>
      </c>
      <c r="AE57" s="5" t="str">
        <f>_xlfn.TEXTJOIN(CHAR(10),TRUE,VAL_wbs157_flowtype[])</f>
        <v>Non-Discretionary - Business Continuity
Non-Discretionary - Run the Business
Discretionary - Transformational Investment
Discretionary - Other</v>
      </c>
      <c r="AF57" s="5" t="s">
        <v>6040</v>
      </c>
      <c r="AG57" s="5" t="s">
        <v>540</v>
      </c>
      <c r="AH57" s="5" t="s">
        <v>19</v>
      </c>
      <c r="AI57" s="5" t="s">
        <v>1095</v>
      </c>
      <c r="AJ57" s="5" t="s">
        <v>1095</v>
      </c>
      <c r="AK57" s="5" t="s">
        <v>1095</v>
      </c>
      <c r="AL57" s="5" t="s">
        <v>20</v>
      </c>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row>
    <row r="58" spans="1:60" ht="55.2" x14ac:dyDescent="0.3">
      <c r="A58" s="4" t="s">
        <v>480</v>
      </c>
      <c r="B58" s="4" t="s">
        <v>818</v>
      </c>
      <c r="C58" s="4" t="s">
        <v>815</v>
      </c>
      <c r="D58" s="4" t="s">
        <v>816</v>
      </c>
      <c r="E58" s="4" t="s">
        <v>1095</v>
      </c>
      <c r="F58" s="4" t="s">
        <v>39</v>
      </c>
      <c r="G58" s="2" t="s">
        <v>119</v>
      </c>
      <c r="H58" s="2">
        <v>56</v>
      </c>
      <c r="I58" s="2" t="s">
        <v>386</v>
      </c>
      <c r="J58" s="2"/>
      <c r="K58" s="2" t="s">
        <v>481</v>
      </c>
      <c r="L58" s="2" t="str">
        <f>_xlfn.TEXTJOIN("|",FALSE,Table1[[#This Row],[Target Entity]],Table1[[#This Row],[Target DEV SB ID]])</f>
        <v>Demand Bundle|Str109</v>
      </c>
      <c r="M58" s="2" t="s">
        <v>173</v>
      </c>
      <c r="N58" s="2" t="s">
        <v>5821</v>
      </c>
      <c r="O58" s="2"/>
      <c r="P58" s="2" t="s">
        <v>817</v>
      </c>
      <c r="Q58" s="2" t="s">
        <v>33</v>
      </c>
      <c r="R58" s="2" t="s">
        <v>33</v>
      </c>
      <c r="S58" s="2" t="s">
        <v>174</v>
      </c>
      <c r="T58" s="2" t="s">
        <v>174</v>
      </c>
      <c r="U58" s="2" t="s">
        <v>174</v>
      </c>
      <c r="V58" s="2"/>
      <c r="W58" s="2" t="str">
        <f>_xlfn.XLOOKUP(Table1[[#This Row],[Source PROD ID]],Prod_fields[ID],Prod_fields[Attribute Name],"0-Not Found",0,1)</f>
        <v>Impacts Commercial Portfolio?</v>
      </c>
      <c r="X58" s="2" t="str">
        <f>_xlfn.XLOOKUP(Table1[[#This Row],[Target DEV SB ID]],New_fields[ID],New_fields[Attribute Name],"0-Not Found",0,1)</f>
        <v>Impacts Commercial Portfolio?</v>
      </c>
      <c r="Y58" s="2" t="b">
        <f>Table1[[#This Row],[Prod Source field name]]=Table1[[#This Row],[New instance Target field name]]</f>
        <v>1</v>
      </c>
      <c r="Z58" s="2" t="b">
        <f>Table1[[#This Row],[Target Field Name]]=Table1[[#This Row],[New instance Target field name]]</f>
        <v>1</v>
      </c>
      <c r="AA58" s="2" t="s">
        <v>57</v>
      </c>
      <c r="AB58" s="2" t="s">
        <v>539</v>
      </c>
      <c r="AC58" s="2" t="s">
        <v>32</v>
      </c>
      <c r="AD58" s="2" t="s">
        <v>33</v>
      </c>
      <c r="AE58" s="5" t="str">
        <f>_xlfn.TEXTJOIN(CHAR(10),TRUE,VAL_str109_impacts[])</f>
        <v>Yes
No</v>
      </c>
      <c r="AF58" s="5" t="s">
        <v>1095</v>
      </c>
      <c r="AG58" s="5" t="s">
        <v>540</v>
      </c>
      <c r="AH58" s="5" t="s">
        <v>1095</v>
      </c>
      <c r="AI58" s="5" t="s">
        <v>1095</v>
      </c>
      <c r="AJ58" s="5" t="s">
        <v>1095</v>
      </c>
      <c r="AK58" s="5" t="s">
        <v>1095</v>
      </c>
      <c r="AL58" s="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row>
    <row r="59" spans="1:60" ht="55.2" x14ac:dyDescent="0.3">
      <c r="A59" s="4" t="s">
        <v>480</v>
      </c>
      <c r="B59" s="4" t="s">
        <v>818</v>
      </c>
      <c r="C59" s="4" t="s">
        <v>815</v>
      </c>
      <c r="D59" s="4" t="s">
        <v>816</v>
      </c>
      <c r="E59" s="4" t="s">
        <v>1095</v>
      </c>
      <c r="F59" s="4" t="s">
        <v>39</v>
      </c>
      <c r="G59" s="2" t="s">
        <v>119</v>
      </c>
      <c r="H59" s="2">
        <v>57</v>
      </c>
      <c r="I59" s="2" t="s">
        <v>386</v>
      </c>
      <c r="J59" s="2"/>
      <c r="K59" s="2" t="s">
        <v>481</v>
      </c>
      <c r="L59" s="2" t="str">
        <f>_xlfn.TEXTJOIN("|",FALSE,Table1[[#This Row],[Target Entity]],Table1[[#This Row],[Target DEV SB ID]])</f>
        <v>Demand Bundle|Str111</v>
      </c>
      <c r="M59" s="2" t="s">
        <v>175</v>
      </c>
      <c r="N59" s="2" t="s">
        <v>5821</v>
      </c>
      <c r="O59" s="2"/>
      <c r="P59" s="2" t="s">
        <v>817</v>
      </c>
      <c r="Q59" s="2" t="s">
        <v>33</v>
      </c>
      <c r="R59" s="2" t="s">
        <v>33</v>
      </c>
      <c r="S59" s="2" t="s">
        <v>176</v>
      </c>
      <c r="T59" s="2" t="s">
        <v>176</v>
      </c>
      <c r="U59" s="2" t="s">
        <v>176</v>
      </c>
      <c r="V59" s="2"/>
      <c r="W59" s="2" t="str">
        <f>_xlfn.XLOOKUP(Table1[[#This Row],[Source PROD ID]],Prod_fields[ID],Prod_fields[Attribute Name],"0-Not Found",0,1)</f>
        <v>Impacts Enterprise Services Portfolio?</v>
      </c>
      <c r="X59" s="2" t="str">
        <f>_xlfn.XLOOKUP(Table1[[#This Row],[Target DEV SB ID]],New_fields[ID],New_fields[Attribute Name],"0-Not Found",0,1)</f>
        <v>Impacts Enterprise Services Portfolio?</v>
      </c>
      <c r="Y59" s="2" t="b">
        <f>Table1[[#This Row],[Prod Source field name]]=Table1[[#This Row],[New instance Target field name]]</f>
        <v>1</v>
      </c>
      <c r="Z59" s="2" t="b">
        <f>Table1[[#This Row],[Target Field Name]]=Table1[[#This Row],[New instance Target field name]]</f>
        <v>1</v>
      </c>
      <c r="AA59" s="2" t="s">
        <v>57</v>
      </c>
      <c r="AB59" s="2" t="s">
        <v>539</v>
      </c>
      <c r="AC59" s="2" t="s">
        <v>32</v>
      </c>
      <c r="AD59" s="2" t="s">
        <v>33</v>
      </c>
      <c r="AE59" s="5" t="str">
        <f>_xlfn.TEXTJOIN(CHAR(10),TRUE,VAL_str111_impacts[])</f>
        <v>Yes
No</v>
      </c>
      <c r="AF59" s="5" t="s">
        <v>1095</v>
      </c>
      <c r="AG59" s="5" t="s">
        <v>540</v>
      </c>
      <c r="AH59" s="5" t="s">
        <v>1095</v>
      </c>
      <c r="AI59" s="5" t="s">
        <v>1095</v>
      </c>
      <c r="AJ59" s="5" t="s">
        <v>1095</v>
      </c>
      <c r="AK59" s="5" t="s">
        <v>1095</v>
      </c>
      <c r="AL59" s="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row>
    <row r="60" spans="1:60" ht="55.2" x14ac:dyDescent="0.3">
      <c r="A60" s="4" t="s">
        <v>480</v>
      </c>
      <c r="B60" s="4" t="s">
        <v>818</v>
      </c>
      <c r="C60" s="4" t="s">
        <v>815</v>
      </c>
      <c r="D60" s="4" t="s">
        <v>816</v>
      </c>
      <c r="E60" s="4" t="s">
        <v>1095</v>
      </c>
      <c r="F60" s="4" t="s">
        <v>39</v>
      </c>
      <c r="G60" s="2" t="s">
        <v>119</v>
      </c>
      <c r="H60" s="2">
        <v>58</v>
      </c>
      <c r="I60" s="2" t="s">
        <v>386</v>
      </c>
      <c r="J60" s="2"/>
      <c r="K60" s="2" t="s">
        <v>481</v>
      </c>
      <c r="L60" s="2" t="str">
        <f>_xlfn.TEXTJOIN("|",FALSE,Table1[[#This Row],[Target Entity]],Table1[[#This Row],[Target DEV SB ID]])</f>
        <v>Demand Bundle|Str110</v>
      </c>
      <c r="M60" s="2" t="s">
        <v>177</v>
      </c>
      <c r="N60" s="2" t="s">
        <v>5821</v>
      </c>
      <c r="O60" s="2"/>
      <c r="P60" s="2" t="s">
        <v>817</v>
      </c>
      <c r="Q60" s="2" t="s">
        <v>33</v>
      </c>
      <c r="R60" s="2" t="s">
        <v>33</v>
      </c>
      <c r="S60" s="2" t="s">
        <v>178</v>
      </c>
      <c r="T60" s="2" t="s">
        <v>178</v>
      </c>
      <c r="U60" s="2" t="s">
        <v>178</v>
      </c>
      <c r="V60" s="2"/>
      <c r="W60" s="2" t="str">
        <f>_xlfn.XLOOKUP(Table1[[#This Row],[Source PROD ID]],Prod_fields[ID],Prod_fields[Attribute Name],"0-Not Found",0,1)</f>
        <v>Impacts Platform Portfolio?</v>
      </c>
      <c r="X60" s="2" t="str">
        <f>_xlfn.XLOOKUP(Table1[[#This Row],[Target DEV SB ID]],New_fields[ID],New_fields[Attribute Name],"0-Not Found",0,1)</f>
        <v>Impacts Platforms Portfolio?</v>
      </c>
      <c r="Y60" s="2" t="b">
        <f>Table1[[#This Row],[Prod Source field name]]=Table1[[#This Row],[New instance Target field name]]</f>
        <v>0</v>
      </c>
      <c r="Z60" s="2" t="b">
        <f>Table1[[#This Row],[Target Field Name]]=Table1[[#This Row],[New instance Target field name]]</f>
        <v>1</v>
      </c>
      <c r="AA60" s="2" t="s">
        <v>57</v>
      </c>
      <c r="AB60" s="2" t="s">
        <v>539</v>
      </c>
      <c r="AC60" s="2" t="s">
        <v>32</v>
      </c>
      <c r="AD60" s="2" t="s">
        <v>33</v>
      </c>
      <c r="AE60" s="5" t="str">
        <f>_xlfn.TEXTJOIN(CHAR(10),TRUE,VAL_str110_impacts[])</f>
        <v>Yes
No</v>
      </c>
      <c r="AF60" s="5" t="s">
        <v>1095</v>
      </c>
      <c r="AG60" s="5" t="s">
        <v>540</v>
      </c>
      <c r="AH60" s="5" t="s">
        <v>1095</v>
      </c>
      <c r="AI60" s="5" t="s">
        <v>1095</v>
      </c>
      <c r="AJ60" s="5" t="s">
        <v>1095</v>
      </c>
      <c r="AK60" s="5" t="s">
        <v>1095</v>
      </c>
      <c r="AL60" s="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row>
    <row r="61" spans="1:60" ht="55.2" x14ac:dyDescent="0.3">
      <c r="A61" s="4" t="s">
        <v>480</v>
      </c>
      <c r="B61" s="4" t="s">
        <v>818</v>
      </c>
      <c r="C61" s="4" t="s">
        <v>815</v>
      </c>
      <c r="D61" s="4" t="s">
        <v>816</v>
      </c>
      <c r="E61" s="4" t="s">
        <v>1095</v>
      </c>
      <c r="F61" s="4" t="s">
        <v>39</v>
      </c>
      <c r="G61" s="2" t="s">
        <v>119</v>
      </c>
      <c r="H61" s="2">
        <v>59</v>
      </c>
      <c r="I61" s="2" t="s">
        <v>386</v>
      </c>
      <c r="J61" s="2"/>
      <c r="K61" s="2" t="s">
        <v>481</v>
      </c>
      <c r="L61" s="2" t="str">
        <f>_xlfn.TEXTJOIN("|",FALSE,Table1[[#This Row],[Target Entity]],Table1[[#This Row],[Target DEV SB ID]])</f>
        <v>Demand Bundle|Str113</v>
      </c>
      <c r="M61" s="2" t="s">
        <v>179</v>
      </c>
      <c r="N61" s="2" t="s">
        <v>5821</v>
      </c>
      <c r="O61" s="2"/>
      <c r="P61" s="2" t="s">
        <v>817</v>
      </c>
      <c r="Q61" s="2" t="s">
        <v>33</v>
      </c>
      <c r="R61" s="2" t="s">
        <v>33</v>
      </c>
      <c r="S61" s="2" t="s">
        <v>180</v>
      </c>
      <c r="T61" s="2" t="s">
        <v>180</v>
      </c>
      <c r="U61" s="2" t="s">
        <v>180</v>
      </c>
      <c r="V61" s="2"/>
      <c r="W61" s="2" t="str">
        <f>_xlfn.XLOOKUP(Table1[[#This Row],[Source PROD ID]],Prod_fields[ID],Prod_fields[Attribute Name],"0-Not Found",0,1)</f>
        <v>Impacts Supply Chain Operations Portfolio?</v>
      </c>
      <c r="X61" s="2" t="str">
        <f>_xlfn.XLOOKUP(Table1[[#This Row],[Target DEV SB ID]],New_fields[ID],New_fields[Attribute Name],"0-Not Found",0,1)</f>
        <v>Impacts Supply Chain Operations Portfolio?</v>
      </c>
      <c r="Y61" s="2" t="b">
        <f>Table1[[#This Row],[Prod Source field name]]=Table1[[#This Row],[New instance Target field name]]</f>
        <v>1</v>
      </c>
      <c r="Z61" s="2" t="b">
        <f>Table1[[#This Row],[Target Field Name]]=Table1[[#This Row],[New instance Target field name]]</f>
        <v>1</v>
      </c>
      <c r="AA61" s="2" t="s">
        <v>57</v>
      </c>
      <c r="AB61" s="2" t="s">
        <v>539</v>
      </c>
      <c r="AC61" s="2" t="s">
        <v>32</v>
      </c>
      <c r="AD61" s="2" t="s">
        <v>33</v>
      </c>
      <c r="AE61" s="5" t="str">
        <f>_xlfn.TEXTJOIN(CHAR(10),TRUE,VAL_str113_impacts[])</f>
        <v>Yes
No</v>
      </c>
      <c r="AF61" s="5" t="s">
        <v>1095</v>
      </c>
      <c r="AG61" s="5" t="s">
        <v>540</v>
      </c>
      <c r="AH61" s="5" t="s">
        <v>1095</v>
      </c>
      <c r="AI61" s="5" t="s">
        <v>1095</v>
      </c>
      <c r="AJ61" s="5" t="s">
        <v>1095</v>
      </c>
      <c r="AK61" s="5" t="s">
        <v>1095</v>
      </c>
      <c r="AL61" s="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row>
    <row r="62" spans="1:60" ht="151.80000000000001" x14ac:dyDescent="0.3">
      <c r="A62" s="4" t="s">
        <v>480</v>
      </c>
      <c r="B62" s="4" t="s">
        <v>818</v>
      </c>
      <c r="C62" s="4" t="s">
        <v>815</v>
      </c>
      <c r="D62" s="4" t="s">
        <v>816</v>
      </c>
      <c r="E62" s="4" t="s">
        <v>1095</v>
      </c>
      <c r="F62" s="4" t="s">
        <v>39</v>
      </c>
      <c r="G62" s="2" t="s">
        <v>119</v>
      </c>
      <c r="H62" s="2">
        <v>60</v>
      </c>
      <c r="I62" s="2" t="s">
        <v>386</v>
      </c>
      <c r="J62" s="2"/>
      <c r="K62" s="2" t="s">
        <v>481</v>
      </c>
      <c r="L62" s="2" t="str">
        <f>_xlfn.TEXTJOIN("|",FALSE,Table1[[#This Row],[Target Entity]],Table1[[#This Row],[Target DEV SB ID]])</f>
        <v>Demand Bundle|Str62</v>
      </c>
      <c r="M62" s="2" t="s">
        <v>171</v>
      </c>
      <c r="N62" s="2" t="s">
        <v>5821</v>
      </c>
      <c r="O62" s="2"/>
      <c r="P62" s="2" t="s">
        <v>817</v>
      </c>
      <c r="Q62" s="2" t="s">
        <v>33</v>
      </c>
      <c r="R62" s="2" t="s">
        <v>33</v>
      </c>
      <c r="S62" s="2" t="s">
        <v>172</v>
      </c>
      <c r="T62" s="2" t="s">
        <v>172</v>
      </c>
      <c r="U62" s="2" t="s">
        <v>172</v>
      </c>
      <c r="V62" s="2"/>
      <c r="W62" s="2" t="str">
        <f>_xlfn.XLOOKUP(Table1[[#This Row],[Source PROD ID]],Prod_fields[ID],Prod_fields[Attribute Name],"0-Not Found",0,1)</f>
        <v>T-Shirt Size</v>
      </c>
      <c r="X62" s="2" t="str">
        <f>_xlfn.XLOOKUP(Table1[[#This Row],[Target DEV SB ID]],New_fields[ID],New_fields[Attribute Name],"0-Not Found",0,1)</f>
        <v>T-Shirt Size</v>
      </c>
      <c r="Y62" s="2" t="b">
        <f>Table1[[#This Row],[Prod Source field name]]=Table1[[#This Row],[New instance Target field name]]</f>
        <v>1</v>
      </c>
      <c r="Z62" s="2" t="b">
        <f>Table1[[#This Row],[Target Field Name]]=Table1[[#This Row],[New instance Target field name]]</f>
        <v>1</v>
      </c>
      <c r="AA62" s="2" t="s">
        <v>57</v>
      </c>
      <c r="AB62" s="2" t="s">
        <v>539</v>
      </c>
      <c r="AC62" s="2" t="s">
        <v>32</v>
      </c>
      <c r="AD62" s="2" t="s">
        <v>33</v>
      </c>
      <c r="AE62" s="5" t="str">
        <f>_xlfn.TEXTJOIN(CHAR(10),TRUE,VAL_str62_tsize[])</f>
        <v>1: XS
2: S
3: M
4: L
5: XL</v>
      </c>
      <c r="AF62" s="5" t="s">
        <v>6042</v>
      </c>
      <c r="AG62" s="5" t="s">
        <v>540</v>
      </c>
      <c r="AH62" s="5" t="s">
        <v>1095</v>
      </c>
      <c r="AI62" s="5" t="s">
        <v>1095</v>
      </c>
      <c r="AJ62" s="5" t="s">
        <v>1095</v>
      </c>
      <c r="AK62" s="5" t="s">
        <v>1095</v>
      </c>
      <c r="AL62" s="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row>
    <row r="63" spans="1:60" ht="234.6" x14ac:dyDescent="0.3">
      <c r="A63" s="4" t="s">
        <v>480</v>
      </c>
      <c r="B63" s="4" t="s">
        <v>818</v>
      </c>
      <c r="C63" s="4" t="s">
        <v>815</v>
      </c>
      <c r="D63" s="4" t="s">
        <v>816</v>
      </c>
      <c r="E63" s="4" t="s">
        <v>1095</v>
      </c>
      <c r="F63" s="4" t="s">
        <v>39</v>
      </c>
      <c r="G63" s="2" t="s">
        <v>119</v>
      </c>
      <c r="H63" s="2">
        <v>61</v>
      </c>
      <c r="I63" s="2" t="s">
        <v>386</v>
      </c>
      <c r="J63" s="2"/>
      <c r="K63" s="2" t="s">
        <v>481</v>
      </c>
      <c r="L63" s="2" t="str">
        <f>_xlfn.TEXTJOIN("|",FALSE,Table1[[#This Row],[Target Entity]],Table1[[#This Row],[Target DEV SB ID]])</f>
        <v>Demand Bundle|Str36</v>
      </c>
      <c r="M63" s="2" t="s">
        <v>165</v>
      </c>
      <c r="N63" s="2" t="s">
        <v>5821</v>
      </c>
      <c r="O63" s="2"/>
      <c r="P63" s="2" t="s">
        <v>817</v>
      </c>
      <c r="Q63" s="2" t="s">
        <v>33</v>
      </c>
      <c r="R63" s="2" t="s">
        <v>33</v>
      </c>
      <c r="S63" s="2" t="s">
        <v>166</v>
      </c>
      <c r="T63" s="2" t="s">
        <v>166</v>
      </c>
      <c r="U63" s="2" t="s">
        <v>166</v>
      </c>
      <c r="V63" s="2" t="s">
        <v>6103</v>
      </c>
      <c r="W63" s="2" t="str">
        <f>_xlfn.XLOOKUP(Table1[[#This Row],[Source PROD ID]],Prod_fields[ID],Prod_fields[Attribute Name],"0-Not Found",0,1)</f>
        <v>0-Not Found</v>
      </c>
      <c r="X63" s="2" t="str">
        <f>_xlfn.XLOOKUP(Table1[[#This Row],[Target DEV SB ID]],New_fields[ID],New_fields[Attribute Name],"0-Not Found",0,1)</f>
        <v>Business Complexity Estimate</v>
      </c>
      <c r="Y63" s="2" t="b">
        <f>Table1[[#This Row],[Prod Source field name]]=Table1[[#This Row],[New instance Target field name]]</f>
        <v>0</v>
      </c>
      <c r="Z63" s="2" t="b">
        <f>Table1[[#This Row],[Target Field Name]]=Table1[[#This Row],[New instance Target field name]]</f>
        <v>1</v>
      </c>
      <c r="AA63" s="2" t="s">
        <v>57</v>
      </c>
      <c r="AB63" s="2" t="s">
        <v>539</v>
      </c>
      <c r="AC63" s="2" t="s">
        <v>32</v>
      </c>
      <c r="AD63" s="2" t="s">
        <v>33</v>
      </c>
      <c r="AE63" s="5" t="str">
        <f>_xlfn.TEXTJOIN(CHAR(10),TRUE,VAL_str36_BusinessComplexity[])</f>
        <v>1: Minimal
2: Low
3: Medium
4: High
5: Maximum</v>
      </c>
      <c r="AF63" s="5" t="s">
        <v>6284</v>
      </c>
      <c r="AG63" s="5" t="s">
        <v>540</v>
      </c>
      <c r="AH63" s="5" t="s">
        <v>1095</v>
      </c>
      <c r="AI63" s="5" t="s">
        <v>1095</v>
      </c>
      <c r="AJ63" s="5" t="s">
        <v>1095</v>
      </c>
      <c r="AK63" s="5" t="s">
        <v>1095</v>
      </c>
      <c r="AL63" s="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row>
    <row r="64" spans="1:60" ht="55.2" x14ac:dyDescent="0.3">
      <c r="A64" s="4" t="s">
        <v>480</v>
      </c>
      <c r="B64" s="4" t="s">
        <v>822</v>
      </c>
      <c r="C64" s="4" t="s">
        <v>819</v>
      </c>
      <c r="D64" s="4" t="s">
        <v>820</v>
      </c>
      <c r="E64" s="4" t="s">
        <v>1095</v>
      </c>
      <c r="F64" s="4" t="s">
        <v>38</v>
      </c>
      <c r="G64" s="2" t="s">
        <v>119</v>
      </c>
      <c r="H64" s="2">
        <v>62</v>
      </c>
      <c r="I64" s="2" t="s">
        <v>386</v>
      </c>
      <c r="J64" s="2"/>
      <c r="K64" s="2" t="s">
        <v>481</v>
      </c>
      <c r="L64" s="2" t="str">
        <f>_xlfn.TEXTJOIN("|",FALSE,Table1[[#This Row],[Target Entity]],Table1[[#This Row],[Target DEV SB ID]])</f>
        <v>Demand Bundle|fdx_assump_work</v>
      </c>
      <c r="M64" s="2" t="s">
        <v>53</v>
      </c>
      <c r="N64" s="2" t="s">
        <v>5821</v>
      </c>
      <c r="O64" s="2"/>
      <c r="P64" s="2" t="s">
        <v>821</v>
      </c>
      <c r="Q64" s="2" t="s">
        <v>33</v>
      </c>
      <c r="R64" s="2" t="s">
        <v>33</v>
      </c>
      <c r="S64" s="2" t="s">
        <v>189</v>
      </c>
      <c r="T64" s="2" t="s">
        <v>189</v>
      </c>
      <c r="U64" s="2" t="s">
        <v>189</v>
      </c>
      <c r="V64" s="2" t="s">
        <v>5957</v>
      </c>
      <c r="W64" s="2" t="str">
        <f>_xlfn.XLOOKUP(Table1[[#This Row],[Source PROD ID]],Prod_fields[ID],Prod_fields[Attribute Name],"0-Not Found",0,1)</f>
        <v>Key Assumptions Made in Quantifying Impact</v>
      </c>
      <c r="X64" s="2" t="str">
        <f>_xlfn.XLOOKUP(Table1[[#This Row],[Target DEV SB ID]],New_fields[ID],New_fields[Attribute Name],"0-Not Found",0,1)</f>
        <v>Key Assumptions Made in Quantifying Impact</v>
      </c>
      <c r="Y64" s="2" t="b">
        <f>Table1[[#This Row],[Prod Source field name]]=Table1[[#This Row],[New instance Target field name]]</f>
        <v>1</v>
      </c>
      <c r="Z64" s="2" t="b">
        <f>Table1[[#This Row],[Target Field Name]]=Table1[[#This Row],[New instance Target field name]]</f>
        <v>1</v>
      </c>
      <c r="AA64" s="2" t="s">
        <v>18</v>
      </c>
      <c r="AB64" s="2" t="s">
        <v>539</v>
      </c>
      <c r="AC64" s="2" t="s">
        <v>190</v>
      </c>
      <c r="AD64" s="2" t="s">
        <v>19</v>
      </c>
      <c r="AE64" s="5"/>
      <c r="AF64" s="5" t="s">
        <v>6044</v>
      </c>
      <c r="AG64" s="5" t="s">
        <v>540</v>
      </c>
      <c r="AH64" s="5" t="s">
        <v>1095</v>
      </c>
      <c r="AI64" s="5" t="s">
        <v>1095</v>
      </c>
      <c r="AJ64" s="5" t="s">
        <v>1095</v>
      </c>
      <c r="AK64" s="5" t="s">
        <v>1095</v>
      </c>
      <c r="AL64" s="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row>
    <row r="65" spans="1:60" ht="69" x14ac:dyDescent="0.3">
      <c r="A65" s="4" t="s">
        <v>480</v>
      </c>
      <c r="B65" s="4" t="s">
        <v>822</v>
      </c>
      <c r="C65" s="4" t="s">
        <v>819</v>
      </c>
      <c r="D65" s="4" t="s">
        <v>820</v>
      </c>
      <c r="E65" s="4" t="s">
        <v>1095</v>
      </c>
      <c r="F65" s="4" t="s">
        <v>38</v>
      </c>
      <c r="G65" s="2" t="s">
        <v>119</v>
      </c>
      <c r="H65" s="2">
        <v>63</v>
      </c>
      <c r="I65" s="2" t="s">
        <v>386</v>
      </c>
      <c r="J65" s="2"/>
      <c r="K65" s="2" t="s">
        <v>481</v>
      </c>
      <c r="L65" s="2" t="str">
        <f>_xlfn.TEXTJOIN("|",FALSE,Table1[[#This Row],[Target Entity]],Table1[[#This Row],[Target DEV SB ID]])</f>
        <v>Demand Bundle|Str33</v>
      </c>
      <c r="M65" s="2" t="s">
        <v>482</v>
      </c>
      <c r="N65" s="2" t="s">
        <v>5821</v>
      </c>
      <c r="O65" s="2"/>
      <c r="P65" s="2" t="s">
        <v>821</v>
      </c>
      <c r="Q65" s="2" t="s">
        <v>33</v>
      </c>
      <c r="R65" s="2" t="s">
        <v>623</v>
      </c>
      <c r="S65" s="2" t="s">
        <v>192</v>
      </c>
      <c r="T65" s="2" t="s">
        <v>192</v>
      </c>
      <c r="U65" s="2" t="s">
        <v>192</v>
      </c>
      <c r="V65" s="2" t="s">
        <v>6103</v>
      </c>
      <c r="W65" s="2" t="str">
        <f>_xlfn.XLOOKUP(Table1[[#This Row],[Source PROD ID]],Prod_fields[ID],Prod_fields[Attribute Name],"0-Not Found",0,1)</f>
        <v>0-Not Found</v>
      </c>
      <c r="X65" s="2" t="str">
        <f>_xlfn.XLOOKUP(Table1[[#This Row],[Target DEV SB ID]],New_fields[ID],New_fields[Attribute Name],"0-Not Found",0,1)</f>
        <v>Baseline Fiscal Year of Work Bundle</v>
      </c>
      <c r="Y65" s="2" t="b">
        <f>Table1[[#This Row],[Prod Source field name]]=Table1[[#This Row],[New instance Target field name]]</f>
        <v>0</v>
      </c>
      <c r="Z65" s="2" t="b">
        <f>Table1[[#This Row],[Target Field Name]]=Table1[[#This Row],[New instance Target field name]]</f>
        <v>1</v>
      </c>
      <c r="AA65" s="2" t="s">
        <v>57</v>
      </c>
      <c r="AB65" s="2" t="s">
        <v>539</v>
      </c>
      <c r="AC65" s="2" t="s">
        <v>32</v>
      </c>
      <c r="AD65" s="2" t="s">
        <v>33</v>
      </c>
      <c r="AE65" s="5" t="str">
        <f>_xlfn.TEXTJOIN(CHAR(10),TRUE,VAL_str33_FY[])</f>
        <v>FY22
FY23
FY24
FY25
FY26</v>
      </c>
      <c r="AF65" s="5" t="s">
        <v>6045</v>
      </c>
      <c r="AG65" s="5" t="s">
        <v>540</v>
      </c>
      <c r="AH65" s="5" t="s">
        <v>1095</v>
      </c>
      <c r="AI65" s="5" t="s">
        <v>1095</v>
      </c>
      <c r="AJ65" s="5" t="s">
        <v>1095</v>
      </c>
      <c r="AK65" s="5" t="s">
        <v>1095</v>
      </c>
      <c r="AL65" s="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row>
    <row r="66" spans="1:60" ht="234.6" x14ac:dyDescent="0.3">
      <c r="A66" s="4" t="s">
        <v>480</v>
      </c>
      <c r="B66" s="4" t="s">
        <v>822</v>
      </c>
      <c r="C66" s="4" t="s">
        <v>819</v>
      </c>
      <c r="D66" s="4" t="s">
        <v>820</v>
      </c>
      <c r="E66" s="4" t="s">
        <v>1095</v>
      </c>
      <c r="F66" s="4" t="s">
        <v>38</v>
      </c>
      <c r="G66" s="2" t="s">
        <v>119</v>
      </c>
      <c r="H66" s="2">
        <v>64</v>
      </c>
      <c r="I66" s="2" t="s">
        <v>386</v>
      </c>
      <c r="J66" s="2"/>
      <c r="K66" s="2" t="s">
        <v>481</v>
      </c>
      <c r="L66" s="2" t="str">
        <f>_xlfn.TEXTJOIN("|",FALSE,Table1[[#This Row],[Target Entity]],Table1[[#This Row],[Target DEV SB ID]])</f>
        <v>Demand Bundle|fdx_vbnrb_cy27_hard</v>
      </c>
      <c r="M66" s="2" t="s">
        <v>195</v>
      </c>
      <c r="N66" s="2" t="s">
        <v>5815</v>
      </c>
      <c r="O66" s="2" t="s">
        <v>6105</v>
      </c>
      <c r="P66" s="2" t="s">
        <v>821</v>
      </c>
      <c r="Q66" s="2" t="s">
        <v>19</v>
      </c>
      <c r="R66" s="2" t="s">
        <v>19</v>
      </c>
      <c r="S66" s="13" t="s">
        <v>3491</v>
      </c>
      <c r="T66" s="13" t="s">
        <v>1095</v>
      </c>
      <c r="U66" s="2" t="s">
        <v>196</v>
      </c>
      <c r="V66" s="2" t="s">
        <v>6104</v>
      </c>
      <c r="W66" s="2" t="str">
        <f>_xlfn.XLOOKUP(Table1[[#This Row],[Source PROD ID]],Prod_fields[ID],Prod_fields[Attribute Name],"0-Not Found",0,1)</f>
        <v>0-Not Found</v>
      </c>
      <c r="X66" s="2" t="str">
        <f>_xlfn.XLOOKUP(Table1[[#This Row],[Target DEV SB ID]],New_fields[ID],New_fields[Attribute Name],"0-Not Found",0,1)</f>
        <v>Net Recurring Benefits CY '27 -P&amp;L/Hard</v>
      </c>
      <c r="Y66" s="2" t="b">
        <f>Table1[[#This Row],[Prod Source field name]]=Table1[[#This Row],[New instance Target field name]]</f>
        <v>0</v>
      </c>
      <c r="Z66" s="2" t="b">
        <f>Table1[[#This Row],[Target Field Name]]=Table1[[#This Row],[New instance Target field name]]</f>
        <v>1</v>
      </c>
      <c r="AA66" s="2" t="s">
        <v>483</v>
      </c>
      <c r="AB66" s="2" t="s">
        <v>555</v>
      </c>
      <c r="AC66" s="2" t="s">
        <v>190</v>
      </c>
      <c r="AD66" s="2" t="s">
        <v>19</v>
      </c>
      <c r="AE66" s="5"/>
      <c r="AF66" s="5" t="s">
        <v>6046</v>
      </c>
      <c r="AG66" s="5" t="s">
        <v>540</v>
      </c>
      <c r="AH66" s="5" t="s">
        <v>1095</v>
      </c>
      <c r="AI66" s="5" t="s">
        <v>1095</v>
      </c>
      <c r="AJ66" s="5" t="s">
        <v>1095</v>
      </c>
      <c r="AK66" s="5" t="s">
        <v>1095</v>
      </c>
      <c r="AL66" s="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row>
    <row r="67" spans="1:60" ht="234.6" x14ac:dyDescent="0.3">
      <c r="A67" s="4" t="s">
        <v>480</v>
      </c>
      <c r="B67" s="4" t="s">
        <v>822</v>
      </c>
      <c r="C67" s="4" t="s">
        <v>819</v>
      </c>
      <c r="D67" s="4" t="s">
        <v>820</v>
      </c>
      <c r="E67" s="4" t="s">
        <v>1095</v>
      </c>
      <c r="F67" s="4" t="s">
        <v>38</v>
      </c>
      <c r="G67" s="2" t="s">
        <v>119</v>
      </c>
      <c r="H67" s="2">
        <v>65</v>
      </c>
      <c r="I67" s="2" t="s">
        <v>386</v>
      </c>
      <c r="J67" s="2"/>
      <c r="K67" s="2" t="s">
        <v>481</v>
      </c>
      <c r="L67" s="2" t="str">
        <f>_xlfn.TEXTJOIN("|",FALSE,Table1[[#This Row],[Target Entity]],Table1[[#This Row],[Target DEV SB ID]])</f>
        <v>Demand Bundle|fdx_vbnrb_cy28_hard</v>
      </c>
      <c r="M67" s="2" t="s">
        <v>197</v>
      </c>
      <c r="N67" s="2" t="s">
        <v>5815</v>
      </c>
      <c r="O67" s="2" t="s">
        <v>6105</v>
      </c>
      <c r="P67" s="2" t="s">
        <v>821</v>
      </c>
      <c r="Q67" s="2" t="s">
        <v>19</v>
      </c>
      <c r="R67" s="2" t="s">
        <v>19</v>
      </c>
      <c r="S67" s="13" t="s">
        <v>3491</v>
      </c>
      <c r="T67" s="13" t="s">
        <v>1095</v>
      </c>
      <c r="U67" s="2" t="s">
        <v>198</v>
      </c>
      <c r="V67" s="2" t="s">
        <v>6104</v>
      </c>
      <c r="W67" s="2" t="str">
        <f>_xlfn.XLOOKUP(Table1[[#This Row],[Source PROD ID]],Prod_fields[ID],Prod_fields[Attribute Name],"0-Not Found",0,1)</f>
        <v>0-Not Found</v>
      </c>
      <c r="X67" s="2" t="str">
        <f>_xlfn.XLOOKUP(Table1[[#This Row],[Target DEV SB ID]],New_fields[ID],New_fields[Attribute Name],"0-Not Found",0,1)</f>
        <v>Net Recurring Benefits CY '28 -P&amp;L/Hard</v>
      </c>
      <c r="Y67" s="2" t="b">
        <f>Table1[[#This Row],[Prod Source field name]]=Table1[[#This Row],[New instance Target field name]]</f>
        <v>0</v>
      </c>
      <c r="Z67" s="2" t="b">
        <f>Table1[[#This Row],[Target Field Name]]=Table1[[#This Row],[New instance Target field name]]</f>
        <v>1</v>
      </c>
      <c r="AA67" s="2" t="s">
        <v>483</v>
      </c>
      <c r="AB67" s="2" t="s">
        <v>555</v>
      </c>
      <c r="AC67" s="2" t="s">
        <v>190</v>
      </c>
      <c r="AD67" s="2" t="s">
        <v>19</v>
      </c>
      <c r="AE67" s="5"/>
      <c r="AF67" s="5" t="s">
        <v>6046</v>
      </c>
      <c r="AG67" s="5" t="s">
        <v>540</v>
      </c>
      <c r="AH67" s="5" t="s">
        <v>1095</v>
      </c>
      <c r="AI67" s="5" t="s">
        <v>1095</v>
      </c>
      <c r="AJ67" s="5" t="s">
        <v>1095</v>
      </c>
      <c r="AK67" s="5" t="s">
        <v>1095</v>
      </c>
      <c r="AL67" s="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row>
    <row r="68" spans="1:60" ht="234.6" x14ac:dyDescent="0.3">
      <c r="A68" s="4" t="s">
        <v>480</v>
      </c>
      <c r="B68" s="4" t="s">
        <v>822</v>
      </c>
      <c r="C68" s="4" t="s">
        <v>819</v>
      </c>
      <c r="D68" s="4" t="s">
        <v>820</v>
      </c>
      <c r="E68" s="4" t="s">
        <v>1095</v>
      </c>
      <c r="F68" s="4" t="s">
        <v>38</v>
      </c>
      <c r="G68" s="2" t="s">
        <v>119</v>
      </c>
      <c r="H68" s="2">
        <v>66</v>
      </c>
      <c r="I68" s="2" t="s">
        <v>386</v>
      </c>
      <c r="J68" s="2"/>
      <c r="K68" s="2" t="s">
        <v>481</v>
      </c>
      <c r="L68" s="2" t="str">
        <f>_xlfn.TEXTJOIN("|",FALSE,Table1[[#This Row],[Target Entity]],Table1[[#This Row],[Target DEV SB ID]])</f>
        <v>Demand Bundle|fdx_vbnrb_cy29_hard</v>
      </c>
      <c r="M68" s="2" t="s">
        <v>199</v>
      </c>
      <c r="N68" s="2" t="s">
        <v>5815</v>
      </c>
      <c r="O68" s="2" t="s">
        <v>6105</v>
      </c>
      <c r="P68" s="2" t="s">
        <v>821</v>
      </c>
      <c r="Q68" s="2" t="s">
        <v>19</v>
      </c>
      <c r="R68" s="2" t="s">
        <v>19</v>
      </c>
      <c r="S68" s="13" t="s">
        <v>3491</v>
      </c>
      <c r="T68" s="13" t="s">
        <v>1095</v>
      </c>
      <c r="U68" s="2" t="s">
        <v>200</v>
      </c>
      <c r="V68" s="2" t="s">
        <v>6104</v>
      </c>
      <c r="W68" s="2" t="str">
        <f>_xlfn.XLOOKUP(Table1[[#This Row],[Source PROD ID]],Prod_fields[ID],Prod_fields[Attribute Name],"0-Not Found",0,1)</f>
        <v>0-Not Found</v>
      </c>
      <c r="X68" s="2" t="str">
        <f>_xlfn.XLOOKUP(Table1[[#This Row],[Target DEV SB ID]],New_fields[ID],New_fields[Attribute Name],"0-Not Found",0,1)</f>
        <v>Net Recurring Benefits CY '29 -P&amp;L/Hard</v>
      </c>
      <c r="Y68" s="2" t="b">
        <f>Table1[[#This Row],[Prod Source field name]]=Table1[[#This Row],[New instance Target field name]]</f>
        <v>0</v>
      </c>
      <c r="Z68" s="2" t="b">
        <f>Table1[[#This Row],[Target Field Name]]=Table1[[#This Row],[New instance Target field name]]</f>
        <v>1</v>
      </c>
      <c r="AA68" s="2" t="s">
        <v>483</v>
      </c>
      <c r="AB68" s="2" t="s">
        <v>555</v>
      </c>
      <c r="AC68" s="2" t="s">
        <v>190</v>
      </c>
      <c r="AD68" s="2" t="s">
        <v>19</v>
      </c>
      <c r="AE68" s="5"/>
      <c r="AF68" s="5" t="s">
        <v>6046</v>
      </c>
      <c r="AG68" s="5" t="s">
        <v>540</v>
      </c>
      <c r="AH68" s="5" t="s">
        <v>1095</v>
      </c>
      <c r="AI68" s="5" t="s">
        <v>1095</v>
      </c>
      <c r="AJ68" s="5" t="s">
        <v>1095</v>
      </c>
      <c r="AK68" s="5" t="s">
        <v>1095</v>
      </c>
      <c r="AL68" s="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row>
    <row r="69" spans="1:60" ht="234.6" x14ac:dyDescent="0.3">
      <c r="A69" s="4" t="s">
        <v>480</v>
      </c>
      <c r="B69" s="4" t="s">
        <v>822</v>
      </c>
      <c r="C69" s="4" t="s">
        <v>819</v>
      </c>
      <c r="D69" s="4" t="s">
        <v>820</v>
      </c>
      <c r="E69" s="4" t="s">
        <v>1095</v>
      </c>
      <c r="F69" s="4" t="s">
        <v>38</v>
      </c>
      <c r="G69" s="2" t="s">
        <v>119</v>
      </c>
      <c r="H69" s="2">
        <v>67</v>
      </c>
      <c r="I69" s="2" t="s">
        <v>386</v>
      </c>
      <c r="J69" s="2"/>
      <c r="K69" s="2" t="s">
        <v>481</v>
      </c>
      <c r="L69" s="2" t="str">
        <f>_xlfn.TEXTJOIN("|",FALSE,Table1[[#This Row],[Target Entity]],Table1[[#This Row],[Target DEV SB ID]])</f>
        <v>Demand Bundle|fdx_vbnrb_ty26_hard</v>
      </c>
      <c r="M69" s="2" t="s">
        <v>201</v>
      </c>
      <c r="N69" s="2" t="s">
        <v>5815</v>
      </c>
      <c r="O69" s="2" t="s">
        <v>6106</v>
      </c>
      <c r="P69" s="2" t="s">
        <v>821</v>
      </c>
      <c r="Q69" s="2" t="s">
        <v>19</v>
      </c>
      <c r="R69" s="2" t="s">
        <v>19</v>
      </c>
      <c r="S69" s="2"/>
      <c r="T69" s="2" t="s">
        <v>1095</v>
      </c>
      <c r="U69" s="2" t="s">
        <v>202</v>
      </c>
      <c r="V69" s="2" t="s">
        <v>6104</v>
      </c>
      <c r="W69" s="2" t="str">
        <f>_xlfn.XLOOKUP(Table1[[#This Row],[Source PROD ID]],Prod_fields[ID],Prod_fields[Attribute Name],"0-Not Found",0,1)</f>
        <v>0-Not Found</v>
      </c>
      <c r="X69" s="2" t="str">
        <f>_xlfn.XLOOKUP(Table1[[#This Row],[Target DEV SB ID]],New_fields[ID],New_fields[Attribute Name],"0-Not Found",0,1)</f>
        <v>Net Recurring Benefits TY '26 -P&amp;L/Hard</v>
      </c>
      <c r="Y69" s="2" t="b">
        <f>Table1[[#This Row],[Prod Source field name]]=Table1[[#This Row],[New instance Target field name]]</f>
        <v>0</v>
      </c>
      <c r="Z69" s="2" t="b">
        <f>Table1[[#This Row],[Target Field Name]]=Table1[[#This Row],[New instance Target field name]]</f>
        <v>1</v>
      </c>
      <c r="AA69" s="2" t="s">
        <v>18</v>
      </c>
      <c r="AB69" s="2" t="s">
        <v>555</v>
      </c>
      <c r="AC69" s="2" t="s">
        <v>190</v>
      </c>
      <c r="AD69" s="2" t="s">
        <v>19</v>
      </c>
      <c r="AE69" s="5"/>
      <c r="AF69" s="5" t="s">
        <v>6047</v>
      </c>
      <c r="AG69" s="5" t="s">
        <v>540</v>
      </c>
      <c r="AH69" s="5" t="s">
        <v>1095</v>
      </c>
      <c r="AI69" s="5" t="s">
        <v>1095</v>
      </c>
      <c r="AJ69" s="5" t="s">
        <v>1095</v>
      </c>
      <c r="AK69" s="5" t="s">
        <v>1095</v>
      </c>
      <c r="AL69" s="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row>
    <row r="70" spans="1:60" ht="55.2" x14ac:dyDescent="0.3">
      <c r="A70" s="4" t="s">
        <v>480</v>
      </c>
      <c r="B70" s="4" t="s">
        <v>822</v>
      </c>
      <c r="C70" s="4" t="s">
        <v>819</v>
      </c>
      <c r="D70" s="4" t="s">
        <v>820</v>
      </c>
      <c r="E70" s="4" t="s">
        <v>1095</v>
      </c>
      <c r="F70" s="4" t="s">
        <v>38</v>
      </c>
      <c r="G70" s="2" t="s">
        <v>119</v>
      </c>
      <c r="H70" s="2">
        <v>68</v>
      </c>
      <c r="I70" s="2" t="s">
        <v>386</v>
      </c>
      <c r="J70" s="2"/>
      <c r="K70" s="2" t="s">
        <v>481</v>
      </c>
      <c r="L70" s="2" t="str">
        <f>_xlfn.TEXTJOIN("|",FALSE,Table1[[#This Row],[Target Entity]],Table1[[#This Row],[Target DEV SB ID]])</f>
        <v>Demand Bundle|fdx_l1_nrb_soft_wrk</v>
      </c>
      <c r="M70" s="2" t="s">
        <v>203</v>
      </c>
      <c r="N70" s="2" t="s">
        <v>5821</v>
      </c>
      <c r="O70" s="2"/>
      <c r="P70" s="2" t="s">
        <v>821</v>
      </c>
      <c r="Q70" s="2" t="s">
        <v>33</v>
      </c>
      <c r="R70" s="2" t="s">
        <v>623</v>
      </c>
      <c r="S70" s="2" t="s">
        <v>48</v>
      </c>
      <c r="T70" s="2" t="s">
        <v>48</v>
      </c>
      <c r="U70" s="2" t="s">
        <v>204</v>
      </c>
      <c r="V70" s="2" t="s">
        <v>5957</v>
      </c>
      <c r="W70" s="2" t="str">
        <f>_xlfn.XLOOKUP(Table1[[#This Row],[Source PROD ID]],Prod_fields[ID],Prod_fields[Attribute Name],"0-Not Found",0,1)</f>
        <v>L1 Net Recurring Benefits ($, annualized)-Soft</v>
      </c>
      <c r="X70" s="2" t="str">
        <f>_xlfn.XLOOKUP(Table1[[#This Row],[Target DEV SB ID]],New_fields[ID],New_fields[Attribute Name],"0-Not Found",0,1)</f>
        <v>Net Recurring Benefits -Soft</v>
      </c>
      <c r="Y70" s="2" t="b">
        <f>Table1[[#This Row],[Prod Source field name]]=Table1[[#This Row],[New instance Target field name]]</f>
        <v>0</v>
      </c>
      <c r="Z70" s="2" t="b">
        <f>Table1[[#This Row],[Target Field Name]]=Table1[[#This Row],[New instance Target field name]]</f>
        <v>1</v>
      </c>
      <c r="AA70" s="2" t="s">
        <v>18</v>
      </c>
      <c r="AB70" s="2" t="s">
        <v>555</v>
      </c>
      <c r="AC70" s="2" t="s">
        <v>190</v>
      </c>
      <c r="AD70" s="2" t="s">
        <v>19</v>
      </c>
      <c r="AE70" s="5"/>
      <c r="AF70" s="5" t="s">
        <v>6048</v>
      </c>
      <c r="AG70" s="5" t="s">
        <v>540</v>
      </c>
      <c r="AH70" s="5" t="s">
        <v>1095</v>
      </c>
      <c r="AI70" s="5" t="s">
        <v>1095</v>
      </c>
      <c r="AJ70" s="5" t="s">
        <v>1095</v>
      </c>
      <c r="AK70" s="5" t="s">
        <v>1095</v>
      </c>
      <c r="AL70" s="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row>
    <row r="71" spans="1:60" ht="55.2" x14ac:dyDescent="0.3">
      <c r="A71" s="4" t="s">
        <v>480</v>
      </c>
      <c r="B71" s="4" t="s">
        <v>822</v>
      </c>
      <c r="C71" s="4" t="s">
        <v>819</v>
      </c>
      <c r="D71" s="4" t="s">
        <v>820</v>
      </c>
      <c r="E71" s="4" t="s">
        <v>1095</v>
      </c>
      <c r="F71" s="4" t="s">
        <v>38</v>
      </c>
      <c r="G71" s="2" t="s">
        <v>119</v>
      </c>
      <c r="H71" s="2">
        <v>69</v>
      </c>
      <c r="I71" s="2" t="s">
        <v>386</v>
      </c>
      <c r="J71" s="2"/>
      <c r="K71" s="2" t="s">
        <v>481</v>
      </c>
      <c r="L71" s="2" t="str">
        <f>_xlfn.TEXTJOIN("|",FALSE,Table1[[#This Row],[Target Entity]],Table1[[#This Row],[Target DEV SB ID]])</f>
        <v>Demand Bundle|fdx_vbnrb_total</v>
      </c>
      <c r="M71" s="2" t="s">
        <v>205</v>
      </c>
      <c r="N71" s="2" t="s">
        <v>5815</v>
      </c>
      <c r="O71" s="2" t="s">
        <v>6108</v>
      </c>
      <c r="P71" s="2" t="s">
        <v>821</v>
      </c>
      <c r="Q71" s="2" t="s">
        <v>19</v>
      </c>
      <c r="R71" s="2" t="s">
        <v>19</v>
      </c>
      <c r="S71" s="2"/>
      <c r="T71" s="2" t="s">
        <v>1095</v>
      </c>
      <c r="U71" s="2" t="s">
        <v>206</v>
      </c>
      <c r="V71" s="2" t="s">
        <v>6109</v>
      </c>
      <c r="W71" s="2" t="str">
        <f>_xlfn.XLOOKUP(Table1[[#This Row],[Source PROD ID]],Prod_fields[ID],Prod_fields[Attribute Name],"0-Not Found",0,1)</f>
        <v>0-Not Found</v>
      </c>
      <c r="X71" s="2" t="str">
        <f>_xlfn.XLOOKUP(Table1[[#This Row],[Target DEV SB ID]],New_fields[ID],New_fields[Attribute Name],"0-Not Found",0,1)</f>
        <v>Net Recurring Benefits -Total</v>
      </c>
      <c r="Y71" s="2" t="b">
        <f>Table1[[#This Row],[Prod Source field name]]=Table1[[#This Row],[New instance Target field name]]</f>
        <v>0</v>
      </c>
      <c r="Z71" s="2" t="b">
        <f>Table1[[#This Row],[Target Field Name]]=Table1[[#This Row],[New instance Target field name]]</f>
        <v>1</v>
      </c>
      <c r="AA71" s="2" t="s">
        <v>18</v>
      </c>
      <c r="AB71" s="2" t="s">
        <v>555</v>
      </c>
      <c r="AC71" s="2" t="s">
        <v>190</v>
      </c>
      <c r="AD71" s="2" t="s">
        <v>19</v>
      </c>
      <c r="AE71" s="5"/>
      <c r="AF71" s="5" t="s">
        <v>6049</v>
      </c>
      <c r="AG71" s="5" t="s">
        <v>540</v>
      </c>
      <c r="AH71" s="5" t="s">
        <v>1095</v>
      </c>
      <c r="AI71" s="5" t="s">
        <v>1095</v>
      </c>
      <c r="AJ71" s="5" t="s">
        <v>1095</v>
      </c>
      <c r="AK71" s="5" t="s">
        <v>1095</v>
      </c>
      <c r="AL71" s="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row>
    <row r="72" spans="1:60" ht="55.2" x14ac:dyDescent="0.3">
      <c r="A72" s="4" t="s">
        <v>480</v>
      </c>
      <c r="B72" s="4" t="s">
        <v>822</v>
      </c>
      <c r="C72" s="4" t="s">
        <v>819</v>
      </c>
      <c r="D72" s="4" t="s">
        <v>820</v>
      </c>
      <c r="E72" s="4" t="s">
        <v>1095</v>
      </c>
      <c r="F72" s="4" t="s">
        <v>38</v>
      </c>
      <c r="G72" s="2" t="s">
        <v>119</v>
      </c>
      <c r="H72" s="2">
        <v>70</v>
      </c>
      <c r="I72" s="2" t="s">
        <v>386</v>
      </c>
      <c r="J72" s="2"/>
      <c r="K72" s="2" t="s">
        <v>481</v>
      </c>
      <c r="L72" s="2" t="str">
        <f>_xlfn.TEXTJOIN("|",FALSE,Table1[[#This Row],[Target Entity]],Table1[[#This Row],[Target DEV SB ID]])</f>
        <v>Demand Bundle|fdx_l1_otb_total_wrk</v>
      </c>
      <c r="M72" s="2" t="s">
        <v>207</v>
      </c>
      <c r="N72" s="2" t="s">
        <v>5821</v>
      </c>
      <c r="O72" s="2"/>
      <c r="P72" s="2" t="s">
        <v>821</v>
      </c>
      <c r="Q72" s="2" t="s">
        <v>33</v>
      </c>
      <c r="R72" s="2" t="s">
        <v>623</v>
      </c>
      <c r="S72" s="2" t="s">
        <v>52</v>
      </c>
      <c r="T72" s="2" t="s">
        <v>52</v>
      </c>
      <c r="U72" s="2" t="s">
        <v>209</v>
      </c>
      <c r="V72" s="2" t="s">
        <v>6107</v>
      </c>
      <c r="W72" s="2" t="str">
        <f>_xlfn.XLOOKUP(Table1[[#This Row],[Source PROD ID]],Prod_fields[ID],Prod_fields[Attribute Name],"0-Not Found",0,1)</f>
        <v>L1 One-time Benefit ($)</v>
      </c>
      <c r="X72" s="2" t="str">
        <f>_xlfn.XLOOKUP(Table1[[#This Row],[Target DEV SB ID]],New_fields[ID],New_fields[Attribute Name],"0-Not Found",0,1)</f>
        <v>One-time Benefit ($)</v>
      </c>
      <c r="Y72" s="2" t="b">
        <f>Table1[[#This Row],[Prod Source field name]]=Table1[[#This Row],[New instance Target field name]]</f>
        <v>0</v>
      </c>
      <c r="Z72" s="2" t="b">
        <f>Table1[[#This Row],[Target Field Name]]=Table1[[#This Row],[New instance Target field name]]</f>
        <v>1</v>
      </c>
      <c r="AA72" s="2" t="s">
        <v>18</v>
      </c>
      <c r="AB72" s="2" t="s">
        <v>555</v>
      </c>
      <c r="AC72" s="2" t="s">
        <v>190</v>
      </c>
      <c r="AD72" s="2" t="s">
        <v>19</v>
      </c>
      <c r="AE72" s="5"/>
      <c r="AF72" s="5" t="s">
        <v>1095</v>
      </c>
      <c r="AG72" s="5" t="s">
        <v>540</v>
      </c>
      <c r="AH72" s="5" t="s">
        <v>1095</v>
      </c>
      <c r="AI72" s="5" t="s">
        <v>1095</v>
      </c>
      <c r="AJ72" s="5" t="s">
        <v>1095</v>
      </c>
      <c r="AK72" s="5" t="s">
        <v>1095</v>
      </c>
      <c r="AL72" s="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row>
    <row r="73" spans="1:60" ht="409.6" x14ac:dyDescent="0.3">
      <c r="A73" s="4" t="s">
        <v>480</v>
      </c>
      <c r="B73" s="4" t="s">
        <v>822</v>
      </c>
      <c r="C73" s="4" t="s">
        <v>819</v>
      </c>
      <c r="D73" s="4" t="s">
        <v>820</v>
      </c>
      <c r="E73" s="4" t="s">
        <v>1095</v>
      </c>
      <c r="F73" s="4" t="s">
        <v>38</v>
      </c>
      <c r="G73" s="2" t="s">
        <v>119</v>
      </c>
      <c r="H73" s="2">
        <v>71</v>
      </c>
      <c r="I73" s="2" t="s">
        <v>386</v>
      </c>
      <c r="J73" s="2"/>
      <c r="K73" s="2" t="s">
        <v>481</v>
      </c>
      <c r="L73" s="2" t="str">
        <f>_xlfn.TEXTJOIN("|",FALSE,Table1[[#This Row],[Target Entity]],Table1[[#This Row],[Target DEV SB ID]])</f>
        <v>Demand Bundle|Wbs143</v>
      </c>
      <c r="M73" s="2" t="s">
        <v>484</v>
      </c>
      <c r="N73" s="2" t="s">
        <v>5815</v>
      </c>
      <c r="O73" s="2" t="s">
        <v>6112</v>
      </c>
      <c r="P73" s="2" t="s">
        <v>821</v>
      </c>
      <c r="Q73" s="2" t="s">
        <v>33</v>
      </c>
      <c r="R73" s="2" t="s">
        <v>33</v>
      </c>
      <c r="S73" s="102" t="s">
        <v>75</v>
      </c>
      <c r="T73" s="2" t="s">
        <v>75</v>
      </c>
      <c r="U73" s="2" t="s">
        <v>276</v>
      </c>
      <c r="V73" s="2" t="s">
        <v>6187</v>
      </c>
      <c r="W73" s="2" t="str">
        <f>_xlfn.XLOOKUP(Table1[[#This Row],[Source PROD ID]],Prod_fields[ID],Prod_fields[Attribute Name],"0-Not Found",0,1)</f>
        <v>0-Not Found</v>
      </c>
      <c r="X73" s="2" t="str">
        <f>_xlfn.XLOOKUP(Table1[[#This Row],[Target DEV SB ID]],New_fields[ID],New_fields[Attribute Name],"0-Not Found",0,1)</f>
        <v>Enterprise KPIs</v>
      </c>
      <c r="Y73" s="2" t="b">
        <f>Table1[[#This Row],[Prod Source field name]]=Table1[[#This Row],[New instance Target field name]]</f>
        <v>0</v>
      </c>
      <c r="Z73" s="2" t="b">
        <f>Table1[[#This Row],[Target Field Name]]=Table1[[#This Row],[New instance Target field name]]</f>
        <v>1</v>
      </c>
      <c r="AA73" s="2" t="s">
        <v>57</v>
      </c>
      <c r="AB73" s="2" t="s">
        <v>539</v>
      </c>
      <c r="AC73" s="2" t="s">
        <v>35</v>
      </c>
      <c r="AD73" s="2" t="s">
        <v>33</v>
      </c>
      <c r="AE73" s="5" t="str">
        <f>_xlfn.TEXTJOIN(CHAR(10),TRUE,VAL_str134_KPI[])</f>
        <v>% of Revenue
$ of Renewed Technology Contracts
ADV
Accident Rate Change
Aircraft Maintenance per Flight Hour
Attrition Rate
Bad Debt %
Box Stack Efficiency %
Bulk Out Failure
Burn Rate
Cage Rate %
Churn %
Clearance-Related Service Failures
CLH pivot Optimization %
Code 85 %
Consolidated LH $ per Mile
Contact Problem Rate
C. Ops Wage Rate
Cost per Available Cu. Ft. Mile
Cost per Hire
Cost per Mile
Cost per Stop
CSP Contingency
Cube Load Factor %
Dead on Arrival %
Density Score %
EDD Accuracy %
Expense as % of Revenue
Freight Stack Efficiency %
FRO Routing Compliance %
Headcount Change
Injury Rate Change
Invoice Accuracy %
LH Connection Cost
LH Total Miles per Pkg
Load Factor - Air
Load Factor - Road
Long-term Injury Frequency Rate
MIS Flow %
Missing Paperwork %
N/A
Net Pickup Reliability %
Net Promoter Score
Net Service Level %
# of Actively Maintained Apps
# of buildings closed
# of buildings opened
# of buildings transformed
# of Damage Claims
% of Data Products Internally Built
# of Missing Packages
# of Retired EAIs
% of SAM
On-time Clearance %
On-time Flight Departure %
Package Placement Score %
Packages per FTE
Packages per Stop
PH Wage Rate
Point-to-Catchment %
RDL
Recurring Problem Rate
Resolved Problem Rate
Revenue - Primarily B2B
Revenue - Primarily B2C
Scan Compliance %
Scan Compliance/ HIP or HOP
Self Service Solution %
Settlement $ per Stop
Shipment Overages
Sort pkg per TLH
Sort Pkgs per TLH
Station Sort End Times
Stops per Resource
Transaction per FTE
Volume per TLH
WIP
Wrong Address %
Yield</v>
      </c>
      <c r="AF73" s="5" t="s">
        <v>6050</v>
      </c>
      <c r="AG73" s="5" t="s">
        <v>540</v>
      </c>
      <c r="AH73" s="5" t="s">
        <v>1095</v>
      </c>
      <c r="AI73" s="5" t="s">
        <v>1095</v>
      </c>
      <c r="AJ73" s="5" t="s">
        <v>1095</v>
      </c>
      <c r="AK73" s="5" t="s">
        <v>1095</v>
      </c>
      <c r="AL73" s="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row>
    <row r="74" spans="1:60" ht="317.39999999999998" x14ac:dyDescent="0.3">
      <c r="A74" s="4" t="s">
        <v>480</v>
      </c>
      <c r="B74" s="4" t="s">
        <v>822</v>
      </c>
      <c r="C74" s="4" t="s">
        <v>819</v>
      </c>
      <c r="D74" s="4" t="s">
        <v>820</v>
      </c>
      <c r="E74" s="4" t="s">
        <v>1095</v>
      </c>
      <c r="F74" s="4" t="s">
        <v>38</v>
      </c>
      <c r="G74" s="2" t="s">
        <v>119</v>
      </c>
      <c r="H74" s="2">
        <v>72</v>
      </c>
      <c r="I74" s="2" t="s">
        <v>386</v>
      </c>
      <c r="J74" s="2"/>
      <c r="K74" s="2" t="s">
        <v>481</v>
      </c>
      <c r="L74" s="2" t="str">
        <f>_xlfn.TEXTJOIN("|",FALSE,Table1[[#This Row],[Target Entity]],Table1[[#This Row],[Target DEV SB ID]])</f>
        <v>Demand Bundle|Str119</v>
      </c>
      <c r="M74" s="2" t="s">
        <v>55</v>
      </c>
      <c r="N74" s="2"/>
      <c r="O74" s="2"/>
      <c r="P74" s="2" t="s">
        <v>821</v>
      </c>
      <c r="Q74" s="2" t="s">
        <v>33</v>
      </c>
      <c r="R74" s="2" t="s">
        <v>33</v>
      </c>
      <c r="S74" s="2" t="s">
        <v>56</v>
      </c>
      <c r="T74" s="2" t="s">
        <v>56</v>
      </c>
      <c r="U74" s="2" t="s">
        <v>56</v>
      </c>
      <c r="V74" s="2" t="s">
        <v>6188</v>
      </c>
      <c r="W74" s="2" t="str">
        <f>_xlfn.XLOOKUP(Table1[[#This Row],[Source PROD ID]],Prod_fields[ID],Prod_fields[Attribute Name],"0-Not Found",0,1)</f>
        <v>Primary Type of Value</v>
      </c>
      <c r="X74" s="2" t="str">
        <f>_xlfn.XLOOKUP(Table1[[#This Row],[Target DEV SB ID]],New_fields[ID],New_fields[Attribute Name],"0-Not Found",0,1)</f>
        <v>Primary Type of Value</v>
      </c>
      <c r="Y74" s="2" t="b">
        <f>Table1[[#This Row],[Prod Source field name]]=Table1[[#This Row],[New instance Target field name]]</f>
        <v>1</v>
      </c>
      <c r="Z74" s="2" t="b">
        <f>Table1[[#This Row],[Target Field Name]]=Table1[[#This Row],[New instance Target field name]]</f>
        <v>1</v>
      </c>
      <c r="AA74" s="2" t="s">
        <v>57</v>
      </c>
      <c r="AB74" s="2" t="s">
        <v>539</v>
      </c>
      <c r="AC74" s="2" t="s">
        <v>32</v>
      </c>
      <c r="AD74" s="2" t="s">
        <v>33</v>
      </c>
      <c r="AE74" s="5" t="str">
        <f>_xlfn.TEXTJOIN(CHAR(10),TRUE,VAL_str119_TypeValue[])</f>
        <v>Brand
Financial - Cost Avoidance
Financial - Cost Savings/Reductions
Customer Experience - Recipient Experience
Customer Experience - Visibility
Customer Experience - Problem Resolution
Customer Experience - Other
Innovation
Financial - Revenue Growth (Customer Acquisition) 
Financial - Revenue Growth (Yield)
Financial - Revenue Protection
Safety/Legal
Service - Modernization
Service - Other
Sustainability
Talent and Culture
Tech Reliability
Tech Development Experience</v>
      </c>
      <c r="AF74" s="5" t="s">
        <v>6023</v>
      </c>
      <c r="AG74" s="5" t="s">
        <v>540</v>
      </c>
      <c r="AH74" s="5" t="s">
        <v>1095</v>
      </c>
      <c r="AI74" s="5" t="s">
        <v>1095</v>
      </c>
      <c r="AJ74" s="5" t="s">
        <v>1095</v>
      </c>
      <c r="AK74" s="5" t="s">
        <v>1095</v>
      </c>
      <c r="AL74" s="5"/>
      <c r="AM74" s="105"/>
      <c r="AN74" s="105"/>
      <c r="AO74" s="105"/>
      <c r="AP74" s="105"/>
      <c r="AQ74" s="105"/>
      <c r="AR74" s="105"/>
      <c r="AS74" s="105"/>
      <c r="AT74" s="105"/>
      <c r="AU74" s="105"/>
      <c r="AV74" s="105"/>
      <c r="AW74" s="105"/>
      <c r="AX74" s="105"/>
      <c r="AY74" s="105"/>
      <c r="AZ74" s="105"/>
      <c r="BA74" s="105"/>
      <c r="BB74" s="105"/>
      <c r="BC74" s="105"/>
      <c r="BD74" s="105"/>
      <c r="BE74" s="105"/>
      <c r="BF74" s="105"/>
      <c r="BG74" s="105"/>
      <c r="BH74" s="105"/>
    </row>
    <row r="75" spans="1:60" ht="55.2" x14ac:dyDescent="0.3">
      <c r="A75" s="4" t="s">
        <v>480</v>
      </c>
      <c r="B75" s="4" t="s">
        <v>822</v>
      </c>
      <c r="C75" s="4" t="s">
        <v>819</v>
      </c>
      <c r="D75" s="4" t="s">
        <v>820</v>
      </c>
      <c r="E75" s="4" t="s">
        <v>1095</v>
      </c>
      <c r="F75" s="4" t="s">
        <v>38</v>
      </c>
      <c r="G75" s="2" t="s">
        <v>119</v>
      </c>
      <c r="H75" s="2">
        <v>73</v>
      </c>
      <c r="I75" s="2" t="s">
        <v>386</v>
      </c>
      <c r="J75" s="2"/>
      <c r="K75" s="2" t="s">
        <v>481</v>
      </c>
      <c r="L75" s="2" t="str">
        <f>_xlfn.TEXTJOIN("|",FALSE,Table1[[#This Row],[Target Entity]],Table1[[#This Row],[Target DEV SB ID]])</f>
        <v>Demand Bundle|Str128</v>
      </c>
      <c r="M75" s="2" t="s">
        <v>210</v>
      </c>
      <c r="N75" s="2" t="s">
        <v>5815</v>
      </c>
      <c r="O75" s="13" t="s">
        <v>5876</v>
      </c>
      <c r="P75" s="2" t="s">
        <v>821</v>
      </c>
      <c r="Q75" s="2" t="s">
        <v>33</v>
      </c>
      <c r="R75" s="2" t="s">
        <v>623</v>
      </c>
      <c r="S75" s="2" t="s">
        <v>211</v>
      </c>
      <c r="T75" s="2" t="s">
        <v>211</v>
      </c>
      <c r="U75" s="2" t="s">
        <v>211</v>
      </c>
      <c r="V75" s="2"/>
      <c r="W75" s="2" t="str">
        <f>_xlfn.XLOOKUP(Table1[[#This Row],[Source PROD ID]],Prod_fields[ID],Prod_fields[Attribute Name],"0-Not Found",0,1)</f>
        <v>Primary Type of Value Impact</v>
      </c>
      <c r="X75" s="2" t="str">
        <f>_xlfn.XLOOKUP(Table1[[#This Row],[Target DEV SB ID]],New_fields[ID],New_fields[Attribute Name],"0-Not Found",0,1)</f>
        <v>Primary Type of Value Impact</v>
      </c>
      <c r="Y75" s="2" t="b">
        <f>Table1[[#This Row],[Prod Source field name]]=Table1[[#This Row],[New instance Target field name]]</f>
        <v>1</v>
      </c>
      <c r="Z75" s="2" t="b">
        <f>Table1[[#This Row],[Target Field Name]]=Table1[[#This Row],[New instance Target field name]]</f>
        <v>1</v>
      </c>
      <c r="AA75" s="2" t="s">
        <v>57</v>
      </c>
      <c r="AB75" s="2" t="s">
        <v>539</v>
      </c>
      <c r="AC75" s="2" t="s">
        <v>32</v>
      </c>
      <c r="AD75" s="2" t="s">
        <v>33</v>
      </c>
      <c r="AE75" s="5" t="str">
        <f>_xlfn.TEXTJOIN(CHAR(10),TRUE,VAL_str128_value_impact[])</f>
        <v>High
Medium
Low</v>
      </c>
      <c r="AF75" s="5" t="s">
        <v>6051</v>
      </c>
      <c r="AG75" s="5" t="s">
        <v>540</v>
      </c>
      <c r="AH75" s="5" t="s">
        <v>1095</v>
      </c>
      <c r="AI75" s="5" t="s">
        <v>1095</v>
      </c>
      <c r="AJ75" s="5" t="s">
        <v>1095</v>
      </c>
      <c r="AK75" s="5" t="s">
        <v>1095</v>
      </c>
      <c r="AL75" s="5"/>
      <c r="AM75" s="105"/>
      <c r="AN75" s="105"/>
      <c r="AO75" s="105"/>
      <c r="AP75" s="105"/>
      <c r="AQ75" s="105"/>
      <c r="AR75" s="105"/>
      <c r="AS75" s="105"/>
      <c r="AT75" s="105"/>
      <c r="AU75" s="105"/>
      <c r="AV75" s="105"/>
      <c r="AW75" s="105"/>
      <c r="AX75" s="105"/>
      <c r="AY75" s="105"/>
      <c r="AZ75" s="105"/>
      <c r="BA75" s="105"/>
      <c r="BB75" s="105"/>
      <c r="BC75" s="105"/>
      <c r="BD75" s="105"/>
      <c r="BE75" s="105"/>
      <c r="BF75" s="105"/>
      <c r="BG75" s="105"/>
      <c r="BH75" s="105"/>
    </row>
    <row r="76" spans="1:60" ht="55.2" x14ac:dyDescent="0.3">
      <c r="A76" s="4" t="s">
        <v>480</v>
      </c>
      <c r="B76" s="4" t="s">
        <v>822</v>
      </c>
      <c r="C76" s="4" t="s">
        <v>819</v>
      </c>
      <c r="D76" s="4" t="s">
        <v>820</v>
      </c>
      <c r="E76" s="4" t="s">
        <v>1095</v>
      </c>
      <c r="F76" s="4" t="s">
        <v>38</v>
      </c>
      <c r="G76" s="2" t="s">
        <v>119</v>
      </c>
      <c r="H76" s="2">
        <v>74</v>
      </c>
      <c r="I76" s="2" t="s">
        <v>386</v>
      </c>
      <c r="J76" s="2"/>
      <c r="K76" s="2" t="s">
        <v>481</v>
      </c>
      <c r="L76" s="2" t="str">
        <f>_xlfn.TEXTJOIN("|",FALSE,Table1[[#This Row],[Target Entity]],Table1[[#This Row],[Target DEV SB ID]])</f>
        <v>Demand Bundle|Wbs75</v>
      </c>
      <c r="M76" s="2" t="s">
        <v>485</v>
      </c>
      <c r="N76" s="2" t="s">
        <v>5821</v>
      </c>
      <c r="O76" s="2"/>
      <c r="P76" s="2" t="s">
        <v>821</v>
      </c>
      <c r="Q76" s="2" t="s">
        <v>19</v>
      </c>
      <c r="R76" s="2" t="s">
        <v>19</v>
      </c>
      <c r="S76" s="102" t="s">
        <v>6189</v>
      </c>
      <c r="T76" s="2" t="s">
        <v>1095</v>
      </c>
      <c r="U76" s="2" t="s">
        <v>214</v>
      </c>
      <c r="V76" s="2" t="s">
        <v>6190</v>
      </c>
      <c r="W76" s="2" t="str">
        <f>_xlfn.XLOOKUP(Table1[[#This Row],[Source PROD ID]],Prod_fields[ID],Prod_fields[Attribute Name],"0-Not Found",0,1)</f>
        <v>Impacts Value Prop or Risk to Customer Service?</v>
      </c>
      <c r="X76" s="2" t="str">
        <f>_xlfn.XLOOKUP(Table1[[#This Row],[Target DEV SB ID]],New_fields[ID],New_fields[Attribute Name],"0-Not Found",0,1)</f>
        <v>Does this Work impact Customer Experience?</v>
      </c>
      <c r="Y76" s="2" t="b">
        <f>Table1[[#This Row],[Prod Source field name]]=Table1[[#This Row],[New instance Target field name]]</f>
        <v>0</v>
      </c>
      <c r="Z76" s="2" t="b">
        <f>Table1[[#This Row],[Target Field Name]]=Table1[[#This Row],[New instance Target field name]]</f>
        <v>1</v>
      </c>
      <c r="AA76" s="2" t="s">
        <v>57</v>
      </c>
      <c r="AB76" s="2" t="s">
        <v>539</v>
      </c>
      <c r="AC76" s="2" t="s">
        <v>32</v>
      </c>
      <c r="AD76" s="2" t="s">
        <v>33</v>
      </c>
      <c r="AE76" s="5" t="str">
        <f>_xlfn.TEXTJOIN(CHAR(10),TRUE,VAL_wbs75[])</f>
        <v>Yes
No</v>
      </c>
      <c r="AF76" s="5" t="s">
        <v>1095</v>
      </c>
      <c r="AG76" s="5" t="s">
        <v>540</v>
      </c>
      <c r="AH76" s="5" t="s">
        <v>1095</v>
      </c>
      <c r="AI76" s="5" t="s">
        <v>1095</v>
      </c>
      <c r="AJ76" s="5" t="s">
        <v>1095</v>
      </c>
      <c r="AK76" s="5" t="s">
        <v>1095</v>
      </c>
      <c r="AL76" s="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row>
    <row r="77" spans="1:60" ht="55.2" x14ac:dyDescent="0.3">
      <c r="A77" s="4" t="s">
        <v>480</v>
      </c>
      <c r="B77" s="4" t="s">
        <v>822</v>
      </c>
      <c r="C77" s="4" t="s">
        <v>819</v>
      </c>
      <c r="D77" s="4" t="s">
        <v>820</v>
      </c>
      <c r="E77" s="4" t="s">
        <v>1095</v>
      </c>
      <c r="F77" s="4" t="s">
        <v>38</v>
      </c>
      <c r="G77" s="2" t="s">
        <v>119</v>
      </c>
      <c r="H77" s="2">
        <v>75</v>
      </c>
      <c r="I77" s="2" t="s">
        <v>386</v>
      </c>
      <c r="J77" s="2"/>
      <c r="K77" s="2" t="s">
        <v>481</v>
      </c>
      <c r="L77" s="2" t="str">
        <f>_xlfn.TEXTJOIN("|",FALSE,Table1[[#This Row],[Target Entity]],Table1[[#This Row],[Target DEV SB ID]])</f>
        <v>Demand Bundle|Wbs57</v>
      </c>
      <c r="M77" s="2" t="s">
        <v>61</v>
      </c>
      <c r="N77" s="2" t="s">
        <v>5821</v>
      </c>
      <c r="O77" s="2"/>
      <c r="P77" s="2" t="s">
        <v>821</v>
      </c>
      <c r="Q77" s="2" t="s">
        <v>19</v>
      </c>
      <c r="R77" s="2" t="s">
        <v>19</v>
      </c>
      <c r="S77" s="2" t="s">
        <v>3491</v>
      </c>
      <c r="T77" s="2" t="s">
        <v>1095</v>
      </c>
      <c r="U77" s="2" t="s">
        <v>63</v>
      </c>
      <c r="V77" s="2" t="s">
        <v>6191</v>
      </c>
      <c r="W77" s="2" t="str">
        <f>_xlfn.XLOOKUP(Table1[[#This Row],[Source PROD ID]],Prod_fields[ID],Prod_fields[Attribute Name],"0-Not Found",0,1)</f>
        <v>0-Not Found</v>
      </c>
      <c r="X77" s="2" t="str">
        <f>_xlfn.XLOOKUP(Table1[[#This Row],[Target DEV SB ID]],New_fields[ID],New_fields[Attribute Name],"0-Not Found",0,1)</f>
        <v>If yes, indicate level of Customer Experience impact</v>
      </c>
      <c r="Y77" s="2" t="b">
        <f>Table1[[#This Row],[Prod Source field name]]=Table1[[#This Row],[New instance Target field name]]</f>
        <v>0</v>
      </c>
      <c r="Z77" s="2" t="b">
        <f>Table1[[#This Row],[Target Field Name]]=Table1[[#This Row],[New instance Target field name]]</f>
        <v>1</v>
      </c>
      <c r="AA77" s="2" t="s">
        <v>57</v>
      </c>
      <c r="AB77" s="2" t="s">
        <v>539</v>
      </c>
      <c r="AC77" s="2" t="s">
        <v>32</v>
      </c>
      <c r="AD77" s="2" t="s">
        <v>33</v>
      </c>
      <c r="AE77" s="5" t="str">
        <f>_xlfn.TEXTJOIN(CHAR(10),TRUE,VAL_wbs57[])</f>
        <v>High
Medium
Low</v>
      </c>
      <c r="AF77" s="5" t="s">
        <v>1095</v>
      </c>
      <c r="AG77" s="5" t="s">
        <v>540</v>
      </c>
      <c r="AH77" s="5" t="s">
        <v>1095</v>
      </c>
      <c r="AI77" s="5" t="s">
        <v>1095</v>
      </c>
      <c r="AJ77" s="5" t="s">
        <v>1095</v>
      </c>
      <c r="AK77" s="5" t="s">
        <v>1095</v>
      </c>
      <c r="AL77" s="5"/>
      <c r="AM77" s="105"/>
      <c r="AN77" s="105"/>
      <c r="AO77" s="105"/>
      <c r="AP77" s="105"/>
      <c r="AQ77" s="105"/>
      <c r="AR77" s="105"/>
      <c r="AS77" s="105"/>
      <c r="AT77" s="105"/>
      <c r="AU77" s="105"/>
      <c r="AV77" s="105"/>
      <c r="AW77" s="105"/>
      <c r="AX77" s="105"/>
      <c r="AY77" s="105"/>
      <c r="AZ77" s="105"/>
      <c r="BA77" s="105"/>
      <c r="BB77" s="105"/>
      <c r="BC77" s="105"/>
      <c r="BD77" s="105"/>
      <c r="BE77" s="105"/>
      <c r="BF77" s="105"/>
      <c r="BG77" s="105"/>
      <c r="BH77" s="105"/>
    </row>
    <row r="78" spans="1:60" ht="55.2" x14ac:dyDescent="0.3">
      <c r="A78" s="4" t="s">
        <v>480</v>
      </c>
      <c r="B78" s="4" t="s">
        <v>822</v>
      </c>
      <c r="C78" s="4" t="s">
        <v>819</v>
      </c>
      <c r="D78" s="4" t="s">
        <v>820</v>
      </c>
      <c r="E78" s="4" t="s">
        <v>1095</v>
      </c>
      <c r="F78" s="4" t="s">
        <v>38</v>
      </c>
      <c r="G78" s="2" t="s">
        <v>119</v>
      </c>
      <c r="H78" s="2">
        <v>76</v>
      </c>
      <c r="I78" s="2" t="s">
        <v>386</v>
      </c>
      <c r="J78" s="2"/>
      <c r="K78" s="2" t="s">
        <v>481</v>
      </c>
      <c r="L78" s="2" t="str">
        <f>_xlfn.TEXTJOIN("|",FALSE,Table1[[#This Row],[Target Entity]],Table1[[#This Row],[Target DEV SB ID]])</f>
        <v>Demand Bundle|Wbs76</v>
      </c>
      <c r="M78" s="2" t="s">
        <v>486</v>
      </c>
      <c r="N78" s="2" t="s">
        <v>5821</v>
      </c>
      <c r="O78" s="2"/>
      <c r="P78" s="2" t="s">
        <v>821</v>
      </c>
      <c r="Q78" s="2" t="s">
        <v>19</v>
      </c>
      <c r="R78" s="2" t="s">
        <v>19</v>
      </c>
      <c r="S78" s="2" t="s">
        <v>3491</v>
      </c>
      <c r="T78" s="2" t="s">
        <v>1095</v>
      </c>
      <c r="U78" s="2" t="s">
        <v>217</v>
      </c>
      <c r="V78" s="2" t="s">
        <v>6191</v>
      </c>
      <c r="W78" s="2" t="str">
        <f>_xlfn.XLOOKUP(Table1[[#This Row],[Source PROD ID]],Prod_fields[ID],Prod_fields[Attribute Name],"0-Not Found",0,1)</f>
        <v>0-Not Found</v>
      </c>
      <c r="X78" s="2" t="str">
        <f>_xlfn.XLOOKUP(Table1[[#This Row],[Target DEV SB ID]],New_fields[ID],New_fields[Attribute Name],"0-Not Found",0,1)</f>
        <v>Does this Work impact Service?</v>
      </c>
      <c r="Y78" s="2" t="b">
        <f>Table1[[#This Row],[Prod Source field name]]=Table1[[#This Row],[New instance Target field name]]</f>
        <v>0</v>
      </c>
      <c r="Z78" s="2" t="b">
        <f>Table1[[#This Row],[Target Field Name]]=Table1[[#This Row],[New instance Target field name]]</f>
        <v>1</v>
      </c>
      <c r="AA78" s="2" t="s">
        <v>57</v>
      </c>
      <c r="AB78" s="2" t="s">
        <v>539</v>
      </c>
      <c r="AC78" s="2" t="s">
        <v>32</v>
      </c>
      <c r="AD78" s="2" t="s">
        <v>33</v>
      </c>
      <c r="AE78" s="5" t="str">
        <f>_xlfn.TEXTJOIN(CHAR(10),TRUE,VAL_wbs76[])</f>
        <v>Yes
No</v>
      </c>
      <c r="AF78" s="5" t="s">
        <v>1095</v>
      </c>
      <c r="AG78" s="5" t="s">
        <v>540</v>
      </c>
      <c r="AH78" s="5" t="s">
        <v>1095</v>
      </c>
      <c r="AI78" s="5" t="s">
        <v>1095</v>
      </c>
      <c r="AJ78" s="5" t="s">
        <v>1095</v>
      </c>
      <c r="AK78" s="5" t="s">
        <v>1095</v>
      </c>
      <c r="AL78" s="5"/>
      <c r="AM78" s="105"/>
      <c r="AN78" s="105"/>
      <c r="AO78" s="105"/>
      <c r="AP78" s="105"/>
      <c r="AQ78" s="105"/>
      <c r="AR78" s="105"/>
      <c r="AS78" s="105"/>
      <c r="AT78" s="105"/>
      <c r="AU78" s="105"/>
      <c r="AV78" s="105"/>
      <c r="AW78" s="105"/>
      <c r="AX78" s="105"/>
      <c r="AY78" s="105"/>
      <c r="AZ78" s="105"/>
      <c r="BA78" s="105"/>
      <c r="BB78" s="105"/>
      <c r="BC78" s="105"/>
      <c r="BD78" s="105"/>
      <c r="BE78" s="105"/>
      <c r="BF78" s="105"/>
      <c r="BG78" s="105"/>
      <c r="BH78" s="105"/>
    </row>
    <row r="79" spans="1:60" ht="55.2" x14ac:dyDescent="0.3">
      <c r="A79" s="4" t="s">
        <v>480</v>
      </c>
      <c r="B79" s="4" t="s">
        <v>822</v>
      </c>
      <c r="C79" s="4" t="s">
        <v>819</v>
      </c>
      <c r="D79" s="4" t="s">
        <v>820</v>
      </c>
      <c r="E79" s="4" t="s">
        <v>1095</v>
      </c>
      <c r="F79" s="4" t="s">
        <v>38</v>
      </c>
      <c r="G79" s="2" t="s">
        <v>119</v>
      </c>
      <c r="H79" s="2">
        <v>77</v>
      </c>
      <c r="I79" s="2" t="s">
        <v>386</v>
      </c>
      <c r="J79" s="2"/>
      <c r="K79" s="2" t="s">
        <v>481</v>
      </c>
      <c r="L79" s="2" t="str">
        <f>_xlfn.TEXTJOIN("|",FALSE,Table1[[#This Row],[Target Entity]],Table1[[#This Row],[Target DEV SB ID]])</f>
        <v>Demand Bundle|Wbs59</v>
      </c>
      <c r="M79" s="2" t="s">
        <v>67</v>
      </c>
      <c r="N79" s="2" t="s">
        <v>5821</v>
      </c>
      <c r="O79" s="2"/>
      <c r="P79" s="2" t="s">
        <v>821</v>
      </c>
      <c r="Q79" s="2" t="s">
        <v>19</v>
      </c>
      <c r="R79" s="2" t="s">
        <v>19</v>
      </c>
      <c r="S79" s="2" t="s">
        <v>3491</v>
      </c>
      <c r="T79" s="2" t="s">
        <v>1095</v>
      </c>
      <c r="U79" s="2" t="s">
        <v>69</v>
      </c>
      <c r="V79" s="2" t="s">
        <v>6191</v>
      </c>
      <c r="W79" s="2" t="str">
        <f>_xlfn.XLOOKUP(Table1[[#This Row],[Source PROD ID]],Prod_fields[ID],Prod_fields[Attribute Name],"0-Not Found",0,1)</f>
        <v>0-Not Found</v>
      </c>
      <c r="X79" s="2" t="str">
        <f>_xlfn.XLOOKUP(Table1[[#This Row],[Target DEV SB ID]],New_fields[ID],New_fields[Attribute Name],"0-Not Found",0,1)</f>
        <v>If yes, indicate level of Service impact</v>
      </c>
      <c r="Y79" s="2" t="b">
        <f>Table1[[#This Row],[Prod Source field name]]=Table1[[#This Row],[New instance Target field name]]</f>
        <v>0</v>
      </c>
      <c r="Z79" s="2" t="b">
        <f>Table1[[#This Row],[Target Field Name]]=Table1[[#This Row],[New instance Target field name]]</f>
        <v>1</v>
      </c>
      <c r="AA79" s="2" t="s">
        <v>57</v>
      </c>
      <c r="AB79" s="2" t="s">
        <v>539</v>
      </c>
      <c r="AC79" s="2" t="s">
        <v>32</v>
      </c>
      <c r="AD79" s="2" t="s">
        <v>33</v>
      </c>
      <c r="AE79" s="5" t="str">
        <f>_xlfn.TEXTJOIN(CHAR(10),TRUE,VAL_wbs59[])</f>
        <v>High
Medium
Low</v>
      </c>
      <c r="AF79" s="5" t="s">
        <v>1095</v>
      </c>
      <c r="AG79" s="5" t="s">
        <v>540</v>
      </c>
      <c r="AH79" s="5" t="s">
        <v>1095</v>
      </c>
      <c r="AI79" s="5" t="s">
        <v>1095</v>
      </c>
      <c r="AJ79" s="5" t="s">
        <v>1095</v>
      </c>
      <c r="AK79" s="5" t="s">
        <v>1095</v>
      </c>
      <c r="AL79" s="5"/>
      <c r="AM79" s="105"/>
      <c r="AN79" s="105"/>
      <c r="AO79" s="105"/>
      <c r="AP79" s="105"/>
      <c r="AQ79" s="105"/>
      <c r="AR79" s="105"/>
      <c r="AS79" s="105"/>
      <c r="AT79" s="105"/>
      <c r="AU79" s="105"/>
      <c r="AV79" s="105"/>
      <c r="AW79" s="105"/>
      <c r="AX79" s="105"/>
      <c r="AY79" s="105"/>
      <c r="AZ79" s="105"/>
      <c r="BA79" s="105"/>
      <c r="BB79" s="105"/>
      <c r="BC79" s="105"/>
      <c r="BD79" s="105"/>
      <c r="BE79" s="105"/>
      <c r="BF79" s="105"/>
      <c r="BG79" s="105"/>
      <c r="BH79" s="105"/>
    </row>
    <row r="80" spans="1:60" ht="82.8" x14ac:dyDescent="0.3">
      <c r="A80" s="4" t="s">
        <v>480</v>
      </c>
      <c r="B80" s="4" t="s">
        <v>675</v>
      </c>
      <c r="C80" s="4" t="s">
        <v>487</v>
      </c>
      <c r="D80" s="4" t="s">
        <v>487</v>
      </c>
      <c r="E80" s="4" t="s">
        <v>1095</v>
      </c>
      <c r="F80" s="4" t="s">
        <v>148</v>
      </c>
      <c r="G80" s="2" t="s">
        <v>119</v>
      </c>
      <c r="H80" s="2">
        <v>78</v>
      </c>
      <c r="I80" s="2" t="s">
        <v>386</v>
      </c>
      <c r="J80" s="2"/>
      <c r="K80" s="2" t="s">
        <v>481</v>
      </c>
      <c r="L80" s="2" t="str">
        <f>_xlfn.TEXTJOIN("|",FALSE,Table1[[#This Row],[Target Entity]],Table1[[#This Row],[Target DEV SB ID]])</f>
        <v>Demand Bundle|Wbs138</v>
      </c>
      <c r="M80" s="2" t="s">
        <v>487</v>
      </c>
      <c r="N80" s="2" t="s">
        <v>5821</v>
      </c>
      <c r="O80" s="2"/>
      <c r="P80" s="2" t="s">
        <v>826</v>
      </c>
      <c r="Q80" s="2" t="s">
        <v>19</v>
      </c>
      <c r="R80" s="2" t="s">
        <v>19</v>
      </c>
      <c r="S80" s="2" t="s">
        <v>6194</v>
      </c>
      <c r="T80" s="2" t="s">
        <v>1095</v>
      </c>
      <c r="U80" s="2" t="s">
        <v>140</v>
      </c>
      <c r="V80" s="2" t="s">
        <v>6197</v>
      </c>
      <c r="W80" s="2" t="str">
        <f>_xlfn.XLOOKUP(Table1[[#This Row],[Source PROD ID]],Prod_fields[ID],Prod_fields[Attribute Name],"0-Not Found",0,1)</f>
        <v>0-Not Found</v>
      </c>
      <c r="X80" s="2" t="str">
        <f>_xlfn.XLOOKUP(Table1[[#This Row],[Target DEV SB ID]],New_fields[ID],New_fields[Attribute Name],"0-Not Found",0,1)</f>
        <v>SL3 EPG Approval</v>
      </c>
      <c r="Y80" s="2" t="b">
        <f>Table1[[#This Row],[Prod Source field name]]=Table1[[#This Row],[New instance Target field name]]</f>
        <v>0</v>
      </c>
      <c r="Z80" s="2" t="b">
        <f>Table1[[#This Row],[Target Field Name]]=Table1[[#This Row],[New instance Target field name]]</f>
        <v>1</v>
      </c>
      <c r="AA80" s="2" t="s">
        <v>57</v>
      </c>
      <c r="AB80" s="2" t="s">
        <v>539</v>
      </c>
      <c r="AC80" s="2" t="s">
        <v>32</v>
      </c>
      <c r="AD80" s="2" t="s">
        <v>33</v>
      </c>
      <c r="AE80" s="5" t="str">
        <f>_xlfn.TEXTJOIN(CHAR(10),TRUE,VAL_wbs138[])</f>
        <v>Approved
Not Approved - Feedback Requested - Financial Adjustments
Not Approved - Feedback Requested - Non-Financial Adjustments
Rejected</v>
      </c>
      <c r="AF80" s="5" t="s">
        <v>1095</v>
      </c>
      <c r="AG80" s="5" t="s">
        <v>540</v>
      </c>
      <c r="AH80" s="5" t="s">
        <v>1095</v>
      </c>
      <c r="AI80" s="5" t="s">
        <v>1095</v>
      </c>
      <c r="AJ80" s="5" t="s">
        <v>1095</v>
      </c>
      <c r="AK80" s="5" t="s">
        <v>1095</v>
      </c>
      <c r="AL80" s="5"/>
      <c r="AM80" s="105"/>
      <c r="AN80" s="105"/>
      <c r="AO80" s="105"/>
      <c r="AP80" s="105"/>
      <c r="AQ80" s="105"/>
      <c r="AR80" s="105"/>
      <c r="AS80" s="105"/>
      <c r="AT80" s="105"/>
      <c r="AU80" s="105"/>
      <c r="AV80" s="105"/>
      <c r="AW80" s="105"/>
      <c r="AX80" s="105"/>
      <c r="AY80" s="105"/>
      <c r="AZ80" s="105"/>
      <c r="BA80" s="105"/>
      <c r="BB80" s="105"/>
      <c r="BC80" s="105"/>
      <c r="BD80" s="105"/>
      <c r="BE80" s="105"/>
      <c r="BF80" s="105"/>
      <c r="BG80" s="105"/>
      <c r="BH80" s="105"/>
    </row>
    <row r="81" spans="1:60" ht="55.2" x14ac:dyDescent="0.3">
      <c r="A81" s="4" t="s">
        <v>480</v>
      </c>
      <c r="B81" s="4" t="s">
        <v>1095</v>
      </c>
      <c r="C81" s="4" t="s">
        <v>487</v>
      </c>
      <c r="D81" s="4" t="s">
        <v>487</v>
      </c>
      <c r="E81" s="4" t="s">
        <v>1095</v>
      </c>
      <c r="F81" s="4" t="s">
        <v>148</v>
      </c>
      <c r="G81" s="2" t="s">
        <v>119</v>
      </c>
      <c r="H81" s="2">
        <v>79</v>
      </c>
      <c r="I81" s="2" t="s">
        <v>386</v>
      </c>
      <c r="J81" s="2"/>
      <c r="K81" s="2" t="s">
        <v>481</v>
      </c>
      <c r="L81" s="2" t="str">
        <f>_xlfn.TEXTJOIN("|",FALSE,Table1[[#This Row],[Target Entity]],Table1[[#This Row],[Target DEV SB ID]])</f>
        <v>Demand Bundle|fdx_sl3_epg_apv_note</v>
      </c>
      <c r="M81" s="2" t="s">
        <v>488</v>
      </c>
      <c r="N81" s="2" t="s">
        <v>5821</v>
      </c>
      <c r="O81" s="2"/>
      <c r="P81" s="2" t="s">
        <v>1095</v>
      </c>
      <c r="Q81" s="2" t="s">
        <v>19</v>
      </c>
      <c r="R81" s="2" t="s">
        <v>19</v>
      </c>
      <c r="S81" s="102" t="s">
        <v>1369</v>
      </c>
      <c r="T81" s="2" t="s">
        <v>1095</v>
      </c>
      <c r="U81" s="2" t="s">
        <v>342</v>
      </c>
      <c r="V81" s="2" t="s">
        <v>6193</v>
      </c>
      <c r="W81" s="2" t="str">
        <f>_xlfn.XLOOKUP(Table1[[#This Row],[Source PROD ID]],Prod_fields[ID],Prod_fields[Attribute Name],"0-Not Found",0,1)</f>
        <v>SL3 Domain Lead Notes</v>
      </c>
      <c r="X81" s="2" t="str">
        <f>_xlfn.XLOOKUP(Table1[[#This Row],[Target DEV SB ID]],New_fields[ID],New_fields[Attribute Name],"0-Not Found",0,1)</f>
        <v>SL3 EPG Approval Notes</v>
      </c>
      <c r="Y81" s="2" t="b">
        <f>Table1[[#This Row],[Prod Source field name]]=Table1[[#This Row],[New instance Target field name]]</f>
        <v>0</v>
      </c>
      <c r="Z81" s="2" t="b">
        <f>Table1[[#This Row],[Target Field Name]]=Table1[[#This Row],[New instance Target field name]]</f>
        <v>1</v>
      </c>
      <c r="AA81" s="2" t="s">
        <v>18</v>
      </c>
      <c r="AB81" s="2" t="s">
        <v>539</v>
      </c>
      <c r="AC81" s="2" t="s">
        <v>190</v>
      </c>
      <c r="AD81" s="2" t="s">
        <v>19</v>
      </c>
      <c r="AE81" s="5"/>
      <c r="AF81" s="5" t="s">
        <v>1095</v>
      </c>
      <c r="AG81" s="5" t="s">
        <v>540</v>
      </c>
      <c r="AH81" s="5" t="s">
        <v>1095</v>
      </c>
      <c r="AI81" s="5" t="s">
        <v>1095</v>
      </c>
      <c r="AJ81" s="5" t="s">
        <v>1095</v>
      </c>
      <c r="AK81" s="5" t="s">
        <v>1095</v>
      </c>
      <c r="AL81" s="5"/>
      <c r="AM81" s="105"/>
      <c r="AN81" s="105"/>
      <c r="AO81" s="105"/>
      <c r="AP81" s="105"/>
      <c r="AQ81" s="105"/>
      <c r="AR81" s="105"/>
      <c r="AS81" s="105"/>
      <c r="AT81" s="105"/>
      <c r="AU81" s="105"/>
      <c r="AV81" s="105"/>
      <c r="AW81" s="105"/>
      <c r="AX81" s="105"/>
      <c r="AY81" s="105"/>
      <c r="AZ81" s="105"/>
      <c r="BA81" s="105"/>
      <c r="BB81" s="105"/>
      <c r="BC81" s="105"/>
      <c r="BD81" s="105"/>
      <c r="BE81" s="105"/>
      <c r="BF81" s="105"/>
      <c r="BG81" s="105"/>
      <c r="BH81" s="105"/>
    </row>
    <row r="82" spans="1:60" ht="82.8" x14ac:dyDescent="0.3">
      <c r="A82" s="4" t="s">
        <v>480</v>
      </c>
      <c r="B82" s="4" t="s">
        <v>675</v>
      </c>
      <c r="C82" s="4" t="s">
        <v>665</v>
      </c>
      <c r="D82" s="4" t="s">
        <v>665</v>
      </c>
      <c r="E82" s="4" t="s">
        <v>1095</v>
      </c>
      <c r="F82" s="4" t="s">
        <v>38</v>
      </c>
      <c r="G82" s="2" t="s">
        <v>119</v>
      </c>
      <c r="H82" s="2">
        <v>80</v>
      </c>
      <c r="I82" s="2" t="s">
        <v>386</v>
      </c>
      <c r="J82" s="2"/>
      <c r="K82" s="2" t="s">
        <v>481</v>
      </c>
      <c r="L82" s="2" t="str">
        <f>_xlfn.TEXTJOIN("|",FALSE,Table1[[#This Row],[Target Entity]],Table1[[#This Row],[Target DEV SB ID]])</f>
        <v>Demand Bundle|Wbs133</v>
      </c>
      <c r="M82" s="2" t="s">
        <v>280</v>
      </c>
      <c r="N82" s="2" t="s">
        <v>5821</v>
      </c>
      <c r="O82" s="2"/>
      <c r="P82" s="2" t="s">
        <v>826</v>
      </c>
      <c r="Q82" s="2" t="s">
        <v>19</v>
      </c>
      <c r="R82" s="2" t="s">
        <v>19</v>
      </c>
      <c r="S82" s="2" t="s">
        <v>6194</v>
      </c>
      <c r="T82" s="2" t="s">
        <v>1095</v>
      </c>
      <c r="U82" s="2" t="s">
        <v>282</v>
      </c>
      <c r="V82" s="2" t="s">
        <v>6197</v>
      </c>
      <c r="W82" s="2" t="str">
        <f>_xlfn.XLOOKUP(Table1[[#This Row],[Source PROD ID]],Prod_fields[ID],Prod_fields[Attribute Name],"0-Not Found",0,1)</f>
        <v>0-Not Found</v>
      </c>
      <c r="X82" s="2" t="str">
        <f>_xlfn.XLOOKUP(Table1[[#This Row],[Target DEV SB ID]],New_fields[ID],New_fields[Attribute Name],"0-Not Found",0,1)</f>
        <v>SL3 Business Finance Approval</v>
      </c>
      <c r="Y82" s="2" t="b">
        <f>Table1[[#This Row],[Prod Source field name]]=Table1[[#This Row],[New instance Target field name]]</f>
        <v>0</v>
      </c>
      <c r="Z82" s="2" t="b">
        <f>Table1[[#This Row],[Target Field Name]]=Table1[[#This Row],[New instance Target field name]]</f>
        <v>1</v>
      </c>
      <c r="AA82" s="2" t="s">
        <v>57</v>
      </c>
      <c r="AB82" s="2" t="s">
        <v>539</v>
      </c>
      <c r="AC82" s="2" t="s">
        <v>32</v>
      </c>
      <c r="AD82" s="2" t="s">
        <v>33</v>
      </c>
      <c r="AE82" s="5" t="str">
        <f>_xlfn.TEXTJOIN(CHAR(10),TRUE,VAL_wbs133[])</f>
        <v>Approved
Not Approved - Feedback Requested - Financial Adjustments
Not Approved - Feedback Requested - Non-Financial Adjustments
Rejected</v>
      </c>
      <c r="AF82" s="5" t="s">
        <v>1095</v>
      </c>
      <c r="AG82" s="5" t="s">
        <v>540</v>
      </c>
      <c r="AH82" s="5" t="s">
        <v>1095</v>
      </c>
      <c r="AI82" s="5" t="s">
        <v>1095</v>
      </c>
      <c r="AJ82" s="5" t="s">
        <v>1095</v>
      </c>
      <c r="AK82" s="5" t="s">
        <v>1095</v>
      </c>
      <c r="AL82" s="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row>
    <row r="83" spans="1:60" ht="55.2" x14ac:dyDescent="0.3">
      <c r="A83" s="4" t="s">
        <v>480</v>
      </c>
      <c r="B83" s="4" t="s">
        <v>1095</v>
      </c>
      <c r="C83" s="4" t="s">
        <v>280</v>
      </c>
      <c r="D83" s="4" t="s">
        <v>665</v>
      </c>
      <c r="E83" s="4" t="s">
        <v>1095</v>
      </c>
      <c r="F83" s="4" t="s">
        <v>38</v>
      </c>
      <c r="G83" s="2" t="s">
        <v>119</v>
      </c>
      <c r="H83" s="2">
        <v>81</v>
      </c>
      <c r="I83" s="2" t="s">
        <v>386</v>
      </c>
      <c r="J83" s="2"/>
      <c r="K83" s="2" t="s">
        <v>481</v>
      </c>
      <c r="L83" s="2" t="str">
        <f>_xlfn.TEXTJOIN("|",FALSE,Table1[[#This Row],[Target Entity]],Table1[[#This Row],[Target DEV SB ID]])</f>
        <v>Demand Bundle|fdx_sl3_fin_apv_note</v>
      </c>
      <c r="M83" s="2" t="s">
        <v>283</v>
      </c>
      <c r="N83" s="2" t="s">
        <v>5821</v>
      </c>
      <c r="O83" s="2"/>
      <c r="P83" s="2" t="s">
        <v>1095</v>
      </c>
      <c r="Q83" s="2" t="s">
        <v>19</v>
      </c>
      <c r="R83" s="2" t="s">
        <v>19</v>
      </c>
      <c r="S83" s="102" t="s">
        <v>1375</v>
      </c>
      <c r="T83" s="2" t="s">
        <v>1095</v>
      </c>
      <c r="U83" s="2" t="s">
        <v>284</v>
      </c>
      <c r="V83" s="2" t="s">
        <v>6192</v>
      </c>
      <c r="W83" s="2" t="str">
        <f>_xlfn.XLOOKUP(Table1[[#This Row],[Source PROD ID]],Prod_fields[ID],Prod_fields[Attribute Name],"0-Not Found",0,1)</f>
        <v>SL3 Finance Domain Lead Notes</v>
      </c>
      <c r="X83" s="2" t="str">
        <f>_xlfn.XLOOKUP(Table1[[#This Row],[Target DEV SB ID]],New_fields[ID],New_fields[Attribute Name],"0-Not Found",0,1)</f>
        <v>SL3 Business Finance Approval Notes</v>
      </c>
      <c r="Y83" s="2" t="b">
        <f>Table1[[#This Row],[Prod Source field name]]=Table1[[#This Row],[New instance Target field name]]</f>
        <v>0</v>
      </c>
      <c r="Z83" s="2" t="b">
        <f>Table1[[#This Row],[Target Field Name]]=Table1[[#This Row],[New instance Target field name]]</f>
        <v>1</v>
      </c>
      <c r="AA83" s="2" t="s">
        <v>18</v>
      </c>
      <c r="AB83" s="2" t="s">
        <v>539</v>
      </c>
      <c r="AC83" s="2" t="s">
        <v>190</v>
      </c>
      <c r="AD83" s="2" t="s">
        <v>19</v>
      </c>
      <c r="AE83" s="5"/>
      <c r="AF83" s="5" t="s">
        <v>1095</v>
      </c>
      <c r="AG83" s="5" t="s">
        <v>540</v>
      </c>
      <c r="AH83" s="5" t="s">
        <v>1095</v>
      </c>
      <c r="AI83" s="5" t="s">
        <v>1095</v>
      </c>
      <c r="AJ83" s="5" t="s">
        <v>1095</v>
      </c>
      <c r="AK83" s="5" t="s">
        <v>1095</v>
      </c>
      <c r="AL83" s="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row>
    <row r="84" spans="1:60" ht="55.2" x14ac:dyDescent="0.3">
      <c r="A84" s="4" t="s">
        <v>489</v>
      </c>
      <c r="B84" s="4" t="s">
        <v>831</v>
      </c>
      <c r="C84" s="4" t="s">
        <v>827</v>
      </c>
      <c r="D84" s="4" t="s">
        <v>828</v>
      </c>
      <c r="E84" s="4" t="s">
        <v>829</v>
      </c>
      <c r="F84" s="4" t="s">
        <v>470</v>
      </c>
      <c r="G84" s="2" t="s">
        <v>293</v>
      </c>
      <c r="H84" s="2">
        <v>82</v>
      </c>
      <c r="I84" s="2" t="s">
        <v>386</v>
      </c>
      <c r="J84" s="2"/>
      <c r="K84" s="2" t="s">
        <v>490</v>
      </c>
      <c r="L84" s="2" t="str">
        <f>_xlfn.TEXTJOIN("|",FALSE,Table1[[#This Row],[Target Entity]],Table1[[#This Row],[Target DEV SB ID]])</f>
        <v>Epic|WR43</v>
      </c>
      <c r="M84" s="2" t="s">
        <v>294</v>
      </c>
      <c r="N84" s="2" t="s">
        <v>5821</v>
      </c>
      <c r="O84" s="2"/>
      <c r="P84" s="2" t="s">
        <v>830</v>
      </c>
      <c r="Q84" s="2" t="s">
        <v>33</v>
      </c>
      <c r="R84" s="2" t="s">
        <v>33</v>
      </c>
      <c r="S84" s="2" t="s">
        <v>295</v>
      </c>
      <c r="T84" s="2" t="s">
        <v>295</v>
      </c>
      <c r="U84" s="2" t="s">
        <v>295</v>
      </c>
      <c r="V84" s="2" t="s">
        <v>6199</v>
      </c>
      <c r="W84" s="2" t="str">
        <f>_xlfn.XLOOKUP(Table1[[#This Row],[Source PROD ID]],Prod_fields[ID],Prod_fields[Attribute Name],"0-Not Found",0,1)</f>
        <v>Home Portfolio</v>
      </c>
      <c r="X84" s="2" t="str">
        <f>_xlfn.XLOOKUP(Table1[[#This Row],[Target DEV SB ID]],New_fields[ID],New_fields[Attribute Name],"0-Not Found",0,1)</f>
        <v>Home Portfolio</v>
      </c>
      <c r="Y84" s="2" t="b">
        <f>Table1[[#This Row],[Prod Source field name]]=Table1[[#This Row],[New instance Target field name]]</f>
        <v>1</v>
      </c>
      <c r="Z84" s="2" t="b">
        <f>Table1[[#This Row],[Target Field Name]]=Table1[[#This Row],[New instance Target field name]]</f>
        <v>1</v>
      </c>
      <c r="AA84" s="2" t="s">
        <v>363</v>
      </c>
      <c r="AB84" s="2" t="s">
        <v>539</v>
      </c>
      <c r="AC84" s="2" t="s">
        <v>32</v>
      </c>
      <c r="AD84" s="2" t="s">
        <v>33</v>
      </c>
      <c r="AE84" s="5" t="str">
        <f>_xlfn.TEXTJOIN(CHAR(10),TRUE,VAL_wr43_home_Portfolio[])</f>
        <v>Commercial
Enterprise Services
Platforms
Supply Chain Operations</v>
      </c>
      <c r="AF84" s="5" t="s">
        <v>6063</v>
      </c>
      <c r="AG84" s="5" t="s">
        <v>540</v>
      </c>
      <c r="AH84" s="5" t="s">
        <v>1095</v>
      </c>
      <c r="AI84" s="5" t="s">
        <v>190</v>
      </c>
      <c r="AJ84" s="5" t="s">
        <v>190</v>
      </c>
      <c r="AK84" s="5" t="s">
        <v>1095</v>
      </c>
      <c r="AL84" s="5"/>
      <c r="AM84" s="105"/>
      <c r="AN84" s="105"/>
      <c r="AO84" s="105"/>
      <c r="AP84" s="105"/>
      <c r="AQ84" s="105"/>
      <c r="AR84" s="105"/>
      <c r="AS84" s="105"/>
      <c r="AT84" s="105"/>
      <c r="AU84" s="105"/>
      <c r="AV84" s="105"/>
      <c r="AW84" s="105"/>
      <c r="AX84" s="105"/>
      <c r="AY84" s="105"/>
      <c r="AZ84" s="105"/>
      <c r="BA84" s="105"/>
      <c r="BB84" s="105"/>
      <c r="BC84" s="105"/>
      <c r="BD84" s="105"/>
      <c r="BE84" s="105"/>
      <c r="BF84" s="105"/>
      <c r="BG84" s="105"/>
      <c r="BH84" s="105"/>
    </row>
    <row r="85" spans="1:60" ht="151.80000000000001" x14ac:dyDescent="0.3">
      <c r="A85" s="4" t="s">
        <v>489</v>
      </c>
      <c r="B85" s="4" t="s">
        <v>831</v>
      </c>
      <c r="C85" s="4" t="s">
        <v>827</v>
      </c>
      <c r="D85" s="4" t="s">
        <v>828</v>
      </c>
      <c r="E85" s="4" t="s">
        <v>829</v>
      </c>
      <c r="F85" s="4" t="s">
        <v>470</v>
      </c>
      <c r="G85" s="2" t="s">
        <v>293</v>
      </c>
      <c r="H85" s="2">
        <v>83</v>
      </c>
      <c r="I85" s="2" t="s">
        <v>386</v>
      </c>
      <c r="J85" s="2"/>
      <c r="K85" s="2" t="s">
        <v>490</v>
      </c>
      <c r="L85" s="2" t="str">
        <f>_xlfn.TEXTJOIN("|",FALSE,Table1[[#This Row],[Target Entity]],Table1[[#This Row],[Target DEV SB ID]])</f>
        <v>Epic|Str109</v>
      </c>
      <c r="M85" s="2" t="s">
        <v>173</v>
      </c>
      <c r="N85" s="2" t="s">
        <v>5821</v>
      </c>
      <c r="O85" s="2"/>
      <c r="P85" s="2" t="s">
        <v>832</v>
      </c>
      <c r="Q85" s="2" t="s">
        <v>33</v>
      </c>
      <c r="R85" s="2" t="s">
        <v>33</v>
      </c>
      <c r="S85" s="2" t="s">
        <v>174</v>
      </c>
      <c r="T85" s="2" t="s">
        <v>174</v>
      </c>
      <c r="U85" s="2" t="s">
        <v>174</v>
      </c>
      <c r="V85" s="2" t="s">
        <v>6188</v>
      </c>
      <c r="W85" s="2" t="str">
        <f>_xlfn.XLOOKUP(Table1[[#This Row],[Source PROD ID]],Prod_fields[ID],Prod_fields[Attribute Name],"0-Not Found",0,1)</f>
        <v>Impacts Commercial Portfolio?</v>
      </c>
      <c r="X85" s="2" t="str">
        <f>_xlfn.XLOOKUP(Table1[[#This Row],[Target DEV SB ID]],New_fields[ID],New_fields[Attribute Name],"0-Not Found",0,1)</f>
        <v>Impacts Commercial Portfolio?</v>
      </c>
      <c r="Y85" s="2" t="b">
        <f>Table1[[#This Row],[Prod Source field name]]=Table1[[#This Row],[New instance Target field name]]</f>
        <v>1</v>
      </c>
      <c r="Z85" s="2" t="b">
        <f>Table1[[#This Row],[Target Field Name]]=Table1[[#This Row],[New instance Target field name]]</f>
        <v>1</v>
      </c>
      <c r="AA85" s="2" t="s">
        <v>363</v>
      </c>
      <c r="AB85" s="2" t="s">
        <v>539</v>
      </c>
      <c r="AC85" s="2" t="s">
        <v>32</v>
      </c>
      <c r="AD85" s="2" t="s">
        <v>33</v>
      </c>
      <c r="AE85" s="5" t="str">
        <f>_xlfn.TEXTJOIN(CHAR(10),TRUE,VAL_str109_impacts[])</f>
        <v>Yes
No</v>
      </c>
      <c r="AF85" s="5" t="s">
        <v>6064</v>
      </c>
      <c r="AG85" s="5" t="s">
        <v>540</v>
      </c>
      <c r="AH85" s="5" t="s">
        <v>1095</v>
      </c>
      <c r="AI85" s="5" t="s">
        <v>190</v>
      </c>
      <c r="AJ85" s="5" t="s">
        <v>190</v>
      </c>
      <c r="AK85" s="5" t="s">
        <v>1095</v>
      </c>
      <c r="AL85" s="5"/>
      <c r="AM85" s="105"/>
      <c r="AN85" s="105"/>
      <c r="AO85" s="105"/>
      <c r="AP85" s="105"/>
      <c r="AQ85" s="105"/>
      <c r="AR85" s="105"/>
      <c r="AS85" s="105"/>
      <c r="AT85" s="105"/>
      <c r="AU85" s="105"/>
      <c r="AV85" s="105"/>
      <c r="AW85" s="105"/>
      <c r="AX85" s="105"/>
      <c r="AY85" s="105"/>
      <c r="AZ85" s="105"/>
      <c r="BA85" s="105"/>
      <c r="BB85" s="105"/>
      <c r="BC85" s="105"/>
      <c r="BD85" s="105"/>
      <c r="BE85" s="105"/>
      <c r="BF85" s="105"/>
      <c r="BG85" s="105"/>
      <c r="BH85" s="105"/>
    </row>
    <row r="86" spans="1:60" ht="55.2" x14ac:dyDescent="0.3">
      <c r="A86" s="4" t="s">
        <v>489</v>
      </c>
      <c r="B86" s="4" t="s">
        <v>1095</v>
      </c>
      <c r="C86" s="4" t="s">
        <v>827</v>
      </c>
      <c r="D86" s="4" t="s">
        <v>828</v>
      </c>
      <c r="E86" s="4" t="s">
        <v>829</v>
      </c>
      <c r="F86" s="4" t="s">
        <v>470</v>
      </c>
      <c r="G86" s="2" t="s">
        <v>293</v>
      </c>
      <c r="H86" s="2">
        <v>84</v>
      </c>
      <c r="I86" s="2" t="s">
        <v>386</v>
      </c>
      <c r="J86" s="2"/>
      <c r="K86" s="2" t="s">
        <v>490</v>
      </c>
      <c r="L86" s="2" t="str">
        <f>_xlfn.TEXTJOIN("|",FALSE,Table1[[#This Row],[Target Entity]],Table1[[#This Row],[Target DEV SB ID]])</f>
        <v>Epic|Str111</v>
      </c>
      <c r="M86" s="2" t="s">
        <v>175</v>
      </c>
      <c r="N86" s="2" t="s">
        <v>5821</v>
      </c>
      <c r="O86" s="2"/>
      <c r="P86" s="2" t="s">
        <v>1095</v>
      </c>
      <c r="Q86" s="2" t="s">
        <v>33</v>
      </c>
      <c r="R86" s="2" t="s">
        <v>33</v>
      </c>
      <c r="S86" s="2" t="s">
        <v>176</v>
      </c>
      <c r="T86" s="2" t="s">
        <v>176</v>
      </c>
      <c r="U86" s="2" t="s">
        <v>176</v>
      </c>
      <c r="V86" s="2" t="s">
        <v>6188</v>
      </c>
      <c r="W86" s="2" t="str">
        <f>_xlfn.XLOOKUP(Table1[[#This Row],[Source PROD ID]],Prod_fields[ID],Prod_fields[Attribute Name],"0-Not Found",0,1)</f>
        <v>Impacts Enterprise Services Portfolio?</v>
      </c>
      <c r="X86" s="2" t="str">
        <f>_xlfn.XLOOKUP(Table1[[#This Row],[Target DEV SB ID]],New_fields[ID],New_fields[Attribute Name],"0-Not Found",0,1)</f>
        <v>Impacts Enterprise Services Portfolio?</v>
      </c>
      <c r="Y86" s="2" t="b">
        <f>Table1[[#This Row],[Prod Source field name]]=Table1[[#This Row],[New instance Target field name]]</f>
        <v>1</v>
      </c>
      <c r="Z86" s="2" t="b">
        <f>Table1[[#This Row],[Target Field Name]]=Table1[[#This Row],[New instance Target field name]]</f>
        <v>1</v>
      </c>
      <c r="AA86" s="2" t="s">
        <v>363</v>
      </c>
      <c r="AB86" s="2" t="s">
        <v>539</v>
      </c>
      <c r="AC86" s="2" t="s">
        <v>32</v>
      </c>
      <c r="AD86" s="2" t="s">
        <v>33</v>
      </c>
      <c r="AE86" s="5" t="str">
        <f>_xlfn.TEXTJOIN(CHAR(10),TRUE,VAL_str111_impacts[])</f>
        <v>Yes
No</v>
      </c>
      <c r="AF86" s="5" t="s">
        <v>1095</v>
      </c>
      <c r="AG86" s="5" t="s">
        <v>540</v>
      </c>
      <c r="AH86" s="5" t="s">
        <v>1095</v>
      </c>
      <c r="AI86" s="5" t="s">
        <v>1095</v>
      </c>
      <c r="AJ86" s="5" t="s">
        <v>1095</v>
      </c>
      <c r="AK86" s="5" t="s">
        <v>1095</v>
      </c>
      <c r="AL86" s="5"/>
      <c r="AM86" s="105"/>
      <c r="AN86" s="105"/>
      <c r="AO86" s="105"/>
      <c r="AP86" s="105"/>
      <c r="AQ86" s="105"/>
      <c r="AR86" s="105"/>
      <c r="AS86" s="105"/>
      <c r="AT86" s="105"/>
      <c r="AU86" s="105"/>
      <c r="AV86" s="105"/>
      <c r="AW86" s="105"/>
      <c r="AX86" s="105"/>
      <c r="AY86" s="105"/>
      <c r="AZ86" s="105"/>
      <c r="BA86" s="105"/>
      <c r="BB86" s="105"/>
      <c r="BC86" s="105"/>
      <c r="BD86" s="105"/>
      <c r="BE86" s="105"/>
      <c r="BF86" s="105"/>
      <c r="BG86" s="105"/>
      <c r="BH86" s="105"/>
    </row>
    <row r="87" spans="1:60" ht="55.2" x14ac:dyDescent="0.3">
      <c r="A87" s="4" t="s">
        <v>489</v>
      </c>
      <c r="B87" s="4" t="s">
        <v>1095</v>
      </c>
      <c r="C87" s="4" t="s">
        <v>827</v>
      </c>
      <c r="D87" s="4" t="s">
        <v>828</v>
      </c>
      <c r="E87" s="4" t="s">
        <v>829</v>
      </c>
      <c r="F87" s="4" t="s">
        <v>470</v>
      </c>
      <c r="G87" s="2" t="s">
        <v>293</v>
      </c>
      <c r="H87" s="2">
        <v>85</v>
      </c>
      <c r="I87" s="2" t="s">
        <v>386</v>
      </c>
      <c r="J87" s="2"/>
      <c r="K87" s="2" t="s">
        <v>490</v>
      </c>
      <c r="L87" s="2" t="str">
        <f>_xlfn.TEXTJOIN("|",FALSE,Table1[[#This Row],[Target Entity]],Table1[[#This Row],[Target DEV SB ID]])</f>
        <v>Epic|Str110</v>
      </c>
      <c r="M87" s="2" t="s">
        <v>177</v>
      </c>
      <c r="N87" s="2" t="s">
        <v>5821</v>
      </c>
      <c r="O87" s="2"/>
      <c r="P87" s="2" t="s">
        <v>1095</v>
      </c>
      <c r="Q87" s="2" t="s">
        <v>33</v>
      </c>
      <c r="R87" s="2" t="s">
        <v>33</v>
      </c>
      <c r="S87" s="2" t="s">
        <v>178</v>
      </c>
      <c r="T87" s="2" t="s">
        <v>178</v>
      </c>
      <c r="U87" s="2" t="s">
        <v>178</v>
      </c>
      <c r="V87" s="2" t="s">
        <v>6188</v>
      </c>
      <c r="W87" s="2" t="str">
        <f>_xlfn.XLOOKUP(Table1[[#This Row],[Source PROD ID]],Prod_fields[ID],Prod_fields[Attribute Name],"0-Not Found",0,1)</f>
        <v>Impacts Platform Portfolio?</v>
      </c>
      <c r="X87" s="2" t="str">
        <f>_xlfn.XLOOKUP(Table1[[#This Row],[Target DEV SB ID]],New_fields[ID],New_fields[Attribute Name],"0-Not Found",0,1)</f>
        <v>Impacts Platforms Portfolio?</v>
      </c>
      <c r="Y87" s="2" t="b">
        <f>Table1[[#This Row],[Prod Source field name]]=Table1[[#This Row],[New instance Target field name]]</f>
        <v>0</v>
      </c>
      <c r="Z87" s="2" t="b">
        <f>Table1[[#This Row],[Target Field Name]]=Table1[[#This Row],[New instance Target field name]]</f>
        <v>1</v>
      </c>
      <c r="AA87" s="2" t="s">
        <v>363</v>
      </c>
      <c r="AB87" s="2" t="s">
        <v>539</v>
      </c>
      <c r="AC87" s="2" t="s">
        <v>32</v>
      </c>
      <c r="AD87" s="2" t="s">
        <v>33</v>
      </c>
      <c r="AE87" s="5" t="str">
        <f>_xlfn.TEXTJOIN(CHAR(10),TRUE,VAL_str110_impacts[])</f>
        <v>Yes
No</v>
      </c>
      <c r="AF87" s="5" t="s">
        <v>1095</v>
      </c>
      <c r="AG87" s="5" t="s">
        <v>540</v>
      </c>
      <c r="AH87" s="5" t="s">
        <v>1095</v>
      </c>
      <c r="AI87" s="5" t="s">
        <v>1095</v>
      </c>
      <c r="AJ87" s="5" t="s">
        <v>1095</v>
      </c>
      <c r="AK87" s="5" t="s">
        <v>1095</v>
      </c>
      <c r="AL87" s="5"/>
      <c r="AM87" s="105"/>
      <c r="AN87" s="105"/>
      <c r="AO87" s="105"/>
      <c r="AP87" s="105"/>
      <c r="AQ87" s="105"/>
      <c r="AR87" s="105"/>
      <c r="AS87" s="105"/>
      <c r="AT87" s="105"/>
      <c r="AU87" s="105"/>
      <c r="AV87" s="105"/>
      <c r="AW87" s="105"/>
      <c r="AX87" s="105"/>
      <c r="AY87" s="105"/>
      <c r="AZ87" s="105"/>
      <c r="BA87" s="105"/>
      <c r="BB87" s="105"/>
      <c r="BC87" s="105"/>
      <c r="BD87" s="105"/>
      <c r="BE87" s="105"/>
      <c r="BF87" s="105"/>
      <c r="BG87" s="105"/>
      <c r="BH87" s="105"/>
    </row>
    <row r="88" spans="1:60" ht="55.2" x14ac:dyDescent="0.3">
      <c r="A88" s="4" t="s">
        <v>489</v>
      </c>
      <c r="B88" s="4" t="s">
        <v>1095</v>
      </c>
      <c r="C88" s="4" t="s">
        <v>827</v>
      </c>
      <c r="D88" s="4" t="s">
        <v>828</v>
      </c>
      <c r="E88" s="4" t="s">
        <v>829</v>
      </c>
      <c r="F88" s="4" t="s">
        <v>470</v>
      </c>
      <c r="G88" s="2" t="s">
        <v>293</v>
      </c>
      <c r="H88" s="2">
        <v>86</v>
      </c>
      <c r="I88" s="2" t="s">
        <v>386</v>
      </c>
      <c r="J88" s="2"/>
      <c r="K88" s="2" t="s">
        <v>490</v>
      </c>
      <c r="L88" s="2" t="str">
        <f>_xlfn.TEXTJOIN("|",FALSE,Table1[[#This Row],[Target Entity]],Table1[[#This Row],[Target DEV SB ID]])</f>
        <v>Epic|Str113</v>
      </c>
      <c r="M88" s="2" t="s">
        <v>179</v>
      </c>
      <c r="N88" s="2" t="s">
        <v>5821</v>
      </c>
      <c r="O88" s="2"/>
      <c r="P88" s="2" t="s">
        <v>1095</v>
      </c>
      <c r="Q88" s="2" t="s">
        <v>33</v>
      </c>
      <c r="R88" s="2" t="s">
        <v>33</v>
      </c>
      <c r="S88" s="2" t="s">
        <v>180</v>
      </c>
      <c r="T88" s="2" t="s">
        <v>180</v>
      </c>
      <c r="U88" s="2" t="s">
        <v>180</v>
      </c>
      <c r="V88" s="2" t="s">
        <v>6188</v>
      </c>
      <c r="W88" s="2" t="str">
        <f>_xlfn.XLOOKUP(Table1[[#This Row],[Source PROD ID]],Prod_fields[ID],Prod_fields[Attribute Name],"0-Not Found",0,1)</f>
        <v>Impacts Supply Chain Operations Portfolio?</v>
      </c>
      <c r="X88" s="2" t="str">
        <f>_xlfn.XLOOKUP(Table1[[#This Row],[Target DEV SB ID]],New_fields[ID],New_fields[Attribute Name],"0-Not Found",0,1)</f>
        <v>Impacts Supply Chain Operations Portfolio?</v>
      </c>
      <c r="Y88" s="2" t="b">
        <f>Table1[[#This Row],[Prod Source field name]]=Table1[[#This Row],[New instance Target field name]]</f>
        <v>1</v>
      </c>
      <c r="Z88" s="2" t="b">
        <f>Table1[[#This Row],[Target Field Name]]=Table1[[#This Row],[New instance Target field name]]</f>
        <v>1</v>
      </c>
      <c r="AA88" s="2" t="s">
        <v>363</v>
      </c>
      <c r="AB88" s="2" t="s">
        <v>539</v>
      </c>
      <c r="AC88" s="2" t="s">
        <v>32</v>
      </c>
      <c r="AD88" s="2" t="s">
        <v>33</v>
      </c>
      <c r="AE88" s="5" t="str">
        <f>_xlfn.TEXTJOIN(CHAR(10),TRUE,VAL_str113_impacts[])</f>
        <v>Yes
No</v>
      </c>
      <c r="AF88" s="5" t="s">
        <v>1095</v>
      </c>
      <c r="AG88" s="5" t="s">
        <v>540</v>
      </c>
      <c r="AH88" s="5" t="s">
        <v>1095</v>
      </c>
      <c r="AI88" s="5" t="s">
        <v>1095</v>
      </c>
      <c r="AJ88" s="5" t="s">
        <v>1095</v>
      </c>
      <c r="AK88" s="5" t="s">
        <v>1095</v>
      </c>
      <c r="AL88" s="5"/>
      <c r="AM88" s="105"/>
      <c r="AN88" s="105"/>
      <c r="AO88" s="105"/>
      <c r="AP88" s="105"/>
      <c r="AQ88" s="105"/>
      <c r="AR88" s="105"/>
      <c r="AS88" s="105"/>
      <c r="AT88" s="105"/>
      <c r="AU88" s="105"/>
      <c r="AV88" s="105"/>
      <c r="AW88" s="105"/>
      <c r="AX88" s="105"/>
      <c r="AY88" s="105"/>
      <c r="AZ88" s="105"/>
      <c r="BA88" s="105"/>
      <c r="BB88" s="105"/>
      <c r="BC88" s="105"/>
      <c r="BD88" s="105"/>
      <c r="BE88" s="105"/>
      <c r="BF88" s="105"/>
      <c r="BG88" s="105"/>
      <c r="BH88" s="105"/>
    </row>
    <row r="89" spans="1:60" ht="55.2" x14ac:dyDescent="0.3">
      <c r="A89" s="4" t="s">
        <v>489</v>
      </c>
      <c r="B89" s="4" t="s">
        <v>831</v>
      </c>
      <c r="C89" s="4" t="s">
        <v>827</v>
      </c>
      <c r="D89" s="4" t="s">
        <v>828</v>
      </c>
      <c r="E89" s="4" t="s">
        <v>829</v>
      </c>
      <c r="F89" s="4" t="s">
        <v>470</v>
      </c>
      <c r="G89" s="2" t="s">
        <v>293</v>
      </c>
      <c r="H89" s="2">
        <v>87</v>
      </c>
      <c r="I89" s="2" t="s">
        <v>386</v>
      </c>
      <c r="J89" s="2"/>
      <c r="K89" s="2" t="s">
        <v>490</v>
      </c>
      <c r="L89" s="2" t="str">
        <f>_xlfn.TEXTJOIN("|",FALSE,Table1[[#This Row],[Target Entity]],Table1[[#This Row],[Target DEV SB ID]])</f>
        <v>Epic|AC_START</v>
      </c>
      <c r="M89" s="2" t="s">
        <v>185</v>
      </c>
      <c r="N89" s="2" t="s">
        <v>5821</v>
      </c>
      <c r="O89" s="2"/>
      <c r="P89" s="2" t="s">
        <v>833</v>
      </c>
      <c r="Q89" s="2" t="s">
        <v>33</v>
      </c>
      <c r="R89" s="2" t="s">
        <v>33</v>
      </c>
      <c r="S89" s="2" t="s">
        <v>186</v>
      </c>
      <c r="T89" s="2" t="s">
        <v>186</v>
      </c>
      <c r="U89" s="2" t="s">
        <v>186</v>
      </c>
      <c r="V89" s="2" t="s">
        <v>6200</v>
      </c>
      <c r="W89" s="2" t="str">
        <f>_xlfn.XLOOKUP(Table1[[#This Row],[Source PROD ID]],Prod_fields[ID],Prod_fields[Attribute Name],"0-Not Found",0,1)</f>
        <v>Actual/Schedule Start</v>
      </c>
      <c r="X89" s="2" t="str">
        <f>_xlfn.XLOOKUP(Table1[[#This Row],[Target DEV SB ID]],New_fields[ID],New_fields[Attribute Name],"0-Not Found",0,1)</f>
        <v>Actual/Schedule Start</v>
      </c>
      <c r="Y89" s="2" t="b">
        <f>Table1[[#This Row],[Prod Source field name]]=Table1[[#This Row],[New instance Target field name]]</f>
        <v>1</v>
      </c>
      <c r="Z89" s="2" t="b">
        <f>Table1[[#This Row],[Target Field Name]]=Table1[[#This Row],[New instance Target field name]]</f>
        <v>1</v>
      </c>
      <c r="AA89" s="2" t="s">
        <v>133</v>
      </c>
      <c r="AB89" s="2" t="s">
        <v>676</v>
      </c>
      <c r="AC89" s="2"/>
      <c r="AD89" s="2" t="s">
        <v>19</v>
      </c>
      <c r="AE89" s="5"/>
      <c r="AF89" s="5" t="s">
        <v>6065</v>
      </c>
      <c r="AG89" s="5" t="s">
        <v>540</v>
      </c>
      <c r="AH89" s="5" t="s">
        <v>1095</v>
      </c>
      <c r="AI89" s="5" t="s">
        <v>1095</v>
      </c>
      <c r="AJ89" s="5" t="s">
        <v>1095</v>
      </c>
      <c r="AK89" s="5" t="s">
        <v>1095</v>
      </c>
      <c r="AL89" s="5"/>
      <c r="AM89" s="105"/>
      <c r="AN89" s="105"/>
      <c r="AO89" s="105"/>
      <c r="AP89" s="105"/>
      <c r="AQ89" s="105"/>
      <c r="AR89" s="105"/>
      <c r="AS89" s="105"/>
      <c r="AT89" s="105"/>
      <c r="AU89" s="105"/>
      <c r="AV89" s="105"/>
      <c r="AW89" s="105"/>
      <c r="AX89" s="105"/>
      <c r="AY89" s="105"/>
      <c r="AZ89" s="105"/>
      <c r="BA89" s="105"/>
      <c r="BB89" s="105"/>
      <c r="BC89" s="105"/>
      <c r="BD89" s="105"/>
      <c r="BE89" s="105"/>
      <c r="BF89" s="105"/>
      <c r="BG89" s="105"/>
      <c r="BH89" s="105"/>
    </row>
    <row r="90" spans="1:60" ht="55.2" x14ac:dyDescent="0.3">
      <c r="A90" s="4" t="s">
        <v>489</v>
      </c>
      <c r="B90" s="4" t="s">
        <v>831</v>
      </c>
      <c r="C90" s="4" t="s">
        <v>827</v>
      </c>
      <c r="D90" s="4" t="s">
        <v>828</v>
      </c>
      <c r="E90" s="4" t="s">
        <v>829</v>
      </c>
      <c r="F90" s="4" t="s">
        <v>470</v>
      </c>
      <c r="G90" s="2" t="s">
        <v>293</v>
      </c>
      <c r="H90" s="2">
        <v>88</v>
      </c>
      <c r="I90" s="2" t="s">
        <v>386</v>
      </c>
      <c r="J90" s="2"/>
      <c r="K90" s="2" t="s">
        <v>490</v>
      </c>
      <c r="L90" s="2" t="str">
        <f>_xlfn.TEXTJOIN("|",FALSE,Table1[[#This Row],[Target Entity]],Table1[[#This Row],[Target DEV SB ID]])</f>
        <v>Epic|AC_FINISH</v>
      </c>
      <c r="M90" s="2" t="s">
        <v>187</v>
      </c>
      <c r="N90" s="2" t="s">
        <v>5821</v>
      </c>
      <c r="O90" s="2"/>
      <c r="P90" s="2" t="s">
        <v>833</v>
      </c>
      <c r="Q90" s="2" t="s">
        <v>33</v>
      </c>
      <c r="R90" s="2" t="s">
        <v>33</v>
      </c>
      <c r="S90" s="2" t="s">
        <v>188</v>
      </c>
      <c r="T90" s="2" t="s">
        <v>188</v>
      </c>
      <c r="U90" s="2" t="s">
        <v>188</v>
      </c>
      <c r="V90" s="2" t="s">
        <v>6200</v>
      </c>
      <c r="W90" s="2" t="str">
        <f>_xlfn.XLOOKUP(Table1[[#This Row],[Source PROD ID]],Prod_fields[ID],Prod_fields[Attribute Name],"0-Not Found",0,1)</f>
        <v>Actual/Schedule Finish</v>
      </c>
      <c r="X90" s="2" t="str">
        <f>_xlfn.XLOOKUP(Table1[[#This Row],[Target DEV SB ID]],New_fields[ID],New_fields[Attribute Name],"0-Not Found",0,1)</f>
        <v>Actual/Schedule Finish</v>
      </c>
      <c r="Y90" s="2" t="b">
        <f>Table1[[#This Row],[Prod Source field name]]=Table1[[#This Row],[New instance Target field name]]</f>
        <v>1</v>
      </c>
      <c r="Z90" s="2" t="b">
        <f>Table1[[#This Row],[Target Field Name]]=Table1[[#This Row],[New instance Target field name]]</f>
        <v>1</v>
      </c>
      <c r="AA90" s="2" t="s">
        <v>133</v>
      </c>
      <c r="AB90" s="2" t="s">
        <v>676</v>
      </c>
      <c r="AC90" s="2"/>
      <c r="AD90" s="2" t="s">
        <v>19</v>
      </c>
      <c r="AE90" s="5"/>
      <c r="AF90" s="5" t="s">
        <v>6066</v>
      </c>
      <c r="AG90" s="5" t="s">
        <v>540</v>
      </c>
      <c r="AH90" s="5" t="s">
        <v>1095</v>
      </c>
      <c r="AI90" s="5" t="s">
        <v>1095</v>
      </c>
      <c r="AJ90" s="5" t="s">
        <v>1095</v>
      </c>
      <c r="AK90" s="5" t="s">
        <v>1095</v>
      </c>
      <c r="AL90" s="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row>
    <row r="91" spans="1:60" ht="151.80000000000001" x14ac:dyDescent="0.3">
      <c r="A91" s="4" t="s">
        <v>489</v>
      </c>
      <c r="B91" s="4" t="s">
        <v>831</v>
      </c>
      <c r="C91" s="4" t="s">
        <v>827</v>
      </c>
      <c r="D91" s="4" t="s">
        <v>828</v>
      </c>
      <c r="E91" s="4" t="s">
        <v>829</v>
      </c>
      <c r="F91" s="4" t="s">
        <v>470</v>
      </c>
      <c r="G91" s="2" t="s">
        <v>293</v>
      </c>
      <c r="H91" s="2">
        <v>89</v>
      </c>
      <c r="I91" s="2" t="s">
        <v>386</v>
      </c>
      <c r="J91" s="2"/>
      <c r="K91" s="2" t="s">
        <v>481</v>
      </c>
      <c r="L91" s="2" t="str">
        <f>_xlfn.TEXTJOIN("|",FALSE,Table1[[#This Row],[Target Entity]],Table1[[#This Row],[Target DEV SB ID]])</f>
        <v>Demand Bundle|Wbs28</v>
      </c>
      <c r="M91" s="2" t="s">
        <v>158</v>
      </c>
      <c r="N91" s="2" t="s">
        <v>5821</v>
      </c>
      <c r="O91" s="2"/>
      <c r="P91" s="2" t="s">
        <v>834</v>
      </c>
      <c r="Q91" s="2" t="s">
        <v>33</v>
      </c>
      <c r="R91" s="2" t="s">
        <v>33</v>
      </c>
      <c r="S91" s="2" t="s">
        <v>159</v>
      </c>
      <c r="T91" s="2" t="s">
        <v>159</v>
      </c>
      <c r="U91" s="2" t="s">
        <v>159</v>
      </c>
      <c r="V91" s="2" t="s">
        <v>6204</v>
      </c>
      <c r="W91" s="2" t="str">
        <f>_xlfn.XLOOKUP(Table1[[#This Row],[Source PROD ID]],Prod_fields[ID],Prod_fields[Attribute Name],"0-Not Found",0,1)</f>
        <v>Stage</v>
      </c>
      <c r="X91" s="2" t="str">
        <f>_xlfn.XLOOKUP(Table1[[#This Row],[Target DEV SB ID]],New_fields[ID],New_fields[Attribute Name],"0-Not Found",0,1)</f>
        <v>Stage</v>
      </c>
      <c r="Y91" s="2" t="b">
        <f>Table1[[#This Row],[Prod Source field name]]=Table1[[#This Row],[New instance Target field name]]</f>
        <v>1</v>
      </c>
      <c r="Z91" s="2" t="b">
        <f>Table1[[#This Row],[Target Field Name]]=Table1[[#This Row],[New instance Target field name]]</f>
        <v>1</v>
      </c>
      <c r="AA91" s="2" t="s">
        <v>363</v>
      </c>
      <c r="AB91" s="2" t="s">
        <v>539</v>
      </c>
      <c r="AC91" s="2" t="s">
        <v>32</v>
      </c>
      <c r="AD91" s="2" t="s">
        <v>33</v>
      </c>
      <c r="AE91" s="5" t="str">
        <f>_xlfn.TEXTJOIN(CHAR(10),TRUE,VAL_wbs28_stage[])</f>
        <v>C: L1
D: SL2
E: L2
F: SL3
G: L3
H: SL4
I: L4</v>
      </c>
      <c r="AF91" s="5" t="s">
        <v>1095</v>
      </c>
      <c r="AG91" s="5" t="s">
        <v>497</v>
      </c>
      <c r="AH91" s="5" t="s">
        <v>1095</v>
      </c>
      <c r="AI91" s="5" t="s">
        <v>1095</v>
      </c>
      <c r="AJ91" s="5" t="s">
        <v>1095</v>
      </c>
      <c r="AK91" s="5" t="s">
        <v>1095</v>
      </c>
      <c r="AL91" s="5"/>
      <c r="AM91" s="105"/>
      <c r="AN91" s="105"/>
      <c r="AO91" s="105"/>
      <c r="AP91" s="105"/>
      <c r="AQ91" s="105"/>
      <c r="AR91" s="105"/>
      <c r="AS91" s="105"/>
      <c r="AT91" s="105"/>
      <c r="AU91" s="105"/>
      <c r="AV91" s="105"/>
      <c r="AW91" s="105"/>
      <c r="AX91" s="105"/>
      <c r="AY91" s="105"/>
      <c r="AZ91" s="105"/>
      <c r="BA91" s="105"/>
      <c r="BB91" s="105"/>
      <c r="BC91" s="105"/>
      <c r="BD91" s="105"/>
      <c r="BE91" s="105"/>
      <c r="BF91" s="105"/>
      <c r="BG91" s="105"/>
      <c r="BH91" s="105"/>
    </row>
    <row r="92" spans="1:60" ht="69" x14ac:dyDescent="0.3">
      <c r="A92" s="4" t="s">
        <v>489</v>
      </c>
      <c r="B92" s="4" t="s">
        <v>831</v>
      </c>
      <c r="C92" s="4" t="s">
        <v>827</v>
      </c>
      <c r="D92" s="4" t="s">
        <v>828</v>
      </c>
      <c r="E92" s="4" t="s">
        <v>829</v>
      </c>
      <c r="F92" s="4" t="s">
        <v>470</v>
      </c>
      <c r="G92" s="2" t="s">
        <v>293</v>
      </c>
      <c r="H92" s="2">
        <v>90</v>
      </c>
      <c r="I92" s="2" t="s">
        <v>386</v>
      </c>
      <c r="J92" s="2"/>
      <c r="K92" s="2" t="s">
        <v>481</v>
      </c>
      <c r="L92" s="2" t="str">
        <f>_xlfn.TEXTJOIN("|",FALSE,Table1[[#This Row],[Target Entity]],Table1[[#This Row],[Target DEV SB ID]])</f>
        <v>Demand Bundle|Wbs22</v>
      </c>
      <c r="M92" s="2" t="s">
        <v>134</v>
      </c>
      <c r="N92" s="2" t="s">
        <v>5821</v>
      </c>
      <c r="O92" s="2"/>
      <c r="P92" s="2" t="s">
        <v>836</v>
      </c>
      <c r="Q92" s="2" t="s">
        <v>33</v>
      </c>
      <c r="R92" s="2" t="s">
        <v>33</v>
      </c>
      <c r="S92" s="117" t="s">
        <v>6202</v>
      </c>
      <c r="T92" s="2" t="s">
        <v>135</v>
      </c>
      <c r="U92" s="2" t="s">
        <v>135</v>
      </c>
      <c r="V92" s="2" t="s">
        <v>6212</v>
      </c>
      <c r="W92" s="2" t="str">
        <f>_xlfn.XLOOKUP(Table1[[#This Row],[Source PROD ID]],Prod_fields[ID],Prod_fields[Attribute Name],"0-Not Found",0,1)</f>
        <v>0-Not Found</v>
      </c>
      <c r="X92" s="2" t="str">
        <f>_xlfn.XLOOKUP(Table1[[#This Row],[Target DEV SB ID]],New_fields[ID],New_fields[Attribute Name],"0-Not Found",0,1)</f>
        <v>Work Type</v>
      </c>
      <c r="Y92" s="2" t="b">
        <f>Table1[[#This Row],[Prod Source field name]]=Table1[[#This Row],[New instance Target field name]]</f>
        <v>0</v>
      </c>
      <c r="Z92" s="2" t="b">
        <f>Table1[[#This Row],[Target Field Name]]=Table1[[#This Row],[New instance Target field name]]</f>
        <v>1</v>
      </c>
      <c r="AA92" s="2" t="s">
        <v>363</v>
      </c>
      <c r="AB92" s="2" t="s">
        <v>741</v>
      </c>
      <c r="AC92" s="2" t="s">
        <v>32</v>
      </c>
      <c r="AD92" s="2" t="s">
        <v>33</v>
      </c>
      <c r="AE92" s="5" t="str">
        <f>_xlfn.TEXTJOIN(CHAR(10),TRUE,VAL_Work_Type[])</f>
        <v>Program Value Bundle
Tech-Enabled Request
Business Demand</v>
      </c>
      <c r="AF92" s="5" t="s">
        <v>6067</v>
      </c>
      <c r="AG92" s="5" t="s">
        <v>540</v>
      </c>
      <c r="AH92" s="5" t="s">
        <v>1095</v>
      </c>
      <c r="AI92" s="5" t="s">
        <v>1095</v>
      </c>
      <c r="AJ92" s="5" t="s">
        <v>1095</v>
      </c>
      <c r="AK92" s="5" t="s">
        <v>1095</v>
      </c>
      <c r="AL92" s="5"/>
      <c r="AM92" s="105"/>
      <c r="AN92" s="105"/>
      <c r="AO92" s="105"/>
      <c r="AP92" s="105"/>
      <c r="AQ92" s="105"/>
      <c r="AR92" s="105"/>
      <c r="AS92" s="105"/>
      <c r="AT92" s="105"/>
      <c r="AU92" s="105"/>
      <c r="AV92" s="105"/>
      <c r="AW92" s="105"/>
      <c r="AX92" s="105"/>
      <c r="AY92" s="105"/>
      <c r="AZ92" s="105"/>
      <c r="BA92" s="105"/>
      <c r="BB92" s="105"/>
      <c r="BC92" s="105"/>
      <c r="BD92" s="105"/>
      <c r="BE92" s="105"/>
      <c r="BF92" s="105"/>
      <c r="BG92" s="105"/>
      <c r="BH92" s="105"/>
    </row>
    <row r="93" spans="1:60" ht="82.8" x14ac:dyDescent="0.3">
      <c r="A93" s="4" t="s">
        <v>489</v>
      </c>
      <c r="B93" s="4" t="s">
        <v>831</v>
      </c>
      <c r="C93" s="4" t="s">
        <v>827</v>
      </c>
      <c r="D93" s="4" t="s">
        <v>828</v>
      </c>
      <c r="E93" s="4" t="s">
        <v>829</v>
      </c>
      <c r="F93" s="4" t="s">
        <v>470</v>
      </c>
      <c r="G93" s="2" t="s">
        <v>293</v>
      </c>
      <c r="H93" s="2">
        <v>91</v>
      </c>
      <c r="I93" s="2" t="s">
        <v>386</v>
      </c>
      <c r="J93" s="2"/>
      <c r="K93" s="2" t="s">
        <v>481</v>
      </c>
      <c r="L93" s="2" t="str">
        <f>_xlfn.TEXTJOIN("|",FALSE,Table1[[#This Row],[Target Entity]],Table1[[#This Row],[Target DEV SB ID]])</f>
        <v>Demand Bundle|WR53</v>
      </c>
      <c r="M93" s="2" t="s">
        <v>491</v>
      </c>
      <c r="N93" s="2" t="s">
        <v>5815</v>
      </c>
      <c r="O93" s="2" t="s">
        <v>6205</v>
      </c>
      <c r="P93" s="2" t="s">
        <v>838</v>
      </c>
      <c r="Q93" s="2" t="s">
        <v>33</v>
      </c>
      <c r="R93" s="2" t="s">
        <v>33</v>
      </c>
      <c r="S93" s="2" t="s">
        <v>492</v>
      </c>
      <c r="T93" s="2" t="s">
        <v>492</v>
      </c>
      <c r="U93" s="2" t="s">
        <v>492</v>
      </c>
      <c r="V93" s="2" t="s">
        <v>6210</v>
      </c>
      <c r="W93" s="2" t="str">
        <f>_xlfn.XLOOKUP(Table1[[#This Row],[Source PROD ID]],Prod_fields[ID],Prod_fields[Attribute Name],"0-Not Found",0,1)</f>
        <v>Demand SubType</v>
      </c>
      <c r="X93" s="2" t="str">
        <f>_xlfn.XLOOKUP(Table1[[#This Row],[Target DEV SB ID]],New_fields[ID],New_fields[Attribute Name],"0-Not Found",0,1)</f>
        <v>Demand SubType</v>
      </c>
      <c r="Y93" s="2" t="b">
        <f>Table1[[#This Row],[Prod Source field name]]=Table1[[#This Row],[New instance Target field name]]</f>
        <v>1</v>
      </c>
      <c r="Z93" s="2" t="b">
        <f>Table1[[#This Row],[Target Field Name]]=Table1[[#This Row],[New instance Target field name]]</f>
        <v>1</v>
      </c>
      <c r="AA93" s="2" t="s">
        <v>363</v>
      </c>
      <c r="AB93" s="2" t="s">
        <v>539</v>
      </c>
      <c r="AC93" s="2" t="s">
        <v>32</v>
      </c>
      <c r="AD93" s="2" t="s">
        <v>33</v>
      </c>
      <c r="AE93" s="5" t="str">
        <f>_xlfn.TEXTJOIN(CHAR(10),TRUE,VAL_wr53[])</f>
        <v>Legal
Regulatory
Infosec (Protect Purple)
None</v>
      </c>
      <c r="AF93" s="5" t="s">
        <v>6067</v>
      </c>
      <c r="AG93" s="5" t="s">
        <v>540</v>
      </c>
      <c r="AH93" s="5" t="s">
        <v>1095</v>
      </c>
      <c r="AI93" s="5" t="s">
        <v>1095</v>
      </c>
      <c r="AJ93" s="5" t="s">
        <v>1095</v>
      </c>
      <c r="AK93" s="5" t="s">
        <v>1095</v>
      </c>
      <c r="AL93" s="5"/>
      <c r="AM93" s="105"/>
      <c r="AN93" s="105"/>
      <c r="AO93" s="105"/>
      <c r="AP93" s="105"/>
      <c r="AQ93" s="105"/>
      <c r="AR93" s="105"/>
      <c r="AS93" s="105"/>
      <c r="AT93" s="105"/>
      <c r="AU93" s="105"/>
      <c r="AV93" s="105"/>
      <c r="AW93" s="105"/>
      <c r="AX93" s="105"/>
      <c r="AY93" s="105"/>
      <c r="AZ93" s="105"/>
      <c r="BA93" s="105"/>
      <c r="BB93" s="105"/>
      <c r="BC93" s="105"/>
      <c r="BD93" s="105"/>
      <c r="BE93" s="105"/>
      <c r="BF93" s="105"/>
      <c r="BG93" s="105"/>
      <c r="BH93" s="105"/>
    </row>
    <row r="94" spans="1:60" ht="138" x14ac:dyDescent="0.3">
      <c r="A94" s="4" t="s">
        <v>489</v>
      </c>
      <c r="B94" s="4" t="s">
        <v>831</v>
      </c>
      <c r="C94" s="4" t="s">
        <v>827</v>
      </c>
      <c r="D94" s="4" t="s">
        <v>828</v>
      </c>
      <c r="E94" s="4" t="s">
        <v>829</v>
      </c>
      <c r="F94" s="4" t="s">
        <v>470</v>
      </c>
      <c r="G94" s="2" t="s">
        <v>293</v>
      </c>
      <c r="H94" s="2">
        <v>92</v>
      </c>
      <c r="I94" s="2" t="s">
        <v>386</v>
      </c>
      <c r="J94" s="2"/>
      <c r="K94" s="2" t="s">
        <v>481</v>
      </c>
      <c r="L94" s="2" t="str">
        <f>_xlfn.TEXTJOIN("|",FALSE,Table1[[#This Row],[Target Entity]],Table1[[#This Row],[Target DEV SB ID]])</f>
        <v>Demand Bundle|Wbs20</v>
      </c>
      <c r="M94" s="2" t="s">
        <v>156</v>
      </c>
      <c r="N94" s="2" t="s">
        <v>5821</v>
      </c>
      <c r="O94" s="2"/>
      <c r="P94" s="2" t="s">
        <v>1095</v>
      </c>
      <c r="Q94" s="2" t="s">
        <v>33</v>
      </c>
      <c r="R94" s="2" t="s">
        <v>33</v>
      </c>
      <c r="S94" s="2" t="s">
        <v>157</v>
      </c>
      <c r="T94" s="2" t="s">
        <v>157</v>
      </c>
      <c r="U94" s="2" t="s">
        <v>157</v>
      </c>
      <c r="V94" s="2" t="s">
        <v>6210</v>
      </c>
      <c r="W94" s="2" t="str">
        <f>_xlfn.XLOOKUP(Table1[[#This Row],[Source PROD ID]],Prod_fields[ID],Prod_fields[Attribute Name],"0-Not Found",0,1)</f>
        <v>Work Status</v>
      </c>
      <c r="X94" s="2" t="str">
        <f>_xlfn.XLOOKUP(Table1[[#This Row],[Target DEV SB ID]],New_fields[ID],New_fields[Attribute Name],"0-Not Found",0,1)</f>
        <v>Work Status</v>
      </c>
      <c r="Y94" s="2" t="b">
        <f>Table1[[#This Row],[Prod Source field name]]=Table1[[#This Row],[New instance Target field name]]</f>
        <v>1</v>
      </c>
      <c r="Z94" s="2" t="b">
        <f>Table1[[#This Row],[Target Field Name]]=Table1[[#This Row],[New instance Target field name]]</f>
        <v>1</v>
      </c>
      <c r="AA94" s="2" t="s">
        <v>363</v>
      </c>
      <c r="AB94" s="2" t="s">
        <v>539</v>
      </c>
      <c r="AC94" s="2" t="s">
        <v>32</v>
      </c>
      <c r="AD94" s="2" t="s">
        <v>33</v>
      </c>
      <c r="AE94" s="5" t="str">
        <f>_xlfn.TEXTJOIN(CHAR(10),TRUE,VAL_wbs20_WorkStatus[])</f>
        <v>New
Active
On Hold
Completed/Closed
Cancelled
Rejected</v>
      </c>
      <c r="AF94" s="5" t="s">
        <v>6068</v>
      </c>
      <c r="AG94" s="5" t="s">
        <v>540</v>
      </c>
      <c r="AH94" s="5" t="s">
        <v>1095</v>
      </c>
      <c r="AI94" s="5" t="s">
        <v>1095</v>
      </c>
      <c r="AJ94" s="5" t="s">
        <v>1095</v>
      </c>
      <c r="AK94" s="5" t="s">
        <v>1095</v>
      </c>
      <c r="AL94" s="5"/>
      <c r="AM94" s="105"/>
      <c r="AN94" s="105"/>
      <c r="AO94" s="105"/>
      <c r="AP94" s="105"/>
      <c r="AQ94" s="105"/>
      <c r="AR94" s="105"/>
      <c r="AS94" s="105"/>
      <c r="AT94" s="105"/>
      <c r="AU94" s="105"/>
      <c r="AV94" s="105"/>
      <c r="AW94" s="105"/>
      <c r="AX94" s="105"/>
      <c r="AY94" s="105"/>
      <c r="AZ94" s="105"/>
      <c r="BA94" s="105"/>
      <c r="BB94" s="105"/>
      <c r="BC94" s="105"/>
      <c r="BD94" s="105"/>
      <c r="BE94" s="105"/>
      <c r="BF94" s="105"/>
      <c r="BG94" s="105"/>
      <c r="BH94" s="105"/>
    </row>
    <row r="95" spans="1:60" ht="138" x14ac:dyDescent="0.3">
      <c r="A95" s="4" t="s">
        <v>489</v>
      </c>
      <c r="B95" s="4" t="s">
        <v>831</v>
      </c>
      <c r="C95" s="4" t="s">
        <v>827</v>
      </c>
      <c r="D95" s="4" t="s">
        <v>828</v>
      </c>
      <c r="E95" s="4" t="s">
        <v>829</v>
      </c>
      <c r="F95" s="4" t="s">
        <v>470</v>
      </c>
      <c r="G95" s="2" t="s">
        <v>293</v>
      </c>
      <c r="H95" s="2">
        <v>93</v>
      </c>
      <c r="I95" s="2" t="s">
        <v>386</v>
      </c>
      <c r="J95" s="2"/>
      <c r="K95" s="2" t="s">
        <v>490</v>
      </c>
      <c r="L95" s="2" t="str">
        <f>_xlfn.TEXTJOIN("|",FALSE,Table1[[#This Row],[Target Entity]],Table1[[#This Row],[Target DEV SB ID]])</f>
        <v>Epic|Wbs20</v>
      </c>
      <c r="M95" s="2" t="s">
        <v>156</v>
      </c>
      <c r="N95" s="2" t="s">
        <v>5821</v>
      </c>
      <c r="O95" s="2"/>
      <c r="P95" s="2" t="s">
        <v>839</v>
      </c>
      <c r="Q95" s="2" t="s">
        <v>19</v>
      </c>
      <c r="R95" s="2" t="s">
        <v>19</v>
      </c>
      <c r="S95" s="2" t="s">
        <v>157</v>
      </c>
      <c r="T95" s="2" t="s">
        <v>157</v>
      </c>
      <c r="U95" s="2" t="s">
        <v>157</v>
      </c>
      <c r="V95" s="2" t="s">
        <v>6210</v>
      </c>
      <c r="W95" s="2" t="str">
        <f>_xlfn.XLOOKUP(Table1[[#This Row],[Source PROD ID]],Prod_fields[ID],Prod_fields[Attribute Name],"0-Not Found",0,1)</f>
        <v>Work Status</v>
      </c>
      <c r="X95" s="2" t="str">
        <f>_xlfn.XLOOKUP(Table1[[#This Row],[Target DEV SB ID]],New_fields[ID],New_fields[Attribute Name],"0-Not Found",0,1)</f>
        <v>Work Status</v>
      </c>
      <c r="Y95" s="2" t="b">
        <f>Table1[[#This Row],[Prod Source field name]]=Table1[[#This Row],[New instance Target field name]]</f>
        <v>1</v>
      </c>
      <c r="Z95" s="2" t="b">
        <f>Table1[[#This Row],[Target Field Name]]=Table1[[#This Row],[New instance Target field name]]</f>
        <v>1</v>
      </c>
      <c r="AA95" s="2" t="s">
        <v>363</v>
      </c>
      <c r="AB95" s="2" t="s">
        <v>539</v>
      </c>
      <c r="AC95" s="2" t="s">
        <v>32</v>
      </c>
      <c r="AD95" s="2" t="s">
        <v>33</v>
      </c>
      <c r="AE95" s="5" t="str">
        <f>_xlfn.TEXTJOIN(CHAR(10),TRUE,VAL_wbs20_WorkStatus[])</f>
        <v>New
Active
On Hold
Completed/Closed
Cancelled
Rejected</v>
      </c>
      <c r="AF95" s="5" t="s">
        <v>6068</v>
      </c>
      <c r="AG95" s="5" t="s">
        <v>540</v>
      </c>
      <c r="AH95" s="5" t="s">
        <v>1095</v>
      </c>
      <c r="AI95" s="5" t="s">
        <v>1095</v>
      </c>
      <c r="AJ95" s="5" t="s">
        <v>1095</v>
      </c>
      <c r="AK95" s="5" t="s">
        <v>1095</v>
      </c>
      <c r="AL95" s="5"/>
      <c r="AM95" s="105"/>
      <c r="AN95" s="105"/>
      <c r="AO95" s="105"/>
      <c r="AP95" s="105"/>
      <c r="AQ95" s="105"/>
      <c r="AR95" s="105"/>
      <c r="AS95" s="105"/>
      <c r="AT95" s="105"/>
      <c r="AU95" s="105"/>
      <c r="AV95" s="105"/>
      <c r="AW95" s="105"/>
      <c r="AX95" s="105"/>
      <c r="AY95" s="105"/>
      <c r="AZ95" s="105"/>
      <c r="BA95" s="105"/>
      <c r="BB95" s="105"/>
      <c r="BC95" s="105"/>
      <c r="BD95" s="105"/>
      <c r="BE95" s="105"/>
      <c r="BF95" s="105"/>
      <c r="BG95" s="105"/>
      <c r="BH95" s="105"/>
    </row>
    <row r="96" spans="1:60" ht="55.2" x14ac:dyDescent="0.3">
      <c r="A96" s="4" t="s">
        <v>489</v>
      </c>
      <c r="B96" s="4" t="s">
        <v>831</v>
      </c>
      <c r="C96" s="4" t="s">
        <v>827</v>
      </c>
      <c r="D96" s="4" t="s">
        <v>828</v>
      </c>
      <c r="E96" s="4" t="s">
        <v>829</v>
      </c>
      <c r="F96" s="4" t="s">
        <v>470</v>
      </c>
      <c r="G96" s="2" t="s">
        <v>293</v>
      </c>
      <c r="H96" s="2">
        <v>94</v>
      </c>
      <c r="I96" s="2" t="s">
        <v>386</v>
      </c>
      <c r="J96" s="2"/>
      <c r="K96" s="2" t="s">
        <v>481</v>
      </c>
      <c r="L96" s="2" t="str">
        <f>_xlfn.TEXTJOIN("|",FALSE,Table1[[#This Row],[Target Entity]],Table1[[#This Row],[Target DEV SB ID]])</f>
        <v>Demand Bundle|PE01</v>
      </c>
      <c r="M96" s="2" t="s">
        <v>154</v>
      </c>
      <c r="N96" s="2" t="s">
        <v>5821</v>
      </c>
      <c r="O96" s="2"/>
      <c r="P96" s="2" t="s">
        <v>1095</v>
      </c>
      <c r="Q96" s="2" t="s">
        <v>33</v>
      </c>
      <c r="R96" s="2" t="s">
        <v>33</v>
      </c>
      <c r="S96" s="2" t="s">
        <v>155</v>
      </c>
      <c r="T96" s="2" t="s">
        <v>155</v>
      </c>
      <c r="U96" s="2" t="s">
        <v>155</v>
      </c>
      <c r="V96" s="2" t="s">
        <v>5957</v>
      </c>
      <c r="W96" s="2" t="str">
        <f>_xlfn.XLOOKUP(Table1[[#This Row],[Source PROD ID]],Prod_fields[ID],Prod_fields[Attribute Name],"0-Not Found",0,1)</f>
        <v>Work Description</v>
      </c>
      <c r="X96" s="2" t="str">
        <f>_xlfn.XLOOKUP(Table1[[#This Row],[Target DEV SB ID]],New_fields[ID],New_fields[Attribute Name],"0-Not Found",0,1)</f>
        <v>Description</v>
      </c>
      <c r="Y96" s="2" t="b">
        <f>Table1[[#This Row],[Prod Source field name]]=Table1[[#This Row],[New instance Target field name]]</f>
        <v>0</v>
      </c>
      <c r="Z96" s="2" t="b">
        <f>Table1[[#This Row],[Target Field Name]]=Table1[[#This Row],[New instance Target field name]]</f>
        <v>1</v>
      </c>
      <c r="AA96" s="2" t="s">
        <v>18</v>
      </c>
      <c r="AB96" s="2" t="s">
        <v>539</v>
      </c>
      <c r="AC96" s="2"/>
      <c r="AD96" s="2" t="s">
        <v>19</v>
      </c>
      <c r="AE96" s="5"/>
      <c r="AF96" s="5" t="s">
        <v>680</v>
      </c>
      <c r="AG96" s="5" t="s">
        <v>540</v>
      </c>
      <c r="AH96" s="5" t="s">
        <v>680</v>
      </c>
      <c r="AI96" s="5" t="s">
        <v>1095</v>
      </c>
      <c r="AJ96" s="5" t="s">
        <v>1095</v>
      </c>
      <c r="AK96" s="5" t="s">
        <v>1095</v>
      </c>
      <c r="AL96" s="5"/>
      <c r="AM96" s="105"/>
      <c r="AN96" s="105"/>
      <c r="AO96" s="105"/>
      <c r="AP96" s="105"/>
      <c r="AQ96" s="105"/>
      <c r="AR96" s="105"/>
      <c r="AS96" s="105"/>
      <c r="AT96" s="105"/>
      <c r="AU96" s="105"/>
      <c r="AV96" s="105"/>
      <c r="AW96" s="105"/>
      <c r="AX96" s="105"/>
      <c r="AY96" s="105"/>
      <c r="AZ96" s="105"/>
      <c r="BA96" s="105"/>
      <c r="BB96" s="105"/>
      <c r="BC96" s="105"/>
      <c r="BD96" s="105"/>
      <c r="BE96" s="105"/>
      <c r="BF96" s="105"/>
      <c r="BG96" s="105"/>
      <c r="BH96" s="105"/>
    </row>
    <row r="97" spans="1:60" ht="55.2" x14ac:dyDescent="0.3">
      <c r="A97" s="4" t="s">
        <v>489</v>
      </c>
      <c r="B97" s="4" t="s">
        <v>831</v>
      </c>
      <c r="C97" s="4" t="s">
        <v>827</v>
      </c>
      <c r="D97" s="4" t="s">
        <v>828</v>
      </c>
      <c r="E97" s="4" t="s">
        <v>829</v>
      </c>
      <c r="F97" s="4" t="s">
        <v>470</v>
      </c>
      <c r="G97" s="2" t="s">
        <v>293</v>
      </c>
      <c r="H97" s="2">
        <v>95</v>
      </c>
      <c r="I97" s="2" t="s">
        <v>386</v>
      </c>
      <c r="J97" s="2"/>
      <c r="K97" s="2" t="s">
        <v>490</v>
      </c>
      <c r="L97" s="2" t="str">
        <f>_xlfn.TEXTJOIN("|",FALSE,Table1[[#This Row],[Target Entity]],Table1[[#This Row],[Target DEV SB ID]])</f>
        <v>Epic|Task line in Plan</v>
      </c>
      <c r="M97" s="2" t="s">
        <v>493</v>
      </c>
      <c r="N97" s="2" t="s">
        <v>5815</v>
      </c>
      <c r="O97" s="2" t="s">
        <v>6213</v>
      </c>
      <c r="P97" s="2" t="s">
        <v>840</v>
      </c>
      <c r="Q97" s="2" t="s">
        <v>19</v>
      </c>
      <c r="R97" s="2" t="s">
        <v>19</v>
      </c>
      <c r="S97" s="2" t="s">
        <v>124</v>
      </c>
      <c r="T97" s="2" t="s">
        <v>494</v>
      </c>
      <c r="U97" s="2" t="s">
        <v>494</v>
      </c>
      <c r="V97" s="2" t="s">
        <v>6215</v>
      </c>
      <c r="W97" s="2" t="str">
        <f>_xlfn.XLOOKUP(Table1[[#This Row],[Source PROD ID]],Prod_fields[ID],Prod_fields[Attribute Name],"0-Not Found",0,1)</f>
        <v>Epic Name</v>
      </c>
      <c r="X97" s="2" t="str">
        <f>_xlfn.XLOOKUP(Table1[[#This Row],[Target DEV SB ID]],New_fields[ID],New_fields[Attribute Name],"0-Not Found",0,1)</f>
        <v>0-Not Found</v>
      </c>
      <c r="Y97" s="2" t="b">
        <f>Table1[[#This Row],[Prod Source field name]]=Table1[[#This Row],[New instance Target field name]]</f>
        <v>0</v>
      </c>
      <c r="Z97" s="2" t="b">
        <f>Table1[[#This Row],[Target Field Name]]=Table1[[#This Row],[New instance Target field name]]</f>
        <v>0</v>
      </c>
      <c r="AA97" s="2" t="s">
        <v>18</v>
      </c>
      <c r="AB97" s="2" t="s">
        <v>539</v>
      </c>
      <c r="AC97" s="2"/>
      <c r="AD97" s="2" t="s">
        <v>19</v>
      </c>
      <c r="AE97" s="5"/>
      <c r="AF97" s="5" t="s">
        <v>6069</v>
      </c>
      <c r="AG97" s="5" t="s">
        <v>540</v>
      </c>
      <c r="AH97" s="5" t="s">
        <v>19</v>
      </c>
      <c r="AI97" s="5" t="s">
        <v>1095</v>
      </c>
      <c r="AJ97" s="5" t="s">
        <v>1095</v>
      </c>
      <c r="AK97" s="5" t="s">
        <v>1095</v>
      </c>
      <c r="AL97" s="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row>
    <row r="98" spans="1:60" ht="55.2" x14ac:dyDescent="0.3">
      <c r="A98" s="4" t="s">
        <v>489</v>
      </c>
      <c r="B98" s="4" t="s">
        <v>831</v>
      </c>
      <c r="C98" s="4" t="s">
        <v>827</v>
      </c>
      <c r="D98" s="4" t="s">
        <v>828</v>
      </c>
      <c r="E98" s="4" t="s">
        <v>829</v>
      </c>
      <c r="F98" s="4" t="s">
        <v>470</v>
      </c>
      <c r="G98" s="2" t="s">
        <v>293</v>
      </c>
      <c r="H98" s="2">
        <v>96</v>
      </c>
      <c r="I98" s="2" t="s">
        <v>386</v>
      </c>
      <c r="J98" s="2"/>
      <c r="K98" s="2" t="s">
        <v>490</v>
      </c>
      <c r="L98" s="2" t="str">
        <f>_xlfn.TEXTJOIN("|",FALSE,Table1[[#This Row],[Target Entity]],Table1[[#This Row],[Target DEV SB ID]])</f>
        <v>Epic|PE01</v>
      </c>
      <c r="M98" s="102" t="s">
        <v>299</v>
      </c>
      <c r="N98" s="2" t="s">
        <v>5815</v>
      </c>
      <c r="O98" s="2" t="s">
        <v>6214</v>
      </c>
      <c r="P98" s="2" t="s">
        <v>840</v>
      </c>
      <c r="Q98" s="2" t="s">
        <v>19</v>
      </c>
      <c r="R98" s="2" t="s">
        <v>19</v>
      </c>
      <c r="S98" s="2" t="s">
        <v>155</v>
      </c>
      <c r="T98" s="2" t="s">
        <v>155</v>
      </c>
      <c r="U98" s="2" t="s">
        <v>155</v>
      </c>
      <c r="V98" s="2" t="s">
        <v>6215</v>
      </c>
      <c r="W98" s="2" t="str">
        <f>_xlfn.XLOOKUP(Table1[[#This Row],[Source PROD ID]],Prod_fields[ID],Prod_fields[Attribute Name],"0-Not Found",0,1)</f>
        <v>Work Description</v>
      </c>
      <c r="X98" s="2" t="str">
        <f>_xlfn.XLOOKUP(Table1[[#This Row],[Target DEV SB ID]],New_fields[ID],New_fields[Attribute Name],"0-Not Found",0,1)</f>
        <v>Description</v>
      </c>
      <c r="Y98" s="2" t="b">
        <f>Table1[[#This Row],[Prod Source field name]]=Table1[[#This Row],[New instance Target field name]]</f>
        <v>0</v>
      </c>
      <c r="Z98" s="2" t="b">
        <f>Table1[[#This Row],[Target Field Name]]=Table1[[#This Row],[New instance Target field name]]</f>
        <v>0</v>
      </c>
      <c r="AA98" s="2" t="s">
        <v>18</v>
      </c>
      <c r="AB98" s="2" t="s">
        <v>539</v>
      </c>
      <c r="AC98" s="2"/>
      <c r="AD98" s="2" t="s">
        <v>19</v>
      </c>
      <c r="AE98" s="5"/>
      <c r="AF98" s="5" t="s">
        <v>680</v>
      </c>
      <c r="AG98" s="5" t="s">
        <v>540</v>
      </c>
      <c r="AH98" s="5" t="s">
        <v>680</v>
      </c>
      <c r="AI98" s="5" t="s">
        <v>1095</v>
      </c>
      <c r="AJ98" s="5" t="s">
        <v>1095</v>
      </c>
      <c r="AK98" s="5" t="s">
        <v>1095</v>
      </c>
      <c r="AL98" s="5"/>
      <c r="AM98" s="105"/>
      <c r="AN98" s="105"/>
      <c r="AO98" s="105"/>
      <c r="AP98" s="105"/>
      <c r="AQ98" s="105"/>
      <c r="AR98" s="105"/>
      <c r="AS98" s="105"/>
      <c r="AT98" s="105"/>
      <c r="AU98" s="105"/>
      <c r="AV98" s="105"/>
      <c r="AW98" s="105"/>
      <c r="AX98" s="105"/>
      <c r="AY98" s="105"/>
      <c r="AZ98" s="105"/>
      <c r="BA98" s="105"/>
      <c r="BB98" s="105"/>
      <c r="BC98" s="105"/>
      <c r="BD98" s="105"/>
      <c r="BE98" s="105"/>
      <c r="BF98" s="105"/>
      <c r="BG98" s="105"/>
      <c r="BH98" s="105"/>
    </row>
    <row r="99" spans="1:60" ht="151.80000000000001" x14ac:dyDescent="0.3">
      <c r="A99" s="4" t="s">
        <v>489</v>
      </c>
      <c r="B99" s="4" t="s">
        <v>818</v>
      </c>
      <c r="C99" s="4" t="s">
        <v>815</v>
      </c>
      <c r="D99" s="4" t="s">
        <v>816</v>
      </c>
      <c r="E99" s="4" t="s">
        <v>1095</v>
      </c>
      <c r="F99" s="4" t="s">
        <v>39</v>
      </c>
      <c r="G99" s="2" t="s">
        <v>293</v>
      </c>
      <c r="H99" s="2">
        <v>97</v>
      </c>
      <c r="I99" s="2" t="s">
        <v>386</v>
      </c>
      <c r="J99" s="2"/>
      <c r="K99" s="2" t="s">
        <v>481</v>
      </c>
      <c r="L99" s="2" t="str">
        <f>_xlfn.TEXTJOIN("|",FALSE,Table1[[#This Row],[Target Entity]],Table1[[#This Row],[Target DEV SB ID]])</f>
        <v>Demand Bundle|Str62</v>
      </c>
      <c r="M99" s="2" t="s">
        <v>171</v>
      </c>
      <c r="N99" s="2" t="s">
        <v>5821</v>
      </c>
      <c r="O99" s="2"/>
      <c r="P99" s="2" t="s">
        <v>817</v>
      </c>
      <c r="Q99" s="2" t="s">
        <v>33</v>
      </c>
      <c r="R99" s="2" t="s">
        <v>33</v>
      </c>
      <c r="S99" s="2" t="s">
        <v>172</v>
      </c>
      <c r="T99" s="2" t="s">
        <v>172</v>
      </c>
      <c r="U99" s="2" t="s">
        <v>172</v>
      </c>
      <c r="V99" s="2" t="s">
        <v>6188</v>
      </c>
      <c r="W99" s="2" t="str">
        <f>_xlfn.XLOOKUP(Table1[[#This Row],[Source PROD ID]],Prod_fields[ID],Prod_fields[Attribute Name],"0-Not Found",0,1)</f>
        <v>T-Shirt Size</v>
      </c>
      <c r="X99" s="2" t="str">
        <f>_xlfn.XLOOKUP(Table1[[#This Row],[Target DEV SB ID]],New_fields[ID],New_fields[Attribute Name],"0-Not Found",0,1)</f>
        <v>T-Shirt Size</v>
      </c>
      <c r="Y99" s="2" t="b">
        <f>Table1[[#This Row],[Prod Source field name]]=Table1[[#This Row],[New instance Target field name]]</f>
        <v>1</v>
      </c>
      <c r="Z99" s="2" t="b">
        <f>Table1[[#This Row],[Target Field Name]]=Table1[[#This Row],[New instance Target field name]]</f>
        <v>1</v>
      </c>
      <c r="AA99" s="2" t="s">
        <v>363</v>
      </c>
      <c r="AB99" s="2" t="s">
        <v>539</v>
      </c>
      <c r="AC99" s="2" t="s">
        <v>32</v>
      </c>
      <c r="AD99" s="2" t="s">
        <v>33</v>
      </c>
      <c r="AE99" s="5" t="str">
        <f>_xlfn.TEXTJOIN(CHAR(10),TRUE,VAL_str62_tsize[])</f>
        <v>1: XS
2: S
3: M
4: L
5: XL</v>
      </c>
      <c r="AF99" s="5" t="s">
        <v>6042</v>
      </c>
      <c r="AG99" s="5" t="s">
        <v>540</v>
      </c>
      <c r="AH99" s="5" t="s">
        <v>1095</v>
      </c>
      <c r="AI99" s="5" t="s">
        <v>1095</v>
      </c>
      <c r="AJ99" s="5" t="s">
        <v>1095</v>
      </c>
      <c r="AK99" s="5" t="s">
        <v>1095</v>
      </c>
      <c r="AL99" s="5"/>
      <c r="AM99" s="105"/>
      <c r="AN99" s="105"/>
      <c r="AO99" s="105"/>
      <c r="AP99" s="105"/>
      <c r="AQ99" s="105"/>
      <c r="AR99" s="105"/>
      <c r="AS99" s="105"/>
      <c r="AT99" s="105"/>
      <c r="AU99" s="105"/>
      <c r="AV99" s="105"/>
      <c r="AW99" s="105"/>
      <c r="AX99" s="105"/>
      <c r="AY99" s="105"/>
      <c r="AZ99" s="105"/>
      <c r="BA99" s="105"/>
      <c r="BB99" s="105"/>
      <c r="BC99" s="105"/>
      <c r="BD99" s="105"/>
      <c r="BE99" s="105"/>
      <c r="BF99" s="105"/>
      <c r="BG99" s="105"/>
      <c r="BH99" s="105"/>
    </row>
    <row r="100" spans="1:60" ht="151.80000000000001" x14ac:dyDescent="0.3">
      <c r="A100" s="4" t="s">
        <v>489</v>
      </c>
      <c r="B100" s="4" t="s">
        <v>831</v>
      </c>
      <c r="C100" s="4" t="s">
        <v>827</v>
      </c>
      <c r="D100" s="4" t="s">
        <v>828</v>
      </c>
      <c r="E100" s="4" t="s">
        <v>829</v>
      </c>
      <c r="F100" s="4" t="s">
        <v>470</v>
      </c>
      <c r="G100" s="2" t="s">
        <v>293</v>
      </c>
      <c r="H100" s="2">
        <v>98</v>
      </c>
      <c r="I100" s="2" t="s">
        <v>386</v>
      </c>
      <c r="J100" s="2"/>
      <c r="K100" s="2" t="s">
        <v>490</v>
      </c>
      <c r="L100" s="2" t="str">
        <f>_xlfn.TEXTJOIN("|",FALSE,Table1[[#This Row],[Target Entity]],Table1[[#This Row],[Target DEV SB ID]])</f>
        <v>Epic|Str62</v>
      </c>
      <c r="M100" s="2" t="s">
        <v>171</v>
      </c>
      <c r="N100" s="2" t="s">
        <v>5821</v>
      </c>
      <c r="O100" s="2"/>
      <c r="P100" s="2" t="s">
        <v>843</v>
      </c>
      <c r="Q100" s="2" t="s">
        <v>1095</v>
      </c>
      <c r="R100" s="2" t="s">
        <v>1095</v>
      </c>
      <c r="S100" s="2" t="s">
        <v>172</v>
      </c>
      <c r="T100" s="2" t="s">
        <v>172</v>
      </c>
      <c r="U100" s="2" t="s">
        <v>172</v>
      </c>
      <c r="V100" s="2" t="s">
        <v>6188</v>
      </c>
      <c r="W100" s="2" t="str">
        <f>_xlfn.XLOOKUP(Table1[[#This Row],[Source PROD ID]],Prod_fields[ID],Prod_fields[Attribute Name],"0-Not Found",0,1)</f>
        <v>T-Shirt Size</v>
      </c>
      <c r="X100" s="2" t="str">
        <f>_xlfn.XLOOKUP(Table1[[#This Row],[Target DEV SB ID]],New_fields[ID],New_fields[Attribute Name],"0-Not Found",0,1)</f>
        <v>T-Shirt Size</v>
      </c>
      <c r="Y100" s="2" t="b">
        <f>Table1[[#This Row],[Prod Source field name]]=Table1[[#This Row],[New instance Target field name]]</f>
        <v>1</v>
      </c>
      <c r="Z100" s="2" t="b">
        <f>Table1[[#This Row],[Target Field Name]]=Table1[[#This Row],[New instance Target field name]]</f>
        <v>1</v>
      </c>
      <c r="AA100" s="2" t="s">
        <v>363</v>
      </c>
      <c r="AB100" s="2" t="s">
        <v>539</v>
      </c>
      <c r="AC100" s="2" t="s">
        <v>32</v>
      </c>
      <c r="AD100" s="2" t="s">
        <v>33</v>
      </c>
      <c r="AE100" s="5" t="str">
        <f>_xlfn.TEXTJOIN(CHAR(10),TRUE,VAL_str62_tsize[])</f>
        <v>1: XS
2: S
3: M
4: L
5: XL</v>
      </c>
      <c r="AF100" s="5" t="s">
        <v>841</v>
      </c>
      <c r="AG100" s="5" t="s">
        <v>540</v>
      </c>
      <c r="AH100" s="5" t="s">
        <v>841</v>
      </c>
      <c r="AI100" s="5" t="s">
        <v>1095</v>
      </c>
      <c r="AJ100" s="5" t="s">
        <v>1095</v>
      </c>
      <c r="AK100" s="5" t="s">
        <v>1095</v>
      </c>
      <c r="AL100" s="5"/>
      <c r="AM100" s="105"/>
      <c r="AN100" s="105"/>
      <c r="AO100" s="105"/>
      <c r="AP100" s="105"/>
      <c r="AQ100" s="105"/>
      <c r="AR100" s="105"/>
      <c r="AS100" s="105"/>
      <c r="AT100" s="105"/>
      <c r="AU100" s="105"/>
      <c r="AV100" s="105"/>
      <c r="AW100" s="105"/>
      <c r="AX100" s="105"/>
      <c r="AY100" s="105"/>
      <c r="AZ100" s="105"/>
      <c r="BA100" s="105"/>
      <c r="BB100" s="105"/>
      <c r="BC100" s="105"/>
      <c r="BD100" s="105"/>
      <c r="BE100" s="105"/>
      <c r="BF100" s="105"/>
      <c r="BG100" s="105"/>
      <c r="BH100" s="105"/>
    </row>
    <row r="101" spans="1:60" ht="55.2" x14ac:dyDescent="0.3">
      <c r="A101" s="4" t="s">
        <v>489</v>
      </c>
      <c r="B101" s="4" t="s">
        <v>831</v>
      </c>
      <c r="C101" s="4" t="s">
        <v>827</v>
      </c>
      <c r="D101" s="4" t="s">
        <v>828</v>
      </c>
      <c r="E101" s="4" t="s">
        <v>829</v>
      </c>
      <c r="F101" s="4" t="s">
        <v>470</v>
      </c>
      <c r="G101" s="2" t="s">
        <v>293</v>
      </c>
      <c r="H101" s="2">
        <v>99</v>
      </c>
      <c r="I101" s="2" t="s">
        <v>386</v>
      </c>
      <c r="J101" s="2"/>
      <c r="K101" s="2" t="s">
        <v>490</v>
      </c>
      <c r="L101" s="2" t="str">
        <f>_xlfn.TEXTJOIN("|",FALSE,Table1[[#This Row],[Target Entity]],Table1[[#This Row],[Target DEV SB ID]])</f>
        <v>Epic|fdx_epic_notes</v>
      </c>
      <c r="M101" s="2" t="s">
        <v>495</v>
      </c>
      <c r="N101" s="2" t="s">
        <v>5815</v>
      </c>
      <c r="O101" s="2" t="s">
        <v>6216</v>
      </c>
      <c r="P101" s="2" t="s">
        <v>844</v>
      </c>
      <c r="Q101" s="2" t="s">
        <v>33</v>
      </c>
      <c r="R101" s="2" t="s">
        <v>33</v>
      </c>
      <c r="S101" s="2" t="s">
        <v>327</v>
      </c>
      <c r="T101" s="2" t="s">
        <v>327</v>
      </c>
      <c r="U101" s="2" t="s">
        <v>327</v>
      </c>
      <c r="V101" s="2" t="s">
        <v>5957</v>
      </c>
      <c r="W101" s="2" t="str">
        <f>_xlfn.XLOOKUP(Table1[[#This Row],[Source PROD ID]],Prod_fields[ID],Prod_fields[Attribute Name],"0-Not Found",0,1)</f>
        <v>Epic Notes and Comments</v>
      </c>
      <c r="X101" s="2" t="str">
        <f>_xlfn.XLOOKUP(Table1[[#This Row],[Target DEV SB ID]],New_fields[ID],New_fields[Attribute Name],"0-Not Found",0,1)</f>
        <v>Epic Notes and Comments</v>
      </c>
      <c r="Y101" s="2" t="b">
        <f>Table1[[#This Row],[Prod Source field name]]=Table1[[#This Row],[New instance Target field name]]</f>
        <v>1</v>
      </c>
      <c r="Z101" s="2" t="b">
        <f>Table1[[#This Row],[Target Field Name]]=Table1[[#This Row],[New instance Target field name]]</f>
        <v>0</v>
      </c>
      <c r="AA101" s="2" t="s">
        <v>18</v>
      </c>
      <c r="AB101" s="2" t="s">
        <v>539</v>
      </c>
      <c r="AC101" s="2"/>
      <c r="AD101" s="2" t="s">
        <v>19</v>
      </c>
      <c r="AE101" s="5"/>
      <c r="AF101" s="5" t="s">
        <v>6070</v>
      </c>
      <c r="AG101" s="5" t="s">
        <v>1095</v>
      </c>
      <c r="AH101" s="5" t="s">
        <v>1095</v>
      </c>
      <c r="AI101" s="5" t="s">
        <v>1095</v>
      </c>
      <c r="AJ101" s="5" t="s">
        <v>1095</v>
      </c>
      <c r="AK101" s="5" t="s">
        <v>1095</v>
      </c>
      <c r="AL101" s="5"/>
      <c r="AM101" s="105"/>
      <c r="AN101" s="105"/>
      <c r="AO101" s="105"/>
      <c r="AP101" s="105"/>
      <c r="AQ101" s="105"/>
      <c r="AR101" s="105"/>
      <c r="AS101" s="105"/>
      <c r="AT101" s="105"/>
      <c r="AU101" s="105"/>
      <c r="AV101" s="105"/>
      <c r="AW101" s="105"/>
      <c r="AX101" s="105"/>
      <c r="AY101" s="105"/>
      <c r="AZ101" s="105"/>
      <c r="BA101" s="105"/>
      <c r="BB101" s="105"/>
      <c r="BC101" s="105"/>
      <c r="BD101" s="105"/>
      <c r="BE101" s="105"/>
      <c r="BF101" s="105"/>
      <c r="BG101" s="105"/>
      <c r="BH101" s="105"/>
    </row>
    <row r="102" spans="1:60" ht="82.8" x14ac:dyDescent="0.3">
      <c r="A102" s="4" t="s">
        <v>489</v>
      </c>
      <c r="B102" s="4" t="s">
        <v>831</v>
      </c>
      <c r="C102" s="4" t="s">
        <v>827</v>
      </c>
      <c r="D102" s="4" t="s">
        <v>828</v>
      </c>
      <c r="E102" s="4" t="s">
        <v>829</v>
      </c>
      <c r="F102" s="4" t="s">
        <v>682</v>
      </c>
      <c r="G102" s="2" t="s">
        <v>293</v>
      </c>
      <c r="H102" s="2">
        <v>100</v>
      </c>
      <c r="I102" s="2" t="s">
        <v>386</v>
      </c>
      <c r="J102" s="2"/>
      <c r="K102" s="2" t="s">
        <v>490</v>
      </c>
      <c r="L102" s="2" t="str">
        <f>_xlfn.TEXTJOIN("|",FALSE,Table1[[#This Row],[Target Entity]],Table1[[#This Row],[Target DEV SB ID]])</f>
        <v>Epic|fdx_agility_id</v>
      </c>
      <c r="M102" s="2" t="s">
        <v>300</v>
      </c>
      <c r="N102" s="2" t="s">
        <v>5821</v>
      </c>
      <c r="O102" s="2"/>
      <c r="P102" s="2" t="s">
        <v>845</v>
      </c>
      <c r="Q102" s="2" t="s">
        <v>33</v>
      </c>
      <c r="R102" s="2" t="s">
        <v>33</v>
      </c>
      <c r="S102" s="2" t="s">
        <v>301</v>
      </c>
      <c r="T102" s="2" t="s">
        <v>301</v>
      </c>
      <c r="U102" s="2" t="s">
        <v>301</v>
      </c>
      <c r="V102" s="2" t="s">
        <v>6220</v>
      </c>
      <c r="W102" s="2" t="str">
        <f>_xlfn.XLOOKUP(Table1[[#This Row],[Source PROD ID]],Prod_fields[ID],Prod_fields[Attribute Name],"0-Not Found",0,1)</f>
        <v>Agility #</v>
      </c>
      <c r="X102" s="2" t="str">
        <f>_xlfn.XLOOKUP(Table1[[#This Row],[Target DEV SB ID]],New_fields[ID],New_fields[Attribute Name],"0-Not Found",0,1)</f>
        <v>Agility #</v>
      </c>
      <c r="Y102" s="2" t="b">
        <f>Table1[[#This Row],[Prod Source field name]]=Table1[[#This Row],[New instance Target field name]]</f>
        <v>1</v>
      </c>
      <c r="Z102" s="2" t="b">
        <f>Table1[[#This Row],[Target Field Name]]=Table1[[#This Row],[New instance Target field name]]</f>
        <v>1</v>
      </c>
      <c r="AA102" s="2" t="s">
        <v>18</v>
      </c>
      <c r="AB102" s="2" t="s">
        <v>539</v>
      </c>
      <c r="AC102" s="2"/>
      <c r="AD102" s="2" t="s">
        <v>19</v>
      </c>
      <c r="AE102" s="5"/>
      <c r="AF102" s="5" t="s">
        <v>683</v>
      </c>
      <c r="AG102" s="5" t="s">
        <v>497</v>
      </c>
      <c r="AH102" s="5" t="s">
        <v>683</v>
      </c>
      <c r="AI102" s="5" t="s">
        <v>1095</v>
      </c>
      <c r="AJ102" s="5" t="s">
        <v>1095</v>
      </c>
      <c r="AK102" s="5" t="s">
        <v>1095</v>
      </c>
      <c r="AL102" s="5"/>
      <c r="AM102" s="105"/>
      <c r="AN102" s="105"/>
      <c r="AO102" s="105"/>
      <c r="AP102" s="105"/>
      <c r="AQ102" s="105"/>
      <c r="AR102" s="105"/>
      <c r="AS102" s="105"/>
      <c r="AT102" s="105"/>
      <c r="AU102" s="105"/>
      <c r="AV102" s="105"/>
      <c r="AW102" s="105"/>
      <c r="AX102" s="105"/>
      <c r="AY102" s="105"/>
      <c r="AZ102" s="105"/>
      <c r="BA102" s="105"/>
      <c r="BB102" s="105"/>
      <c r="BC102" s="105"/>
      <c r="BD102" s="105"/>
      <c r="BE102" s="105"/>
      <c r="BF102" s="105"/>
      <c r="BG102" s="105"/>
      <c r="BH102" s="105"/>
    </row>
    <row r="103" spans="1:60" ht="69" x14ac:dyDescent="0.3">
      <c r="A103" s="4" t="s">
        <v>489</v>
      </c>
      <c r="B103" s="4" t="s">
        <v>831</v>
      </c>
      <c r="C103" s="4" t="s">
        <v>827</v>
      </c>
      <c r="D103" s="4" t="s">
        <v>828</v>
      </c>
      <c r="E103" s="4" t="s">
        <v>829</v>
      </c>
      <c r="F103" s="4" t="s">
        <v>682</v>
      </c>
      <c r="G103" s="2" t="s">
        <v>293</v>
      </c>
      <c r="H103" s="2">
        <v>101</v>
      </c>
      <c r="I103" s="2" t="s">
        <v>386</v>
      </c>
      <c r="J103" s="2"/>
      <c r="K103" s="2" t="s">
        <v>490</v>
      </c>
      <c r="L103" s="2" t="str">
        <f>_xlfn.TEXTJOIN("|",FALSE,Table1[[#This Row],[Target Entity]],Table1[[#This Row],[Target DEV SB ID]])</f>
        <v>Epic|fdx_agility_URL</v>
      </c>
      <c r="M103" s="2" t="s">
        <v>302</v>
      </c>
      <c r="N103" s="2" t="s">
        <v>5821</v>
      </c>
      <c r="O103" s="2"/>
      <c r="P103" s="2" t="s">
        <v>845</v>
      </c>
      <c r="Q103" s="2" t="s">
        <v>33</v>
      </c>
      <c r="R103" s="2" t="s">
        <v>33</v>
      </c>
      <c r="S103" s="2" t="s">
        <v>496</v>
      </c>
      <c r="T103" s="2" t="s">
        <v>496</v>
      </c>
      <c r="U103" s="2" t="s">
        <v>496</v>
      </c>
      <c r="V103" s="2" t="s">
        <v>6218</v>
      </c>
      <c r="W103" s="2" t="str">
        <f>_xlfn.XLOOKUP(Table1[[#This Row],[Source PROD ID]],Prod_fields[ID],Prod_fields[Attribute Name],"0-Not Found",0,1)</f>
        <v>0-Not Found</v>
      </c>
      <c r="X103" s="2" t="str">
        <f>_xlfn.XLOOKUP(Table1[[#This Row],[Target DEV SB ID]],New_fields[ID],New_fields[Attribute Name],"0-Not Found",0,1)</f>
        <v>0-Not Found</v>
      </c>
      <c r="Y103" s="2" t="b">
        <f>Table1[[#This Row],[Prod Source field name]]=Table1[[#This Row],[New instance Target field name]]</f>
        <v>1</v>
      </c>
      <c r="Z103" s="2" t="b">
        <f>Table1[[#This Row],[Target Field Name]]=Table1[[#This Row],[New instance Target field name]]</f>
        <v>0</v>
      </c>
      <c r="AA103" s="2" t="s">
        <v>18</v>
      </c>
      <c r="AB103" s="2" t="s">
        <v>6217</v>
      </c>
      <c r="AC103" s="2" t="s">
        <v>497</v>
      </c>
      <c r="AD103" s="2" t="s">
        <v>19</v>
      </c>
      <c r="AE103" s="5"/>
      <c r="AF103" s="5" t="s">
        <v>1095</v>
      </c>
      <c r="AG103" s="5" t="s">
        <v>497</v>
      </c>
      <c r="AH103" s="5" t="s">
        <v>1095</v>
      </c>
      <c r="AI103" s="5" t="s">
        <v>1095</v>
      </c>
      <c r="AJ103" s="5" t="s">
        <v>1095</v>
      </c>
      <c r="AK103" s="5" t="s">
        <v>1095</v>
      </c>
      <c r="AL103" s="5"/>
      <c r="AM103" s="105"/>
      <c r="AN103" s="105"/>
      <c r="AO103" s="105"/>
      <c r="AP103" s="105"/>
      <c r="AQ103" s="105"/>
      <c r="AR103" s="105"/>
      <c r="AS103" s="105"/>
      <c r="AT103" s="105"/>
      <c r="AU103" s="105"/>
      <c r="AV103" s="105"/>
      <c r="AW103" s="105"/>
      <c r="AX103" s="105"/>
      <c r="AY103" s="105"/>
      <c r="AZ103" s="105"/>
      <c r="BA103" s="105"/>
      <c r="BB103" s="105"/>
      <c r="BC103" s="105"/>
      <c r="BD103" s="105"/>
      <c r="BE103" s="105"/>
      <c r="BF103" s="105"/>
      <c r="BG103" s="105"/>
      <c r="BH103" s="105"/>
    </row>
    <row r="104" spans="1:60" ht="69" x14ac:dyDescent="0.3">
      <c r="A104" s="4" t="s">
        <v>489</v>
      </c>
      <c r="B104" s="4" t="s">
        <v>831</v>
      </c>
      <c r="C104" s="4" t="s">
        <v>827</v>
      </c>
      <c r="D104" s="4" t="s">
        <v>828</v>
      </c>
      <c r="E104" s="4" t="s">
        <v>829</v>
      </c>
      <c r="F104" s="4" t="s">
        <v>682</v>
      </c>
      <c r="G104" s="2" t="s">
        <v>293</v>
      </c>
      <c r="H104" s="2">
        <v>102</v>
      </c>
      <c r="I104" s="2" t="s">
        <v>386</v>
      </c>
      <c r="J104" s="2"/>
      <c r="K104" s="2" t="s">
        <v>490</v>
      </c>
      <c r="L104" s="2" t="str">
        <f>_xlfn.TEXTJOIN("|",FALSE,Table1[[#This Row],[Target Entity]],Table1[[#This Row],[Target DEV SB ID]])</f>
        <v>Epic|1284</v>
      </c>
      <c r="M104" s="2" t="s">
        <v>498</v>
      </c>
      <c r="N104" s="2" t="s">
        <v>5821</v>
      </c>
      <c r="O104" s="2"/>
      <c r="P104" s="2" t="s">
        <v>845</v>
      </c>
      <c r="Q104" s="2" t="s">
        <v>33</v>
      </c>
      <c r="R104" s="2" t="s">
        <v>33</v>
      </c>
      <c r="S104" s="2" t="s">
        <v>499</v>
      </c>
      <c r="T104" s="2" t="s">
        <v>499</v>
      </c>
      <c r="U104" s="2" t="s">
        <v>499</v>
      </c>
      <c r="V104" s="2" t="s">
        <v>6218</v>
      </c>
      <c r="W104" s="2" t="str">
        <f>_xlfn.XLOOKUP(Table1[[#This Row],[Source PROD ID]],Prod_fields[ID],Prod_fields[Attribute Name],"0-Not Found",0,1)</f>
        <v>Agility % Complete (Size)</v>
      </c>
      <c r="X104" s="2" t="str">
        <f>_xlfn.XLOOKUP(Table1[[#This Row],[Target DEV SB ID]],New_fields[ID],New_fields[Attribute Name],"0-Not Found",0,1)</f>
        <v>Agility % Complete (Size)</v>
      </c>
      <c r="Y104" s="2" t="b">
        <f>Table1[[#This Row],[Prod Source field name]]=Table1[[#This Row],[New instance Target field name]]</f>
        <v>1</v>
      </c>
      <c r="Z104" s="2" t="b">
        <f>Table1[[#This Row],[Target Field Name]]=Table1[[#This Row],[New instance Target field name]]</f>
        <v>0</v>
      </c>
      <c r="AA104" s="2" t="s">
        <v>50</v>
      </c>
      <c r="AB104" s="2" t="s">
        <v>684</v>
      </c>
      <c r="AC104" s="2" t="s">
        <v>497</v>
      </c>
      <c r="AD104" s="2" t="s">
        <v>19</v>
      </c>
      <c r="AE104" s="5"/>
      <c r="AF104" s="5" t="s">
        <v>1095</v>
      </c>
      <c r="AG104" s="5" t="s">
        <v>497</v>
      </c>
      <c r="AH104" s="5" t="s">
        <v>1095</v>
      </c>
      <c r="AI104" s="5" t="s">
        <v>1095</v>
      </c>
      <c r="AJ104" s="5" t="s">
        <v>1095</v>
      </c>
      <c r="AK104" s="5" t="s">
        <v>1095</v>
      </c>
      <c r="AL104" s="5"/>
      <c r="AM104" s="105"/>
      <c r="AN104" s="105"/>
      <c r="AO104" s="105"/>
      <c r="AP104" s="105"/>
      <c r="AQ104" s="105"/>
      <c r="AR104" s="105"/>
      <c r="AS104" s="105"/>
      <c r="AT104" s="105"/>
      <c r="AU104" s="105"/>
      <c r="AV104" s="105"/>
      <c r="AW104" s="105"/>
      <c r="AX104" s="105"/>
      <c r="AY104" s="105"/>
      <c r="AZ104" s="105"/>
      <c r="BA104" s="105"/>
      <c r="BB104" s="105"/>
      <c r="BC104" s="105"/>
      <c r="BD104" s="105"/>
      <c r="BE104" s="105"/>
      <c r="BF104" s="105"/>
      <c r="BG104" s="105"/>
      <c r="BH104" s="105"/>
    </row>
    <row r="105" spans="1:60" ht="55.2" x14ac:dyDescent="0.3">
      <c r="A105" s="4" t="s">
        <v>489</v>
      </c>
      <c r="B105" s="4" t="s">
        <v>831</v>
      </c>
      <c r="C105" s="4" t="s">
        <v>827</v>
      </c>
      <c r="D105" s="4" t="s">
        <v>828</v>
      </c>
      <c r="E105" s="4" t="s">
        <v>829</v>
      </c>
      <c r="F105" s="4" t="s">
        <v>682</v>
      </c>
      <c r="G105" s="2" t="s">
        <v>293</v>
      </c>
      <c r="H105" s="2">
        <v>103</v>
      </c>
      <c r="I105" s="2" t="s">
        <v>386</v>
      </c>
      <c r="J105" s="2"/>
      <c r="K105" s="2" t="s">
        <v>490</v>
      </c>
      <c r="L105" s="2" t="str">
        <f>_xlfn.TEXTJOIN("|",FALSE,Table1[[#This Row],[Target Entity]],Table1[[#This Row],[Target DEV SB ID]])</f>
        <v>Epic|</v>
      </c>
      <c r="M105" s="2" t="s">
        <v>500</v>
      </c>
      <c r="N105" s="2"/>
      <c r="O105" s="2"/>
      <c r="P105" s="2" t="s">
        <v>848</v>
      </c>
      <c r="Q105" s="2" t="s">
        <v>33</v>
      </c>
      <c r="R105" s="2" t="s">
        <v>33</v>
      </c>
      <c r="S105" s="2" t="s">
        <v>72</v>
      </c>
      <c r="T105" s="2" t="s">
        <v>72</v>
      </c>
      <c r="U105" s="2"/>
      <c r="V105" s="2" t="s">
        <v>6219</v>
      </c>
      <c r="W105" s="2" t="str">
        <f>_xlfn.XLOOKUP(Table1[[#This Row],[Source PROD ID]],Prod_fields[ID],Prod_fields[Attribute Name],"0-Not Found",0,1)</f>
        <v>0-Not Found</v>
      </c>
      <c r="X105" s="2" t="str">
        <f>_xlfn.XLOOKUP(Table1[[#This Row],[Target DEV SB ID]],New_fields[ID],New_fields[Attribute Name],"0-Not Found",0,1)</f>
        <v>0-Not Found</v>
      </c>
      <c r="Y105" s="2" t="b">
        <f>Table1[[#This Row],[Prod Source field name]]=Table1[[#This Row],[New instance Target field name]]</f>
        <v>1</v>
      </c>
      <c r="Z105" s="2" t="b">
        <f>Table1[[#This Row],[Target Field Name]]=Table1[[#This Row],[New instance Target field name]]</f>
        <v>0</v>
      </c>
      <c r="AA105" s="2" t="s">
        <v>501</v>
      </c>
      <c r="AB105" s="2" t="s">
        <v>846</v>
      </c>
      <c r="AC105" s="2" t="s">
        <v>502</v>
      </c>
      <c r="AD105" s="2" t="s">
        <v>19</v>
      </c>
      <c r="AE105" s="5"/>
      <c r="AF105" s="5" t="s">
        <v>6071</v>
      </c>
      <c r="AG105" s="5" t="s">
        <v>497</v>
      </c>
      <c r="AH105" s="5" t="s">
        <v>1095</v>
      </c>
      <c r="AI105" s="5" t="s">
        <v>1095</v>
      </c>
      <c r="AJ105" s="5" t="s">
        <v>1095</v>
      </c>
      <c r="AK105" s="5" t="s">
        <v>1095</v>
      </c>
      <c r="AL105" s="5"/>
      <c r="AM105" s="105"/>
      <c r="AN105" s="105"/>
      <c r="AO105" s="105"/>
      <c r="AP105" s="105"/>
      <c r="AQ105" s="105"/>
      <c r="AR105" s="105"/>
      <c r="AS105" s="105"/>
      <c r="AT105" s="105"/>
      <c r="AU105" s="105"/>
      <c r="AV105" s="105"/>
      <c r="AW105" s="105"/>
      <c r="AX105" s="105"/>
      <c r="AY105" s="105"/>
      <c r="AZ105" s="105"/>
      <c r="BA105" s="105"/>
      <c r="BB105" s="105"/>
      <c r="BC105" s="105"/>
      <c r="BD105" s="105"/>
      <c r="BE105" s="105"/>
      <c r="BF105" s="105"/>
      <c r="BG105" s="105"/>
      <c r="BH105" s="105"/>
    </row>
    <row r="106" spans="1:60" ht="409.6" x14ac:dyDescent="0.3">
      <c r="A106" s="4" t="s">
        <v>489</v>
      </c>
      <c r="B106" s="4" t="s">
        <v>831</v>
      </c>
      <c r="C106" s="4" t="s">
        <v>827</v>
      </c>
      <c r="D106" s="4" t="s">
        <v>828</v>
      </c>
      <c r="E106" s="4" t="s">
        <v>829</v>
      </c>
      <c r="F106" s="4" t="s">
        <v>470</v>
      </c>
      <c r="G106" s="2" t="s">
        <v>293</v>
      </c>
      <c r="H106" s="2">
        <v>104</v>
      </c>
      <c r="I106" s="2" t="s">
        <v>386</v>
      </c>
      <c r="J106" s="2"/>
      <c r="K106" s="2" t="s">
        <v>490</v>
      </c>
      <c r="L106" s="2" t="str">
        <f>_xlfn.TEXTJOIN("|",FALSE,Table1[[#This Row],[Target Entity]],Table1[[#This Row],[Target DEV SB ID]])</f>
        <v>Epic|PRODUCT_ALLO</v>
      </c>
      <c r="M106" s="2" t="s">
        <v>503</v>
      </c>
      <c r="N106" s="2" t="s">
        <v>5815</v>
      </c>
      <c r="O106" s="2" t="s">
        <v>6253</v>
      </c>
      <c r="P106" s="2" t="s">
        <v>849</v>
      </c>
      <c r="Q106" s="2" t="s">
        <v>33</v>
      </c>
      <c r="R106" s="2" t="s">
        <v>33</v>
      </c>
      <c r="S106" s="2" t="s">
        <v>504</v>
      </c>
      <c r="T106" s="2" t="s">
        <v>504</v>
      </c>
      <c r="U106" s="2" t="s">
        <v>504</v>
      </c>
      <c r="V106" s="102" t="s">
        <v>6221</v>
      </c>
      <c r="W106" s="2" t="str">
        <f>_xlfn.XLOOKUP(Table1[[#This Row],[Source PROD ID]],Prod_fields[ID],Prod_fields[Attribute Name],"0-Not Found",0,1)</f>
        <v>Solution(s)</v>
      </c>
      <c r="X106" s="2" t="str">
        <f>_xlfn.XLOOKUP(Table1[[#This Row],[Target DEV SB ID]],New_fields[ID],New_fields[Attribute Name],"0-Not Found",0,1)</f>
        <v>Solution(s)</v>
      </c>
      <c r="Y106" s="2" t="b">
        <f>Table1[[#This Row],[Prod Source field name]]=Table1[[#This Row],[New instance Target field name]]</f>
        <v>1</v>
      </c>
      <c r="Z106" s="2" t="b">
        <f>Table1[[#This Row],[Target Field Name]]=Table1[[#This Row],[New instance Target field name]]</f>
        <v>1</v>
      </c>
      <c r="AA106" s="2" t="s">
        <v>505</v>
      </c>
      <c r="AB106" s="2" t="s">
        <v>539</v>
      </c>
      <c r="AC106" s="2"/>
      <c r="AD106" s="2" t="s">
        <v>19</v>
      </c>
      <c r="AE106" s="5" t="str">
        <f>_xlfn.TEXTJOIN(CHAR(10),TRUE,VAL_Solutions[])</f>
        <v>COM - GDX - SF - SHIP &amp; FULFILL
COM - RMIC - RAA (Revenue Ancillary ARTs)
COM - CSX - Customer Experience
COM - GDX - Commercial Platform
COM - GDX - Create Shipment
COM - GDX - Manage Shipment
COM - Independent ARTs
COM - Retail Solutions
COM - RMIC - Revenue
COM - Sales &amp; Commercial Data Enablement
DAI - Cloud Infra
DAI - Digital - Other
DAI - Digital - ShopRunner
DAI - Digital Sirius
DAI - Independent ARTs
DAI - P1 - BackOffice
DAI - P1 - Clearance
DAI - P1 - Commercial
DAI - P1 - LinehaulAir
DAI - P1 - LinehaulSurface
DAI - P1 - Other
DAI - P1 - Pickup &amp; Delivery
DAI - P1 - ServiceExcellence
DAI - P1 - Sort
DAI - P2&amp;3 - Cust Engagement
DAI - P2&amp;3 - GenAI
DAI - Platform
ES - Back Office
PF - Data and AI
PF - Infrastructure
PF - Enterprise Foundation Services
PF - Information Security
PF - IT Operations &amp; Management
PF - Network
SCO - Operational Resource Planning
SCO - Airline
SCO - Global Clearance
SCO - Independent ARTs
SCO - Linehaul
SCO - Pick-up &amp; Delivery
SCO - Shipment Operations
SCO - Sort
SCO - Transportation Network
SCO - Warehouse</v>
      </c>
      <c r="AF106" s="5" t="s">
        <v>690</v>
      </c>
      <c r="AG106" s="5" t="s">
        <v>540</v>
      </c>
      <c r="AH106" s="5" t="s">
        <v>690</v>
      </c>
      <c r="AI106" s="5" t="s">
        <v>1095</v>
      </c>
      <c r="AJ106" s="5" t="s">
        <v>1095</v>
      </c>
      <c r="AK106" s="5" t="s">
        <v>1095</v>
      </c>
      <c r="AL106" s="5"/>
      <c r="AM106" s="105"/>
      <c r="AN106" s="105"/>
      <c r="AO106" s="105"/>
      <c r="AP106" s="105"/>
      <c r="AQ106" s="105"/>
      <c r="AR106" s="105"/>
      <c r="AS106" s="105"/>
      <c r="AT106" s="105"/>
      <c r="AU106" s="105"/>
      <c r="AV106" s="105"/>
      <c r="AW106" s="105"/>
      <c r="AX106" s="105"/>
      <c r="AY106" s="105"/>
      <c r="AZ106" s="105"/>
      <c r="BA106" s="105"/>
      <c r="BB106" s="105"/>
      <c r="BC106" s="105"/>
      <c r="BD106" s="105"/>
      <c r="BE106" s="105"/>
      <c r="BF106" s="105"/>
      <c r="BG106" s="105"/>
      <c r="BH106" s="105"/>
    </row>
    <row r="107" spans="1:60" ht="55.2" x14ac:dyDescent="0.3">
      <c r="A107" s="4" t="s">
        <v>489</v>
      </c>
      <c r="B107" s="4" t="s">
        <v>831</v>
      </c>
      <c r="C107" s="4" t="s">
        <v>827</v>
      </c>
      <c r="D107" s="4" t="s">
        <v>828</v>
      </c>
      <c r="E107" s="4" t="s">
        <v>829</v>
      </c>
      <c r="F107" s="4" t="s">
        <v>470</v>
      </c>
      <c r="G107" s="2" t="s">
        <v>293</v>
      </c>
      <c r="H107" s="2">
        <v>105</v>
      </c>
      <c r="I107" s="2" t="s">
        <v>386</v>
      </c>
      <c r="J107" s="2"/>
      <c r="K107" s="2" t="s">
        <v>490</v>
      </c>
      <c r="L107" s="2" t="str">
        <f>_xlfn.TEXTJOIN("|",FALSE,Table1[[#This Row],[Target Entity]],Table1[[#This Row],[Target DEV SB ID]])</f>
        <v>Epic|fdx_in_scope</v>
      </c>
      <c r="M107" s="2" t="s">
        <v>160</v>
      </c>
      <c r="N107" s="2" t="s">
        <v>5821</v>
      </c>
      <c r="O107" s="2"/>
      <c r="P107" s="2" t="s">
        <v>840</v>
      </c>
      <c r="Q107" s="2" t="s">
        <v>33</v>
      </c>
      <c r="R107" s="2" t="s">
        <v>33</v>
      </c>
      <c r="S107" s="2" t="s">
        <v>161</v>
      </c>
      <c r="T107" s="2" t="s">
        <v>161</v>
      </c>
      <c r="U107" s="2" t="s">
        <v>161</v>
      </c>
      <c r="V107" s="2" t="s">
        <v>5957</v>
      </c>
      <c r="W107" s="2" t="str">
        <f>_xlfn.XLOOKUP(Table1[[#This Row],[Source PROD ID]],Prod_fields[ID],Prod_fields[Attribute Name],"0-Not Found",0,1)</f>
        <v>In Scope</v>
      </c>
      <c r="X107" s="2" t="str">
        <f>_xlfn.XLOOKUP(Table1[[#This Row],[Target DEV SB ID]],New_fields[ID],New_fields[Attribute Name],"0-Not Found",0,1)</f>
        <v>In Scope</v>
      </c>
      <c r="Y107" s="2" t="b">
        <f>Table1[[#This Row],[Prod Source field name]]=Table1[[#This Row],[New instance Target field name]]</f>
        <v>1</v>
      </c>
      <c r="Z107" s="2" t="b">
        <f>Table1[[#This Row],[Target Field Name]]=Table1[[#This Row],[New instance Target field name]]</f>
        <v>1</v>
      </c>
      <c r="AA107" s="2" t="s">
        <v>18</v>
      </c>
      <c r="AB107" s="2" t="s">
        <v>539</v>
      </c>
      <c r="AC107" s="2"/>
      <c r="AD107" s="2" t="s">
        <v>19</v>
      </c>
      <c r="AE107" s="5"/>
      <c r="AF107" s="5" t="s">
        <v>692</v>
      </c>
      <c r="AG107" s="5" t="s">
        <v>540</v>
      </c>
      <c r="AH107" s="5" t="s">
        <v>692</v>
      </c>
      <c r="AI107" s="5" t="s">
        <v>1095</v>
      </c>
      <c r="AJ107" s="5" t="s">
        <v>1095</v>
      </c>
      <c r="AK107" s="5" t="s">
        <v>1095</v>
      </c>
      <c r="AL107" s="5"/>
      <c r="AM107" s="105"/>
      <c r="AN107" s="105"/>
      <c r="AO107" s="105"/>
      <c r="AP107" s="105"/>
      <c r="AQ107" s="105"/>
      <c r="AR107" s="105"/>
      <c r="AS107" s="105"/>
      <c r="AT107" s="105"/>
      <c r="AU107" s="105"/>
      <c r="AV107" s="105"/>
      <c r="AW107" s="105"/>
      <c r="AX107" s="105"/>
      <c r="AY107" s="105"/>
      <c r="AZ107" s="105"/>
      <c r="BA107" s="105"/>
      <c r="BB107" s="105"/>
      <c r="BC107" s="105"/>
      <c r="BD107" s="105"/>
      <c r="BE107" s="105"/>
      <c r="BF107" s="105"/>
      <c r="BG107" s="105"/>
      <c r="BH107" s="105"/>
    </row>
    <row r="108" spans="1:60" ht="55.2" x14ac:dyDescent="0.3">
      <c r="A108" s="4" t="s">
        <v>489</v>
      </c>
      <c r="B108" s="4" t="s">
        <v>831</v>
      </c>
      <c r="C108" s="4" t="s">
        <v>827</v>
      </c>
      <c r="D108" s="4" t="s">
        <v>828</v>
      </c>
      <c r="E108" s="4" t="s">
        <v>829</v>
      </c>
      <c r="F108" s="4" t="s">
        <v>470</v>
      </c>
      <c r="G108" s="2" t="s">
        <v>293</v>
      </c>
      <c r="H108" s="2">
        <v>106</v>
      </c>
      <c r="I108" s="2" t="s">
        <v>386</v>
      </c>
      <c r="J108" s="2"/>
      <c r="K108" s="2" t="s">
        <v>490</v>
      </c>
      <c r="L108" s="2" t="str">
        <f>_xlfn.TEXTJOIN("|",FALSE,Table1[[#This Row],[Target Entity]],Table1[[#This Row],[Target DEV SB ID]])</f>
        <v>Epic|fdx_out_of_scope</v>
      </c>
      <c r="M108" s="2" t="s">
        <v>162</v>
      </c>
      <c r="N108" s="2" t="s">
        <v>5821</v>
      </c>
      <c r="O108" s="2"/>
      <c r="P108" s="2" t="s">
        <v>840</v>
      </c>
      <c r="Q108" s="2" t="s">
        <v>33</v>
      </c>
      <c r="R108" s="2" t="s">
        <v>33</v>
      </c>
      <c r="S108" s="2" t="s">
        <v>163</v>
      </c>
      <c r="T108" s="2" t="s">
        <v>163</v>
      </c>
      <c r="U108" s="2" t="s">
        <v>163</v>
      </c>
      <c r="V108" s="2" t="s">
        <v>5957</v>
      </c>
      <c r="W108" s="2" t="str">
        <f>_xlfn.XLOOKUP(Table1[[#This Row],[Source PROD ID]],Prod_fields[ID],Prod_fields[Attribute Name],"0-Not Found",0,1)</f>
        <v>Out of Scope</v>
      </c>
      <c r="X108" s="2" t="str">
        <f>_xlfn.XLOOKUP(Table1[[#This Row],[Target DEV SB ID]],New_fields[ID],New_fields[Attribute Name],"0-Not Found",0,1)</f>
        <v>Out of Scope</v>
      </c>
      <c r="Y108" s="2" t="b">
        <f>Table1[[#This Row],[Prod Source field name]]=Table1[[#This Row],[New instance Target field name]]</f>
        <v>1</v>
      </c>
      <c r="Z108" s="2" t="b">
        <f>Table1[[#This Row],[Target Field Name]]=Table1[[#This Row],[New instance Target field name]]</f>
        <v>1</v>
      </c>
      <c r="AA108" s="2" t="s">
        <v>18</v>
      </c>
      <c r="AB108" s="2" t="s">
        <v>539</v>
      </c>
      <c r="AC108" s="2"/>
      <c r="AD108" s="2" t="s">
        <v>19</v>
      </c>
      <c r="AE108" s="5"/>
      <c r="AF108" s="5" t="s">
        <v>693</v>
      </c>
      <c r="AG108" s="5" t="s">
        <v>540</v>
      </c>
      <c r="AH108" s="5" t="s">
        <v>693</v>
      </c>
      <c r="AI108" s="5" t="s">
        <v>1095</v>
      </c>
      <c r="AJ108" s="5" t="s">
        <v>1095</v>
      </c>
      <c r="AK108" s="5" t="s">
        <v>1095</v>
      </c>
      <c r="AL108" s="5"/>
      <c r="AM108" s="105"/>
      <c r="AN108" s="105"/>
      <c r="AO108" s="105"/>
      <c r="AP108" s="105"/>
      <c r="AQ108" s="105"/>
      <c r="AR108" s="105"/>
      <c r="AS108" s="105"/>
      <c r="AT108" s="105"/>
      <c r="AU108" s="105"/>
      <c r="AV108" s="105"/>
      <c r="AW108" s="105"/>
      <c r="AX108" s="105"/>
      <c r="AY108" s="105"/>
      <c r="AZ108" s="105"/>
      <c r="BA108" s="105"/>
      <c r="BB108" s="105"/>
      <c r="BC108" s="105"/>
      <c r="BD108" s="105"/>
      <c r="BE108" s="105"/>
      <c r="BF108" s="105"/>
      <c r="BG108" s="105"/>
      <c r="BH108" s="105"/>
    </row>
    <row r="109" spans="1:60" ht="124.2" x14ac:dyDescent="0.3">
      <c r="A109" s="4" t="s">
        <v>489</v>
      </c>
      <c r="B109" s="4" t="s">
        <v>831</v>
      </c>
      <c r="C109" s="4" t="s">
        <v>827</v>
      </c>
      <c r="D109" s="4" t="s">
        <v>828</v>
      </c>
      <c r="E109" s="4" t="s">
        <v>829</v>
      </c>
      <c r="F109" s="4" t="s">
        <v>470</v>
      </c>
      <c r="G109" s="2" t="s">
        <v>293</v>
      </c>
      <c r="H109" s="2">
        <v>107</v>
      </c>
      <c r="I109" s="2" t="s">
        <v>386</v>
      </c>
      <c r="J109" s="2"/>
      <c r="K109" s="2" t="s">
        <v>481</v>
      </c>
      <c r="L109" s="2" t="str">
        <f>_xlfn.TEXTJOIN("|",FALSE,Table1[[#This Row],[Target Entity]],Table1[[#This Row],[Target DEV SB ID]])</f>
        <v>Demand Bundle|Wbs94</v>
      </c>
      <c r="M109" s="2" t="s">
        <v>169</v>
      </c>
      <c r="N109" s="2" t="s">
        <v>5821</v>
      </c>
      <c r="O109" s="2"/>
      <c r="P109" s="2" t="s">
        <v>851</v>
      </c>
      <c r="Q109" s="2" t="s">
        <v>33</v>
      </c>
      <c r="R109" s="2" t="s">
        <v>33</v>
      </c>
      <c r="S109" s="2" t="s">
        <v>170</v>
      </c>
      <c r="T109" s="2" t="s">
        <v>170</v>
      </c>
      <c r="U109" s="2" t="s">
        <v>170</v>
      </c>
      <c r="V109" s="2" t="s">
        <v>6254</v>
      </c>
      <c r="W109" s="2" t="str">
        <f>_xlfn.XLOOKUP(Table1[[#This Row],[Source PROD ID]],Prod_fields[ID],Prod_fields[Attribute Name],"0-Not Found",0,1)</f>
        <v>Region(s) Impacted</v>
      </c>
      <c r="X109" s="2" t="str">
        <f>_xlfn.XLOOKUP(Table1[[#This Row],[Target DEV SB ID]],New_fields[ID],New_fields[Attribute Name],"0-Not Found",0,1)</f>
        <v>Region(s) Impacted</v>
      </c>
      <c r="Y109" s="2" t="b">
        <f>Table1[[#This Row],[Prod Source field name]]=Table1[[#This Row],[New instance Target field name]]</f>
        <v>1</v>
      </c>
      <c r="Z109" s="2" t="b">
        <f>Table1[[#This Row],[Target Field Name]]=Table1[[#This Row],[New instance Target field name]]</f>
        <v>1</v>
      </c>
      <c r="AA109" s="2" t="s">
        <v>363</v>
      </c>
      <c r="AB109" s="2" t="s">
        <v>850</v>
      </c>
      <c r="AC109" s="2" t="s">
        <v>35</v>
      </c>
      <c r="AD109" s="2" t="s">
        <v>33</v>
      </c>
      <c r="AE109" s="5" t="str">
        <f>_xlfn.TEXTJOIN(CHAR(10),TRUE,VAL_wbs94_regions[])</f>
        <v>USA
Europe
Asia/Middle East/India/Africa (AMEA)
Canada
Latin America
International HQ</v>
      </c>
      <c r="AF109" s="5" t="s">
        <v>1095</v>
      </c>
      <c r="AG109" s="5" t="s">
        <v>318</v>
      </c>
      <c r="AH109" s="5" t="s">
        <v>1095</v>
      </c>
      <c r="AI109" s="5" t="s">
        <v>1095</v>
      </c>
      <c r="AJ109" s="5" t="s">
        <v>1095</v>
      </c>
      <c r="AK109" s="5" t="s">
        <v>1095</v>
      </c>
      <c r="AL109" s="5"/>
      <c r="AM109" s="105"/>
      <c r="AN109" s="105"/>
      <c r="AO109" s="105"/>
      <c r="AP109" s="105"/>
      <c r="AQ109" s="105"/>
      <c r="AR109" s="105"/>
      <c r="AS109" s="105"/>
      <c r="AT109" s="105"/>
      <c r="AU109" s="105"/>
      <c r="AV109" s="105"/>
      <c r="AW109" s="105"/>
      <c r="AX109" s="105"/>
      <c r="AY109" s="105"/>
      <c r="AZ109" s="105"/>
      <c r="BA109" s="105"/>
      <c r="BB109" s="105"/>
      <c r="BC109" s="105"/>
      <c r="BD109" s="105"/>
      <c r="BE109" s="105"/>
      <c r="BF109" s="105"/>
      <c r="BG109" s="105"/>
      <c r="BH109" s="105"/>
    </row>
    <row r="110" spans="1:60" ht="234.6" x14ac:dyDescent="0.3">
      <c r="A110" s="4" t="s">
        <v>489</v>
      </c>
      <c r="B110" s="4" t="s">
        <v>831</v>
      </c>
      <c r="C110" s="4" t="s">
        <v>827</v>
      </c>
      <c r="D110" s="4" t="s">
        <v>828</v>
      </c>
      <c r="E110" s="4" t="s">
        <v>829</v>
      </c>
      <c r="F110" s="4" t="s">
        <v>470</v>
      </c>
      <c r="G110" s="2" t="s">
        <v>293</v>
      </c>
      <c r="H110" s="2">
        <v>107.1</v>
      </c>
      <c r="I110" s="2" t="s">
        <v>386</v>
      </c>
      <c r="J110" s="2"/>
      <c r="K110" s="2" t="s">
        <v>481</v>
      </c>
      <c r="L110" s="2" t="str">
        <f>_xlfn.TEXTJOIN("|",FALSE,Table1[[#This Row],[Target Entity]],Table1[[#This Row],[Target DEV SB ID]])</f>
        <v>Demand Bundle|fdx_eai_work</v>
      </c>
      <c r="M110" s="2" t="s">
        <v>181</v>
      </c>
      <c r="N110" s="2" t="s">
        <v>5821</v>
      </c>
      <c r="O110" s="2" t="s">
        <v>6255</v>
      </c>
      <c r="P110" s="118" t="s">
        <v>6079</v>
      </c>
      <c r="Q110" s="2" t="s">
        <v>33</v>
      </c>
      <c r="R110" s="2" t="s">
        <v>33</v>
      </c>
      <c r="S110" s="2" t="s">
        <v>182</v>
      </c>
      <c r="T110" s="2" t="s">
        <v>182</v>
      </c>
      <c r="U110" s="2" t="s">
        <v>182</v>
      </c>
      <c r="V110" s="2" t="s">
        <v>5957</v>
      </c>
      <c r="W110" s="2" t="str">
        <f>_xlfn.XLOOKUP(Table1[[#This Row],[Source PROD ID]],Prod_fields[ID],Prod_fields[Attribute Name],"0-Not Found",0,1)</f>
        <v>EAI #</v>
      </c>
      <c r="X110" s="2" t="str">
        <f>_xlfn.XLOOKUP(Table1[[#This Row],[Target DEV SB ID]],New_fields[ID],New_fields[Attribute Name],"0-Not Found",0,1)</f>
        <v>EAI #</v>
      </c>
      <c r="Y110" s="2" t="b">
        <f>Table1[[#This Row],[Prod Source field name]]=Table1[[#This Row],[New instance Target field name]]</f>
        <v>1</v>
      </c>
      <c r="Z110" s="2" t="b">
        <f>Table1[[#This Row],[Target Field Name]]=Table1[[#This Row],[New instance Target field name]]</f>
        <v>1</v>
      </c>
      <c r="AA110" s="2"/>
      <c r="AB110" s="2"/>
      <c r="AC110" s="2"/>
      <c r="AD110" s="2"/>
      <c r="AE110" s="5"/>
      <c r="AF110" s="5" t="s">
        <v>696</v>
      </c>
      <c r="AG110" s="5" t="s">
        <v>852</v>
      </c>
      <c r="AH110" s="5"/>
      <c r="AI110" s="5"/>
      <c r="AJ110" s="5"/>
      <c r="AK110" s="5"/>
      <c r="AL110" s="2"/>
      <c r="AM110" s="112"/>
      <c r="AN110" s="112"/>
      <c r="AO110" s="112"/>
      <c r="AP110" s="2"/>
      <c r="AQ110" s="2"/>
      <c r="AR110" s="2"/>
      <c r="AS110" s="2"/>
      <c r="AT110" s="2"/>
      <c r="AU110" s="2"/>
      <c r="AV110" s="2"/>
      <c r="AW110" s="2"/>
      <c r="AX110" s="2"/>
      <c r="AY110" s="2"/>
      <c r="AZ110" s="2"/>
      <c r="BA110" s="2"/>
      <c r="BB110" s="2"/>
      <c r="BC110" s="2"/>
      <c r="BD110" s="2"/>
      <c r="BE110" s="2"/>
      <c r="BF110" s="2"/>
      <c r="BG110" s="2"/>
      <c r="BH110" s="2"/>
    </row>
    <row r="111" spans="1:60" ht="69" x14ac:dyDescent="0.3">
      <c r="A111" s="4" t="s">
        <v>489</v>
      </c>
      <c r="B111" s="4" t="s">
        <v>831</v>
      </c>
      <c r="C111" s="4" t="s">
        <v>827</v>
      </c>
      <c r="D111" s="4" t="s">
        <v>828</v>
      </c>
      <c r="E111" s="4" t="s">
        <v>829</v>
      </c>
      <c r="F111" s="4" t="s">
        <v>470</v>
      </c>
      <c r="G111" s="2" t="s">
        <v>293</v>
      </c>
      <c r="H111" s="2">
        <v>108</v>
      </c>
      <c r="I111" s="2" t="s">
        <v>386</v>
      </c>
      <c r="J111" s="2"/>
      <c r="K111" s="2" t="s">
        <v>481</v>
      </c>
      <c r="L111" s="2" t="str">
        <f>_xlfn.TEXTJOIN("|",FALSE,Table1[[#This Row],[Target Entity]],Table1[[#This Row],[Target DEV SB ID]])</f>
        <v>Demand Bundle|fdx_work_ppm_num</v>
      </c>
      <c r="M111" s="2" t="s">
        <v>316</v>
      </c>
      <c r="N111" s="2" t="s">
        <v>5821</v>
      </c>
      <c r="O111" s="2"/>
      <c r="P111" s="2" t="s">
        <v>853</v>
      </c>
      <c r="Q111" s="2" t="s">
        <v>33</v>
      </c>
      <c r="R111" s="2" t="s">
        <v>33</v>
      </c>
      <c r="S111" s="2" t="s">
        <v>317</v>
      </c>
      <c r="T111" s="2" t="s">
        <v>317</v>
      </c>
      <c r="U111" s="2" t="s">
        <v>317</v>
      </c>
      <c r="V111" s="2" t="s">
        <v>5957</v>
      </c>
      <c r="W111" s="2" t="str">
        <f>_xlfn.XLOOKUP(Table1[[#This Row],[Source PROD ID]],Prod_fields[ID],Prod_fields[Attribute Name],"0-Not Found",0,1)</f>
        <v>PPM Project Number</v>
      </c>
      <c r="X111" s="2" t="str">
        <f>_xlfn.XLOOKUP(Table1[[#This Row],[Target DEV SB ID]],New_fields[ID],New_fields[Attribute Name],"0-Not Found",0,1)</f>
        <v>PPM Project Number</v>
      </c>
      <c r="Y111" s="2" t="b">
        <f>Table1[[#This Row],[Prod Source field name]]=Table1[[#This Row],[New instance Target field name]]</f>
        <v>1</v>
      </c>
      <c r="Z111" s="2" t="b">
        <f>Table1[[#This Row],[Target Field Name]]=Table1[[#This Row],[New instance Target field name]]</f>
        <v>1</v>
      </c>
      <c r="AA111" s="2" t="s">
        <v>18</v>
      </c>
      <c r="AB111" s="2" t="s">
        <v>539</v>
      </c>
      <c r="AC111" s="2"/>
      <c r="AD111" s="2" t="s">
        <v>19</v>
      </c>
      <c r="AE111" s="5"/>
      <c r="AF111" s="5" t="s">
        <v>694</v>
      </c>
      <c r="AG111" s="5" t="s">
        <v>852</v>
      </c>
      <c r="AH111" s="5" t="s">
        <v>694</v>
      </c>
      <c r="AI111" s="5" t="s">
        <v>1095</v>
      </c>
      <c r="AJ111" s="5" t="s">
        <v>1095</v>
      </c>
      <c r="AK111" s="5" t="s">
        <v>1095</v>
      </c>
      <c r="AL111" s="5"/>
      <c r="AM111" s="105"/>
      <c r="AN111" s="105"/>
      <c r="AO111" s="105"/>
      <c r="AP111" s="105"/>
      <c r="AQ111" s="105"/>
      <c r="AR111" s="105"/>
      <c r="AS111" s="105"/>
      <c r="AT111" s="105"/>
      <c r="AU111" s="105"/>
      <c r="AV111" s="105"/>
      <c r="AW111" s="105"/>
      <c r="AX111" s="105"/>
      <c r="AY111" s="105"/>
      <c r="AZ111" s="105"/>
      <c r="BA111" s="105"/>
      <c r="BB111" s="105"/>
      <c r="BC111" s="105"/>
      <c r="BD111" s="105"/>
      <c r="BE111" s="105"/>
      <c r="BF111" s="105"/>
      <c r="BG111" s="105"/>
      <c r="BH111" s="105"/>
    </row>
    <row r="112" spans="1:60" ht="151.80000000000001" x14ac:dyDescent="0.3">
      <c r="A112" s="4" t="s">
        <v>489</v>
      </c>
      <c r="B112" s="4" t="s">
        <v>831</v>
      </c>
      <c r="C112" s="4" t="s">
        <v>827</v>
      </c>
      <c r="D112" s="4" t="s">
        <v>828</v>
      </c>
      <c r="E112" s="4" t="s">
        <v>829</v>
      </c>
      <c r="F112" s="4" t="s">
        <v>470</v>
      </c>
      <c r="G112" s="2" t="s">
        <v>293</v>
      </c>
      <c r="H112" s="2">
        <v>109</v>
      </c>
      <c r="I112" s="2" t="s">
        <v>386</v>
      </c>
      <c r="J112" s="2"/>
      <c r="K112" s="2" t="s">
        <v>481</v>
      </c>
      <c r="L112" s="2" t="str">
        <f>_xlfn.TEXTJOIN("|",FALSE,Table1[[#This Row],[Target Entity]],Table1[[#This Row],[Target DEV SB ID]])</f>
        <v>Demand Bundle|fdx_ability_to_work</v>
      </c>
      <c r="M112" s="2" t="s">
        <v>319</v>
      </c>
      <c r="N112" s="2" t="s">
        <v>5821</v>
      </c>
      <c r="O112" s="2"/>
      <c r="P112" s="2" t="s">
        <v>854</v>
      </c>
      <c r="Q112" s="2" t="s">
        <v>33</v>
      </c>
      <c r="R112" s="2" t="s">
        <v>33</v>
      </c>
      <c r="S112" s="2" t="s">
        <v>320</v>
      </c>
      <c r="T112" s="2" t="s">
        <v>320</v>
      </c>
      <c r="U112" s="2" t="s">
        <v>320</v>
      </c>
      <c r="V112" s="2" t="s">
        <v>5957</v>
      </c>
      <c r="W112" s="2" t="str">
        <f>_xlfn.XLOOKUP(Table1[[#This Row],[Source PROD ID]],Prod_fields[ID],Prod_fields[Attribute Name],"0-Not Found",0,1)</f>
        <v>Ability To Statements</v>
      </c>
      <c r="X112" s="2" t="str">
        <f>_xlfn.XLOOKUP(Table1[[#This Row],[Target DEV SB ID]],New_fields[ID],New_fields[Attribute Name],"0-Not Found",0,1)</f>
        <v>Business Ability To Statements</v>
      </c>
      <c r="Y112" s="2" t="b">
        <f>Table1[[#This Row],[Prod Source field name]]=Table1[[#This Row],[New instance Target field name]]</f>
        <v>0</v>
      </c>
      <c r="Z112" s="2" t="b">
        <f>Table1[[#This Row],[Target Field Name]]=Table1[[#This Row],[New instance Target field name]]</f>
        <v>0</v>
      </c>
      <c r="AA112" s="2" t="s">
        <v>18</v>
      </c>
      <c r="AB112" s="2" t="s">
        <v>539</v>
      </c>
      <c r="AC112" s="2"/>
      <c r="AD112" s="2" t="s">
        <v>19</v>
      </c>
      <c r="AE112" s="5"/>
      <c r="AF112" s="5" t="s">
        <v>6081</v>
      </c>
      <c r="AG112" s="5" t="s">
        <v>540</v>
      </c>
      <c r="AH112" s="5" t="s">
        <v>697</v>
      </c>
      <c r="AI112" s="5" t="s">
        <v>1095</v>
      </c>
      <c r="AJ112" s="5" t="s">
        <v>1095</v>
      </c>
      <c r="AK112" s="5" t="s">
        <v>1095</v>
      </c>
      <c r="AL112" s="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row>
    <row r="113" spans="1:60" ht="55.2" x14ac:dyDescent="0.3">
      <c r="A113" s="4" t="s">
        <v>489</v>
      </c>
      <c r="B113" s="4" t="s">
        <v>831</v>
      </c>
      <c r="C113" s="4" t="s">
        <v>827</v>
      </c>
      <c r="D113" s="4" t="s">
        <v>828</v>
      </c>
      <c r="E113" s="4" t="s">
        <v>829</v>
      </c>
      <c r="F113" s="4" t="s">
        <v>470</v>
      </c>
      <c r="G113" s="2" t="s">
        <v>293</v>
      </c>
      <c r="H113" s="2">
        <v>110</v>
      </c>
      <c r="I113" s="2" t="s">
        <v>386</v>
      </c>
      <c r="J113" s="2"/>
      <c r="K113" s="2" t="s">
        <v>481</v>
      </c>
      <c r="L113" s="2" t="str">
        <f>_xlfn.TEXTJOIN("|",FALSE,Table1[[#This Row],[Target Entity]],Table1[[#This Row],[Target DEV SB ID]])</f>
        <v>Demand Bundle|fdx_epic_archdoc_URL</v>
      </c>
      <c r="M113" s="2" t="s">
        <v>321</v>
      </c>
      <c r="N113" s="2" t="s">
        <v>5821</v>
      </c>
      <c r="O113" s="2"/>
      <c r="P113" s="2" t="s">
        <v>855</v>
      </c>
      <c r="Q113" s="2" t="s">
        <v>33</v>
      </c>
      <c r="R113" s="2" t="s">
        <v>623</v>
      </c>
      <c r="S113" s="2" t="s">
        <v>184</v>
      </c>
      <c r="T113" s="2" t="s">
        <v>184</v>
      </c>
      <c r="U113" s="2" t="s">
        <v>184</v>
      </c>
      <c r="V113" s="2" t="s">
        <v>5957</v>
      </c>
      <c r="W113" s="2" t="str">
        <f>_xlfn.XLOOKUP(Table1[[#This Row],[Source PROD ID]],Prod_fields[ID],Prod_fields[Attribute Name],"0-Not Found",0,1)</f>
        <v>Epic Architectural Documentation</v>
      </c>
      <c r="X113" s="2" t="str">
        <f>_xlfn.XLOOKUP(Table1[[#This Row],[Target DEV SB ID]],New_fields[ID],New_fields[Attribute Name],"0-Not Found",0,1)</f>
        <v>Architectural Documentation</v>
      </c>
      <c r="Y113" s="2" t="b">
        <f>Table1[[#This Row],[Prod Source field name]]=Table1[[#This Row],[New instance Target field name]]</f>
        <v>0</v>
      </c>
      <c r="Z113" s="2" t="b">
        <f>Table1[[#This Row],[Target Field Name]]=Table1[[#This Row],[New instance Target field name]]</f>
        <v>0</v>
      </c>
      <c r="AA113" s="2" t="s">
        <v>18</v>
      </c>
      <c r="AB113" s="2" t="s">
        <v>617</v>
      </c>
      <c r="AC113" s="2"/>
      <c r="AD113" s="2" t="s">
        <v>19</v>
      </c>
      <c r="AE113" s="5"/>
      <c r="AF113" s="5" t="s">
        <v>1095</v>
      </c>
      <c r="AG113" s="5" t="s">
        <v>540</v>
      </c>
      <c r="AH113" s="5" t="s">
        <v>1095</v>
      </c>
      <c r="AI113" s="5" t="s">
        <v>1095</v>
      </c>
      <c r="AJ113" s="5" t="s">
        <v>1095</v>
      </c>
      <c r="AK113" s="5" t="s">
        <v>1095</v>
      </c>
      <c r="AL113" s="5"/>
      <c r="AM113" s="105"/>
      <c r="AN113" s="105"/>
      <c r="AO113" s="105"/>
      <c r="AP113" s="105"/>
      <c r="AQ113" s="105"/>
      <c r="AR113" s="105"/>
      <c r="AS113" s="105"/>
      <c r="AT113" s="105"/>
      <c r="AU113" s="105"/>
      <c r="AV113" s="105"/>
      <c r="AW113" s="105"/>
      <c r="AX113" s="105"/>
      <c r="AY113" s="105"/>
      <c r="AZ113" s="105"/>
      <c r="BA113" s="105"/>
      <c r="BB113" s="105"/>
      <c r="BC113" s="105"/>
      <c r="BD113" s="105"/>
      <c r="BE113" s="105"/>
      <c r="BF113" s="105"/>
      <c r="BG113" s="105"/>
      <c r="BH113" s="105"/>
    </row>
    <row r="114" spans="1:60" ht="55.2" x14ac:dyDescent="0.3">
      <c r="A114" s="4" t="s">
        <v>489</v>
      </c>
      <c r="B114" s="4" t="s">
        <v>831</v>
      </c>
      <c r="C114" s="4" t="s">
        <v>827</v>
      </c>
      <c r="D114" s="4" t="s">
        <v>828</v>
      </c>
      <c r="E114" s="4" t="s">
        <v>829</v>
      </c>
      <c r="F114" s="4" t="s">
        <v>470</v>
      </c>
      <c r="G114" s="2" t="s">
        <v>293</v>
      </c>
      <c r="H114" s="2">
        <v>111</v>
      </c>
      <c r="I114" s="2" t="s">
        <v>386</v>
      </c>
      <c r="J114" s="2"/>
      <c r="K114" s="2" t="s">
        <v>490</v>
      </c>
      <c r="L114" s="2" t="str">
        <f>_xlfn.TEXTJOIN("|",FALSE,Table1[[#This Row],[Target Entity]],Table1[[#This Row],[Target DEV SB ID]])</f>
        <v>Epic|fdx_epic_archdoc_URL</v>
      </c>
      <c r="M114" s="2" t="s">
        <v>321</v>
      </c>
      <c r="N114" s="2" t="s">
        <v>5821</v>
      </c>
      <c r="O114" s="2"/>
      <c r="P114" s="2" t="s">
        <v>856</v>
      </c>
      <c r="Q114" s="2" t="s">
        <v>33</v>
      </c>
      <c r="R114" s="2" t="s">
        <v>623</v>
      </c>
      <c r="S114" s="2" t="s">
        <v>184</v>
      </c>
      <c r="T114" s="2" t="s">
        <v>184</v>
      </c>
      <c r="U114" s="2" t="s">
        <v>184</v>
      </c>
      <c r="V114" s="2" t="s">
        <v>5957</v>
      </c>
      <c r="W114" s="2" t="str">
        <f>_xlfn.XLOOKUP(Table1[[#This Row],[Source PROD ID]],Prod_fields[ID],Prod_fields[Attribute Name],"0-Not Found",0,1)</f>
        <v>Epic Architectural Documentation</v>
      </c>
      <c r="X114" s="2" t="str">
        <f>_xlfn.XLOOKUP(Table1[[#This Row],[Target DEV SB ID]],New_fields[ID],New_fields[Attribute Name],"0-Not Found",0,1)</f>
        <v>Architectural Documentation</v>
      </c>
      <c r="Y114" s="2" t="b">
        <f>Table1[[#This Row],[Prod Source field name]]=Table1[[#This Row],[New instance Target field name]]</f>
        <v>0</v>
      </c>
      <c r="Z114" s="2" t="b">
        <f>Table1[[#This Row],[Target Field Name]]=Table1[[#This Row],[New instance Target field name]]</f>
        <v>0</v>
      </c>
      <c r="AA114" s="2" t="s">
        <v>18</v>
      </c>
      <c r="AB114" s="2" t="s">
        <v>617</v>
      </c>
      <c r="AC114" s="2"/>
      <c r="AD114" s="2" t="s">
        <v>19</v>
      </c>
      <c r="AE114" s="5"/>
      <c r="AF114" s="5" t="s">
        <v>1095</v>
      </c>
      <c r="AG114" s="5" t="s">
        <v>540</v>
      </c>
      <c r="AH114" s="5" t="s">
        <v>1095</v>
      </c>
      <c r="AI114" s="5" t="s">
        <v>1095</v>
      </c>
      <c r="AJ114" s="5" t="s">
        <v>1095</v>
      </c>
      <c r="AK114" s="5" t="s">
        <v>1095</v>
      </c>
      <c r="AL114" s="5"/>
      <c r="AM114" s="105"/>
      <c r="AN114" s="105"/>
      <c r="AO114" s="105"/>
      <c r="AP114" s="105"/>
      <c r="AQ114" s="105"/>
      <c r="AR114" s="105"/>
      <c r="AS114" s="105"/>
      <c r="AT114" s="105"/>
      <c r="AU114" s="105"/>
      <c r="AV114" s="105"/>
      <c r="AW114" s="105"/>
      <c r="AX114" s="105"/>
      <c r="AY114" s="105"/>
      <c r="AZ114" s="105"/>
      <c r="BA114" s="105"/>
      <c r="BB114" s="105"/>
      <c r="BC114" s="105"/>
      <c r="BD114" s="105"/>
      <c r="BE114" s="105"/>
      <c r="BF114" s="105"/>
      <c r="BG114" s="105"/>
      <c r="BH114" s="105"/>
    </row>
    <row r="115" spans="1:60" ht="55.2" x14ac:dyDescent="0.3">
      <c r="A115" s="4" t="s">
        <v>489</v>
      </c>
      <c r="B115" s="4" t="s">
        <v>831</v>
      </c>
      <c r="C115" s="4" t="s">
        <v>827</v>
      </c>
      <c r="D115" s="4" t="s">
        <v>828</v>
      </c>
      <c r="E115" s="4" t="s">
        <v>829</v>
      </c>
      <c r="F115" s="4" t="s">
        <v>470</v>
      </c>
      <c r="G115" s="2" t="s">
        <v>293</v>
      </c>
      <c r="H115" s="2">
        <v>112</v>
      </c>
      <c r="I115" s="2" t="s">
        <v>386</v>
      </c>
      <c r="J115" s="2"/>
      <c r="K115" s="2" t="s">
        <v>481</v>
      </c>
      <c r="L115" s="2" t="str">
        <f>_xlfn.TEXTJOIN("|",FALSE,Table1[[#This Row],[Target Entity]],Table1[[#This Row],[Target DEV SB ID]])</f>
        <v>Demand Bundle|fdx_it_ent_arch</v>
      </c>
      <c r="M115" s="2" t="s">
        <v>322</v>
      </c>
      <c r="N115" s="2" t="s">
        <v>5821</v>
      </c>
      <c r="O115" s="2"/>
      <c r="P115" s="2" t="s">
        <v>857</v>
      </c>
      <c r="Q115" s="2" t="s">
        <v>33</v>
      </c>
      <c r="R115" s="2" t="s">
        <v>33</v>
      </c>
      <c r="S115" s="2" t="s">
        <v>323</v>
      </c>
      <c r="T115" s="2" t="s">
        <v>323</v>
      </c>
      <c r="U115" s="2" t="s">
        <v>323</v>
      </c>
      <c r="V115" s="2" t="s">
        <v>5957</v>
      </c>
      <c r="W115" s="2" t="str">
        <f>_xlfn.XLOOKUP(Table1[[#This Row],[Source PROD ID]],Prod_fields[ID],Prod_fields[Attribute Name],"0-Not Found",0,1)</f>
        <v>IT Architect</v>
      </c>
      <c r="X115" s="2" t="str">
        <f>_xlfn.XLOOKUP(Table1[[#This Row],[Target DEV SB ID]],New_fields[ID],New_fields[Attribute Name],"0-Not Found",0,1)</f>
        <v>IT Architect</v>
      </c>
      <c r="Y115" s="2" t="b">
        <f>Table1[[#This Row],[Prod Source field name]]=Table1[[#This Row],[New instance Target field name]]</f>
        <v>1</v>
      </c>
      <c r="Z115" s="2" t="b">
        <f>Table1[[#This Row],[Target Field Name]]=Table1[[#This Row],[New instance Target field name]]</f>
        <v>1</v>
      </c>
      <c r="AA115" s="2" t="s">
        <v>18</v>
      </c>
      <c r="AB115" s="2" t="s">
        <v>539</v>
      </c>
      <c r="AC115" s="2"/>
      <c r="AD115" s="2" t="s">
        <v>19</v>
      </c>
      <c r="AE115" s="5"/>
      <c r="AF115" s="5" t="s">
        <v>1095</v>
      </c>
      <c r="AG115" s="5" t="s">
        <v>540</v>
      </c>
      <c r="AH115" s="5" t="s">
        <v>700</v>
      </c>
      <c r="AI115" s="5" t="s">
        <v>1095</v>
      </c>
      <c r="AJ115" s="5" t="s">
        <v>1095</v>
      </c>
      <c r="AK115" s="5" t="s">
        <v>1095</v>
      </c>
      <c r="AL115" s="5"/>
      <c r="AM115" s="105"/>
      <c r="AN115" s="105"/>
      <c r="AO115" s="105"/>
      <c r="AP115" s="105"/>
      <c r="AQ115" s="105"/>
      <c r="AR115" s="105"/>
      <c r="AS115" s="105"/>
      <c r="AT115" s="105"/>
      <c r="AU115" s="105"/>
      <c r="AV115" s="105"/>
      <c r="AW115" s="105"/>
      <c r="AX115" s="105"/>
      <c r="AY115" s="105"/>
      <c r="AZ115" s="105"/>
      <c r="BA115" s="105"/>
      <c r="BB115" s="105"/>
      <c r="BC115" s="105"/>
      <c r="BD115" s="105"/>
      <c r="BE115" s="105"/>
      <c r="BF115" s="105"/>
      <c r="BG115" s="105"/>
      <c r="BH115" s="105"/>
    </row>
    <row r="116" spans="1:60" ht="55.2" x14ac:dyDescent="0.3">
      <c r="A116" s="4" t="s">
        <v>489</v>
      </c>
      <c r="B116" s="4" t="s">
        <v>831</v>
      </c>
      <c r="C116" s="4" t="s">
        <v>827</v>
      </c>
      <c r="D116" s="4" t="s">
        <v>828</v>
      </c>
      <c r="E116" s="4" t="s">
        <v>829</v>
      </c>
      <c r="F116" s="4" t="s">
        <v>470</v>
      </c>
      <c r="G116" s="2" t="s">
        <v>293</v>
      </c>
      <c r="H116" s="2">
        <v>113</v>
      </c>
      <c r="I116" s="2" t="s">
        <v>386</v>
      </c>
      <c r="J116" s="2"/>
      <c r="K116" s="2" t="s">
        <v>481</v>
      </c>
      <c r="L116" s="2" t="str">
        <f>_xlfn.TEXTJOIN("|",FALSE,Table1[[#This Row],[Target Entity]],Table1[[#This Row],[Target DEV SB ID]])</f>
        <v>Demand Bundle|fdx_bus_ent_arch</v>
      </c>
      <c r="M116" s="2" t="s">
        <v>324</v>
      </c>
      <c r="N116" s="2" t="s">
        <v>5821</v>
      </c>
      <c r="O116" s="2"/>
      <c r="P116" s="2" t="s">
        <v>857</v>
      </c>
      <c r="Q116" s="2" t="s">
        <v>33</v>
      </c>
      <c r="R116" s="2" t="s">
        <v>33</v>
      </c>
      <c r="S116" s="2" t="s">
        <v>325</v>
      </c>
      <c r="T116" s="2" t="s">
        <v>325</v>
      </c>
      <c r="U116" s="2" t="s">
        <v>325</v>
      </c>
      <c r="V116" s="2" t="s">
        <v>5957</v>
      </c>
      <c r="W116" s="2" t="str">
        <f>_xlfn.XLOOKUP(Table1[[#This Row],[Source PROD ID]],Prod_fields[ID],Prod_fields[Attribute Name],"0-Not Found",0,1)</f>
        <v>Business Architect</v>
      </c>
      <c r="X116" s="2" t="str">
        <f>_xlfn.XLOOKUP(Table1[[#This Row],[Target DEV SB ID]],New_fields[ID],New_fields[Attribute Name],"0-Not Found",0,1)</f>
        <v>Business Architect</v>
      </c>
      <c r="Y116" s="2" t="b">
        <f>Table1[[#This Row],[Prod Source field name]]=Table1[[#This Row],[New instance Target field name]]</f>
        <v>1</v>
      </c>
      <c r="Z116" s="2" t="b">
        <f>Table1[[#This Row],[Target Field Name]]=Table1[[#This Row],[New instance Target field name]]</f>
        <v>1</v>
      </c>
      <c r="AA116" s="2" t="s">
        <v>18</v>
      </c>
      <c r="AB116" s="2" t="s">
        <v>539</v>
      </c>
      <c r="AC116" s="2"/>
      <c r="AD116" s="2" t="s">
        <v>19</v>
      </c>
      <c r="AE116" s="5"/>
      <c r="AF116" s="5" t="s">
        <v>1095</v>
      </c>
      <c r="AG116" s="5" t="s">
        <v>540</v>
      </c>
      <c r="AH116" s="5" t="s">
        <v>702</v>
      </c>
      <c r="AI116" s="5" t="s">
        <v>1095</v>
      </c>
      <c r="AJ116" s="5" t="s">
        <v>1095</v>
      </c>
      <c r="AK116" s="5" t="s">
        <v>1095</v>
      </c>
      <c r="AL116" s="5"/>
      <c r="AM116" s="105"/>
      <c r="AN116" s="105"/>
      <c r="AO116" s="105"/>
      <c r="AP116" s="105"/>
      <c r="AQ116" s="105"/>
      <c r="AR116" s="105"/>
      <c r="AS116" s="105"/>
      <c r="AT116" s="105"/>
      <c r="AU116" s="105"/>
      <c r="AV116" s="105"/>
      <c r="AW116" s="105"/>
      <c r="AX116" s="105"/>
      <c r="AY116" s="105"/>
      <c r="AZ116" s="105"/>
      <c r="BA116" s="105"/>
      <c r="BB116" s="105"/>
      <c r="BC116" s="105"/>
      <c r="BD116" s="105"/>
      <c r="BE116" s="105"/>
      <c r="BF116" s="105"/>
      <c r="BG116" s="105"/>
      <c r="BH116" s="105"/>
    </row>
    <row r="117" spans="1:60" ht="55.2" x14ac:dyDescent="0.3">
      <c r="A117" s="4" t="s">
        <v>489</v>
      </c>
      <c r="B117" s="4" t="s">
        <v>831</v>
      </c>
      <c r="C117" s="4" t="s">
        <v>827</v>
      </c>
      <c r="D117" s="4" t="s">
        <v>828</v>
      </c>
      <c r="E117" s="4" t="s">
        <v>829</v>
      </c>
      <c r="F117" s="4" t="s">
        <v>470</v>
      </c>
      <c r="G117" s="2" t="s">
        <v>293</v>
      </c>
      <c r="H117" s="2">
        <v>114</v>
      </c>
      <c r="I117" s="2" t="s">
        <v>386</v>
      </c>
      <c r="J117" s="2"/>
      <c r="K117" s="2" t="s">
        <v>481</v>
      </c>
      <c r="L117" s="2" t="str">
        <f>_xlfn.TEXTJOIN("|",FALSE,Table1[[#This Row],[Target Entity]],Table1[[#This Row],[Target DEV SB ID]])</f>
        <v>Demand Bundle|fdx_biz_out_work</v>
      </c>
      <c r="M117" s="2" t="s">
        <v>43</v>
      </c>
      <c r="N117" s="2" t="s">
        <v>5821</v>
      </c>
      <c r="O117" s="2"/>
      <c r="P117" s="2" t="s">
        <v>1095</v>
      </c>
      <c r="Q117" s="2" t="s">
        <v>33</v>
      </c>
      <c r="R117" s="2" t="s">
        <v>33</v>
      </c>
      <c r="S117" s="2" t="s">
        <v>164</v>
      </c>
      <c r="T117" s="2" t="s">
        <v>164</v>
      </c>
      <c r="U117" s="2" t="s">
        <v>164</v>
      </c>
      <c r="V117" s="2" t="s">
        <v>5957</v>
      </c>
      <c r="W117" s="2" t="str">
        <f>_xlfn.XLOOKUP(Table1[[#This Row],[Source PROD ID]],Prod_fields[ID],Prod_fields[Attribute Name],"0-Not Found",0,1)</f>
        <v>Expected Business Outcome</v>
      </c>
      <c r="X117" s="2" t="str">
        <f>_xlfn.XLOOKUP(Table1[[#This Row],[Target DEV SB ID]],New_fields[ID],New_fields[Attribute Name],"0-Not Found",0,1)</f>
        <v>Expected Business Outcome</v>
      </c>
      <c r="Y117" s="2" t="b">
        <f>Table1[[#This Row],[Prod Source field name]]=Table1[[#This Row],[New instance Target field name]]</f>
        <v>1</v>
      </c>
      <c r="Z117" s="2" t="b">
        <f>Table1[[#This Row],[Target Field Name]]=Table1[[#This Row],[New instance Target field name]]</f>
        <v>1</v>
      </c>
      <c r="AA117" s="2" t="s">
        <v>18</v>
      </c>
      <c r="AB117" s="2" t="s">
        <v>539</v>
      </c>
      <c r="AC117" s="2"/>
      <c r="AD117" s="2" t="s">
        <v>19</v>
      </c>
      <c r="AE117" s="5"/>
      <c r="AF117" s="5" t="s">
        <v>6082</v>
      </c>
      <c r="AG117" s="5" t="s">
        <v>540</v>
      </c>
      <c r="AH117" s="5" t="s">
        <v>703</v>
      </c>
      <c r="AI117" s="5" t="s">
        <v>1095</v>
      </c>
      <c r="AJ117" s="5" t="s">
        <v>1095</v>
      </c>
      <c r="AK117" s="5" t="s">
        <v>1095</v>
      </c>
      <c r="AL117" s="5"/>
      <c r="AM117" s="105"/>
      <c r="AN117" s="105"/>
      <c r="AO117" s="105"/>
      <c r="AP117" s="105"/>
      <c r="AQ117" s="105"/>
      <c r="AR117" s="105"/>
      <c r="AS117" s="105"/>
      <c r="AT117" s="105"/>
      <c r="AU117" s="105"/>
      <c r="AV117" s="105"/>
      <c r="AW117" s="105"/>
      <c r="AX117" s="105"/>
      <c r="AY117" s="105"/>
      <c r="AZ117" s="105"/>
      <c r="BA117" s="105"/>
      <c r="BB117" s="105"/>
      <c r="BC117" s="105"/>
      <c r="BD117" s="105"/>
      <c r="BE117" s="105"/>
      <c r="BF117" s="105"/>
      <c r="BG117" s="105"/>
      <c r="BH117" s="105"/>
    </row>
    <row r="118" spans="1:60" ht="207" x14ac:dyDescent="0.3">
      <c r="A118" s="4" t="s">
        <v>489</v>
      </c>
      <c r="B118" s="4" t="s">
        <v>831</v>
      </c>
      <c r="C118" s="4" t="s">
        <v>827</v>
      </c>
      <c r="D118" s="4" t="s">
        <v>828</v>
      </c>
      <c r="E118" s="4" t="s">
        <v>829</v>
      </c>
      <c r="F118" s="4" t="s">
        <v>470</v>
      </c>
      <c r="G118" s="2" t="s">
        <v>293</v>
      </c>
      <c r="H118" s="2">
        <v>115</v>
      </c>
      <c r="I118" s="2" t="s">
        <v>386</v>
      </c>
      <c r="J118" s="2"/>
      <c r="K118" s="2" t="s">
        <v>481</v>
      </c>
      <c r="L118" s="2" t="str">
        <f>_xlfn.TEXTJOIN("|",FALSE,Table1[[#This Row],[Target Entity]],Table1[[#This Row],[Target DEV SB ID]])</f>
        <v>Demand Bundle|Wbs709</v>
      </c>
      <c r="M118" s="2" t="s">
        <v>244</v>
      </c>
      <c r="N118" s="2" t="s">
        <v>5821</v>
      </c>
      <c r="O118" s="2"/>
      <c r="P118" s="2" t="s">
        <v>858</v>
      </c>
      <c r="Q118" s="2" t="s">
        <v>33</v>
      </c>
      <c r="R118" s="2" t="s">
        <v>33</v>
      </c>
      <c r="S118" s="2" t="s">
        <v>245</v>
      </c>
      <c r="T118" s="2" t="s">
        <v>245</v>
      </c>
      <c r="U118" s="2" t="s">
        <v>245</v>
      </c>
      <c r="V118" s="2" t="s">
        <v>6103</v>
      </c>
      <c r="W118" s="2" t="str">
        <f>_xlfn.XLOOKUP(Table1[[#This Row],[Source PROD ID]],Prod_fields[ID],Prod_fields[Attribute Name],"0-Not Found",0,1)</f>
        <v>Health Status</v>
      </c>
      <c r="X118" s="2" t="str">
        <f>_xlfn.XLOOKUP(Table1[[#This Row],[Target DEV SB ID]],New_fields[ID],New_fields[Attribute Name],"0-Not Found",0,1)</f>
        <v>Health Status</v>
      </c>
      <c r="Y118" s="2" t="b">
        <f>Table1[[#This Row],[Prod Source field name]]=Table1[[#This Row],[New instance Target field name]]</f>
        <v>1</v>
      </c>
      <c r="Z118" s="2" t="b">
        <f>Table1[[#This Row],[Target Field Name]]=Table1[[#This Row],[New instance Target field name]]</f>
        <v>1</v>
      </c>
      <c r="AA118" s="2" t="s">
        <v>363</v>
      </c>
      <c r="AB118" s="2" t="s">
        <v>539</v>
      </c>
      <c r="AC118" s="2"/>
      <c r="AD118" s="2" t="s">
        <v>19</v>
      </c>
      <c r="AE118" s="5" t="str">
        <f>_xlfn.TEXTJOIN(CHAR(10),TRUE,VAL_wbs709_healthStatus[])</f>
        <v>On Track
Some Issues
Attention Needed</v>
      </c>
      <c r="AF118" s="5" t="s">
        <v>6083</v>
      </c>
      <c r="AG118" s="5" t="s">
        <v>540</v>
      </c>
      <c r="AH118" s="5" t="s">
        <v>705</v>
      </c>
      <c r="AI118" s="5" t="s">
        <v>1095</v>
      </c>
      <c r="AJ118" s="5" t="s">
        <v>1095</v>
      </c>
      <c r="AK118" s="5" t="s">
        <v>1095</v>
      </c>
      <c r="AL118" s="5"/>
      <c r="AM118" s="105"/>
      <c r="AN118" s="105"/>
      <c r="AO118" s="105"/>
      <c r="AP118" s="105"/>
      <c r="AQ118" s="105"/>
      <c r="AR118" s="105"/>
      <c r="AS118" s="105"/>
      <c r="AT118" s="105"/>
      <c r="AU118" s="105"/>
      <c r="AV118" s="105"/>
      <c r="AW118" s="105"/>
      <c r="AX118" s="105"/>
      <c r="AY118" s="105"/>
      <c r="AZ118" s="105"/>
      <c r="BA118" s="105"/>
      <c r="BB118" s="105"/>
      <c r="BC118" s="105"/>
      <c r="BD118" s="105"/>
      <c r="BE118" s="105"/>
      <c r="BF118" s="105"/>
      <c r="BG118" s="105"/>
      <c r="BH118" s="105"/>
    </row>
    <row r="119" spans="1:60" ht="124.2" x14ac:dyDescent="0.3">
      <c r="A119" s="4" t="s">
        <v>489</v>
      </c>
      <c r="B119" s="4" t="s">
        <v>831</v>
      </c>
      <c r="C119" s="4" t="s">
        <v>827</v>
      </c>
      <c r="D119" s="4" t="s">
        <v>828</v>
      </c>
      <c r="E119" s="4" t="s">
        <v>829</v>
      </c>
      <c r="F119" s="4" t="s">
        <v>470</v>
      </c>
      <c r="G119" s="2" t="s">
        <v>293</v>
      </c>
      <c r="H119" s="2">
        <v>116</v>
      </c>
      <c r="I119" s="2" t="s">
        <v>386</v>
      </c>
      <c r="J119" s="2"/>
      <c r="K119" s="2" t="s">
        <v>481</v>
      </c>
      <c r="L119" s="2" t="str">
        <f>_xlfn.TEXTJOIN("|",FALSE,Table1[[#This Row],[Target Entity]],Table1[[#This Row],[Target DEV SB ID]])</f>
        <v>Demand Bundle|fdx_status_work</v>
      </c>
      <c r="M119" s="2" t="s">
        <v>247</v>
      </c>
      <c r="N119" s="2" t="s">
        <v>5821</v>
      </c>
      <c r="O119" s="2"/>
      <c r="P119" s="2" t="s">
        <v>859</v>
      </c>
      <c r="Q119" s="2" t="s">
        <v>33</v>
      </c>
      <c r="R119" s="2" t="s">
        <v>33</v>
      </c>
      <c r="S119" s="2" t="s">
        <v>248</v>
      </c>
      <c r="T119" s="2" t="s">
        <v>248</v>
      </c>
      <c r="U119" s="2" t="s">
        <v>248</v>
      </c>
      <c r="V119" s="2" t="s">
        <v>5957</v>
      </c>
      <c r="W119" s="2" t="str">
        <f>_xlfn.XLOOKUP(Table1[[#This Row],[Source PROD ID]],Prod_fields[ID],Prod_fields[Attribute Name],"0-Not Found",0,1)</f>
        <v>Status Rationale</v>
      </c>
      <c r="X119" s="2" t="str">
        <f>_xlfn.XLOOKUP(Table1[[#This Row],[Target DEV SB ID]],New_fields[ID],New_fields[Attribute Name],"0-Not Found",0,1)</f>
        <v>Status Rationale</v>
      </c>
      <c r="Y119" s="2" t="b">
        <f>Table1[[#This Row],[Prod Source field name]]=Table1[[#This Row],[New instance Target field name]]</f>
        <v>1</v>
      </c>
      <c r="Z119" s="2" t="b">
        <f>Table1[[#This Row],[Target Field Name]]=Table1[[#This Row],[New instance Target field name]]</f>
        <v>1</v>
      </c>
      <c r="AA119" s="2" t="s">
        <v>18</v>
      </c>
      <c r="AB119" s="2" t="s">
        <v>539</v>
      </c>
      <c r="AC119" s="2"/>
      <c r="AD119" s="2" t="s">
        <v>19</v>
      </c>
      <c r="AE119" s="5"/>
      <c r="AF119" s="5" t="s">
        <v>6084</v>
      </c>
      <c r="AG119" s="5" t="s">
        <v>540</v>
      </c>
      <c r="AH119" s="5" t="s">
        <v>657</v>
      </c>
      <c r="AI119" s="5" t="s">
        <v>1095</v>
      </c>
      <c r="AJ119" s="5" t="s">
        <v>1095</v>
      </c>
      <c r="AK119" s="5" t="s">
        <v>1095</v>
      </c>
      <c r="AL119" s="5"/>
      <c r="AM119" s="105"/>
      <c r="AN119" s="105"/>
      <c r="AO119" s="105"/>
      <c r="AP119" s="105"/>
      <c r="AQ119" s="105"/>
      <c r="AR119" s="105"/>
      <c r="AS119" s="105"/>
      <c r="AT119" s="105"/>
      <c r="AU119" s="105"/>
      <c r="AV119" s="105"/>
      <c r="AW119" s="105"/>
      <c r="AX119" s="105"/>
      <c r="AY119" s="105"/>
      <c r="AZ119" s="105"/>
      <c r="BA119" s="105"/>
      <c r="BB119" s="105"/>
      <c r="BC119" s="105"/>
      <c r="BD119" s="105"/>
      <c r="BE119" s="105"/>
      <c r="BF119" s="105"/>
      <c r="BG119" s="105"/>
      <c r="BH119" s="105"/>
    </row>
    <row r="120" spans="1:60" ht="55.2" x14ac:dyDescent="0.3">
      <c r="A120" s="4" t="s">
        <v>489</v>
      </c>
      <c r="B120" s="4" t="s">
        <v>831</v>
      </c>
      <c r="C120" s="4" t="s">
        <v>827</v>
      </c>
      <c r="D120" s="4" t="s">
        <v>828</v>
      </c>
      <c r="E120" s="4" t="s">
        <v>829</v>
      </c>
      <c r="F120" s="4" t="s">
        <v>470</v>
      </c>
      <c r="G120" s="2" t="s">
        <v>293</v>
      </c>
      <c r="H120" s="2">
        <v>117</v>
      </c>
      <c r="I120" s="2" t="s">
        <v>386</v>
      </c>
      <c r="J120" s="2"/>
      <c r="K120" s="2" t="s">
        <v>490</v>
      </c>
      <c r="L120" s="2" t="str">
        <f>_xlfn.TEXTJOIN("|",FALSE,Table1[[#This Row],[Target Entity]],Table1[[#This Row],[Target DEV SB ID]])</f>
        <v>Epic|fdx_epic_notes</v>
      </c>
      <c r="M120" s="2" t="s">
        <v>326</v>
      </c>
      <c r="N120" s="2" t="s">
        <v>5821</v>
      </c>
      <c r="O120" s="2"/>
      <c r="P120" s="2" t="s">
        <v>844</v>
      </c>
      <c r="Q120" s="2" t="s">
        <v>33</v>
      </c>
      <c r="R120" s="2" t="s">
        <v>33</v>
      </c>
      <c r="S120" s="2" t="s">
        <v>327</v>
      </c>
      <c r="T120" s="2" t="s">
        <v>327</v>
      </c>
      <c r="U120" s="2" t="s">
        <v>327</v>
      </c>
      <c r="V120" s="2" t="s">
        <v>5957</v>
      </c>
      <c r="W120" s="2" t="str">
        <f>_xlfn.XLOOKUP(Table1[[#This Row],[Source PROD ID]],Prod_fields[ID],Prod_fields[Attribute Name],"0-Not Found",0,1)</f>
        <v>Epic Notes and Comments</v>
      </c>
      <c r="X120" s="2" t="str">
        <f>_xlfn.XLOOKUP(Table1[[#This Row],[Target DEV SB ID]],New_fields[ID],New_fields[Attribute Name],"0-Not Found",0,1)</f>
        <v>Epic Notes and Comments</v>
      </c>
      <c r="Y120" s="2" t="b">
        <f>Table1[[#This Row],[Prod Source field name]]=Table1[[#This Row],[New instance Target field name]]</f>
        <v>1</v>
      </c>
      <c r="Z120" s="2" t="b">
        <f>Table1[[#This Row],[Target Field Name]]=Table1[[#This Row],[New instance Target field name]]</f>
        <v>1</v>
      </c>
      <c r="AA120" s="2" t="s">
        <v>18</v>
      </c>
      <c r="AB120" s="2" t="s">
        <v>539</v>
      </c>
      <c r="AC120" s="2"/>
      <c r="AD120" s="2" t="s">
        <v>19</v>
      </c>
      <c r="AE120" s="5"/>
      <c r="AF120" s="5" t="s">
        <v>6070</v>
      </c>
      <c r="AG120" s="5" t="s">
        <v>1095</v>
      </c>
      <c r="AH120" s="5" t="s">
        <v>1095</v>
      </c>
      <c r="AI120" s="5" t="s">
        <v>1095</v>
      </c>
      <c r="AJ120" s="5" t="s">
        <v>1095</v>
      </c>
      <c r="AK120" s="5" t="s">
        <v>1095</v>
      </c>
      <c r="AL120" s="5"/>
      <c r="AM120" s="105"/>
      <c r="AN120" s="105"/>
      <c r="AO120" s="105"/>
      <c r="AP120" s="105"/>
      <c r="AQ120" s="105"/>
      <c r="AR120" s="105"/>
      <c r="AS120" s="105"/>
      <c r="AT120" s="105"/>
      <c r="AU120" s="105"/>
      <c r="AV120" s="105"/>
      <c r="AW120" s="105"/>
      <c r="AX120" s="105"/>
      <c r="AY120" s="105"/>
      <c r="AZ120" s="105"/>
      <c r="BA120" s="105"/>
      <c r="BB120" s="105"/>
      <c r="BC120" s="105"/>
      <c r="BD120" s="105"/>
      <c r="BE120" s="105"/>
      <c r="BF120" s="105"/>
      <c r="BG120" s="105"/>
      <c r="BH120" s="105"/>
    </row>
    <row r="121" spans="1:60" ht="55.2" x14ac:dyDescent="0.3">
      <c r="A121" s="4" t="s">
        <v>489</v>
      </c>
      <c r="B121" s="4" t="s">
        <v>831</v>
      </c>
      <c r="C121" s="4" t="s">
        <v>827</v>
      </c>
      <c r="D121" s="4" t="s">
        <v>828</v>
      </c>
      <c r="E121" s="4" t="s">
        <v>829</v>
      </c>
      <c r="F121" s="4" t="s">
        <v>470</v>
      </c>
      <c r="G121" s="2" t="s">
        <v>293</v>
      </c>
      <c r="H121" s="2">
        <v>118</v>
      </c>
      <c r="I121" s="2" t="s">
        <v>386</v>
      </c>
      <c r="J121" s="2"/>
      <c r="K121" s="2" t="s">
        <v>490</v>
      </c>
      <c r="L121" s="2" t="str">
        <f>_xlfn.TEXTJOIN("|",FALSE,Table1[[#This Row],[Target Entity]],Table1[[#This Row],[Target DEV SB ID]])</f>
        <v>Epic|fdx_epic_cap_no</v>
      </c>
      <c r="M121" s="2" t="s">
        <v>328</v>
      </c>
      <c r="N121" s="2" t="s">
        <v>5821</v>
      </c>
      <c r="O121" s="2"/>
      <c r="P121" s="2" t="s">
        <v>860</v>
      </c>
      <c r="Q121" s="2" t="s">
        <v>19</v>
      </c>
      <c r="R121" s="2" t="s">
        <v>19</v>
      </c>
      <c r="S121" s="2" t="s">
        <v>3491</v>
      </c>
      <c r="T121" s="2" t="s">
        <v>1095</v>
      </c>
      <c r="U121" s="2" t="s">
        <v>329</v>
      </c>
      <c r="V121" s="2" t="s">
        <v>6259</v>
      </c>
      <c r="W121" s="2" t="str">
        <f>_xlfn.XLOOKUP(Table1[[#This Row],[Source PROD ID]],Prod_fields[ID],Prod_fields[Attribute Name],"0-Not Found",0,1)</f>
        <v>0-Not Found</v>
      </c>
      <c r="X121" s="2" t="str">
        <f>_xlfn.XLOOKUP(Table1[[#This Row],[Target DEV SB ID]],New_fields[ID],New_fields[Attribute Name],"0-Not Found",0,1)</f>
        <v>Capital Number</v>
      </c>
      <c r="Y121" s="2" t="b">
        <f>Table1[[#This Row],[Prod Source field name]]=Table1[[#This Row],[New instance Target field name]]</f>
        <v>0</v>
      </c>
      <c r="Z121" s="2" t="b">
        <f>Table1[[#This Row],[Target Field Name]]=Table1[[#This Row],[New instance Target field name]]</f>
        <v>1</v>
      </c>
      <c r="AA121" s="2" t="s">
        <v>18</v>
      </c>
      <c r="AB121" s="2" t="s">
        <v>539</v>
      </c>
      <c r="AC121" s="2"/>
      <c r="AD121" s="2" t="s">
        <v>19</v>
      </c>
      <c r="AE121" s="5"/>
      <c r="AF121" s="5" t="s">
        <v>6085</v>
      </c>
      <c r="AG121" s="5" t="s">
        <v>318</v>
      </c>
      <c r="AH121" s="5" t="s">
        <v>1095</v>
      </c>
      <c r="AI121" s="5" t="s">
        <v>1095</v>
      </c>
      <c r="AJ121" s="5" t="s">
        <v>1095</v>
      </c>
      <c r="AK121" s="5" t="s">
        <v>1095</v>
      </c>
      <c r="AL121" s="5"/>
      <c r="AM121" s="105"/>
      <c r="AN121" s="105"/>
      <c r="AO121" s="105"/>
      <c r="AP121" s="105"/>
      <c r="AQ121" s="105"/>
      <c r="AR121" s="105"/>
      <c r="AS121" s="105"/>
      <c r="AT121" s="105"/>
      <c r="AU121" s="105"/>
      <c r="AV121" s="105"/>
      <c r="AW121" s="105"/>
      <c r="AX121" s="105"/>
      <c r="AY121" s="105"/>
      <c r="AZ121" s="105"/>
      <c r="BA121" s="105"/>
      <c r="BB121" s="105"/>
      <c r="BC121" s="105"/>
      <c r="BD121" s="105"/>
      <c r="BE121" s="105"/>
      <c r="BF121" s="105"/>
      <c r="BG121" s="105"/>
      <c r="BH121" s="105"/>
    </row>
    <row r="122" spans="1:60" ht="55.2" x14ac:dyDescent="0.3">
      <c r="A122" s="4" t="s">
        <v>489</v>
      </c>
      <c r="B122" s="4" t="s">
        <v>831</v>
      </c>
      <c r="C122" s="4" t="s">
        <v>827</v>
      </c>
      <c r="D122" s="4" t="s">
        <v>828</v>
      </c>
      <c r="E122" s="4" t="s">
        <v>829</v>
      </c>
      <c r="F122" s="4" t="s">
        <v>470</v>
      </c>
      <c r="G122" s="2" t="s">
        <v>293</v>
      </c>
      <c r="H122" s="2">
        <v>119</v>
      </c>
      <c r="I122" s="2" t="s">
        <v>386</v>
      </c>
      <c r="J122" s="2"/>
      <c r="K122" s="2" t="s">
        <v>481</v>
      </c>
      <c r="L122" s="2" t="str">
        <f>_xlfn.TEXTJOIN("|",FALSE,Table1[[#This Row],[Target Entity]],Table1[[#This Row],[Target DEV SB ID]])</f>
        <v>Demand Bundle|fdx_first_id</v>
      </c>
      <c r="M122" s="2" t="s">
        <v>330</v>
      </c>
      <c r="N122" s="2" t="s">
        <v>5821</v>
      </c>
      <c r="O122" s="2"/>
      <c r="P122" s="2" t="s">
        <v>861</v>
      </c>
      <c r="Q122" s="2" t="s">
        <v>33</v>
      </c>
      <c r="R122" s="2" t="s">
        <v>33</v>
      </c>
      <c r="S122" s="2" t="s">
        <v>331</v>
      </c>
      <c r="T122" s="2" t="s">
        <v>331</v>
      </c>
      <c r="U122" s="2" t="s">
        <v>331</v>
      </c>
      <c r="V122" s="2" t="s">
        <v>5957</v>
      </c>
      <c r="W122" s="2" t="str">
        <f>_xlfn.XLOOKUP(Table1[[#This Row],[Source PROD ID]],Prod_fields[ID],Prod_fields[Attribute Name],"0-Not Found",0,1)</f>
        <v>OnSpring ID</v>
      </c>
      <c r="X122" s="2" t="str">
        <f>_xlfn.XLOOKUP(Table1[[#This Row],[Target DEV SB ID]],New_fields[ID],New_fields[Attribute Name],"0-Not Found",0,1)</f>
        <v>OnSpring ID</v>
      </c>
      <c r="Y122" s="2" t="b">
        <f>Table1[[#This Row],[Prod Source field name]]=Table1[[#This Row],[New instance Target field name]]</f>
        <v>1</v>
      </c>
      <c r="Z122" s="2" t="b">
        <f>Table1[[#This Row],[Target Field Name]]=Table1[[#This Row],[New instance Target field name]]</f>
        <v>1</v>
      </c>
      <c r="AA122" s="2" t="s">
        <v>18</v>
      </c>
      <c r="AB122" s="2" t="s">
        <v>539</v>
      </c>
      <c r="AC122" s="2"/>
      <c r="AD122" s="2" t="s">
        <v>19</v>
      </c>
      <c r="AE122" s="5"/>
      <c r="AF122" s="5" t="s">
        <v>6086</v>
      </c>
      <c r="AG122" s="5" t="s">
        <v>318</v>
      </c>
      <c r="AH122" s="5" t="s">
        <v>1095</v>
      </c>
      <c r="AI122" s="5" t="s">
        <v>1095</v>
      </c>
      <c r="AJ122" s="5" t="s">
        <v>1095</v>
      </c>
      <c r="AK122" s="5" t="s">
        <v>1095</v>
      </c>
      <c r="AL122" s="5"/>
      <c r="AM122" s="105"/>
      <c r="AN122" s="105"/>
      <c r="AO122" s="105"/>
      <c r="AP122" s="105"/>
      <c r="AQ122" s="105"/>
      <c r="AR122" s="105"/>
      <c r="AS122" s="105"/>
      <c r="AT122" s="105"/>
      <c r="AU122" s="105"/>
      <c r="AV122" s="105"/>
      <c r="AW122" s="105"/>
      <c r="AX122" s="105"/>
      <c r="AY122" s="105"/>
      <c r="AZ122" s="105"/>
      <c r="BA122" s="105"/>
      <c r="BB122" s="105"/>
      <c r="BC122" s="105"/>
      <c r="BD122" s="105"/>
      <c r="BE122" s="105"/>
      <c r="BF122" s="105"/>
      <c r="BG122" s="105"/>
      <c r="BH122" s="105"/>
    </row>
    <row r="123" spans="1:60" ht="55.2" x14ac:dyDescent="0.3">
      <c r="A123" s="4" t="s">
        <v>489</v>
      </c>
      <c r="B123" s="4" t="s">
        <v>831</v>
      </c>
      <c r="C123" s="4" t="s">
        <v>827</v>
      </c>
      <c r="D123" s="4" t="s">
        <v>828</v>
      </c>
      <c r="E123" s="4" t="s">
        <v>829</v>
      </c>
      <c r="F123" s="4" t="s">
        <v>470</v>
      </c>
      <c r="G123" s="2" t="s">
        <v>293</v>
      </c>
      <c r="H123" s="2">
        <v>120</v>
      </c>
      <c r="I123" s="2" t="s">
        <v>386</v>
      </c>
      <c r="J123" s="2"/>
      <c r="K123" s="2" t="s">
        <v>490</v>
      </c>
      <c r="L123" s="2" t="str">
        <f>_xlfn.TEXTJOIN("|",FALSE,Table1[[#This Row],[Target Entity]],Table1[[#This Row],[Target DEV SB ID]])</f>
        <v>Epic|fdx_first_id</v>
      </c>
      <c r="M123" s="2" t="s">
        <v>330</v>
      </c>
      <c r="N123" s="2" t="s">
        <v>5821</v>
      </c>
      <c r="O123" s="2"/>
      <c r="P123" s="2" t="s">
        <v>862</v>
      </c>
      <c r="Q123" s="2" t="s">
        <v>19</v>
      </c>
      <c r="R123" s="2" t="s">
        <v>19</v>
      </c>
      <c r="S123" s="2" t="s">
        <v>331</v>
      </c>
      <c r="T123" s="2" t="s">
        <v>331</v>
      </c>
      <c r="U123" s="2" t="s">
        <v>331</v>
      </c>
      <c r="V123" s="2" t="s">
        <v>5957</v>
      </c>
      <c r="W123" s="2" t="str">
        <f>_xlfn.XLOOKUP(Table1[[#This Row],[Source PROD ID]],Prod_fields[ID],Prod_fields[Attribute Name],"0-Not Found",0,1)</f>
        <v>OnSpring ID</v>
      </c>
      <c r="X123" s="2" t="str">
        <f>_xlfn.XLOOKUP(Table1[[#This Row],[Target DEV SB ID]],New_fields[ID],New_fields[Attribute Name],"0-Not Found",0,1)</f>
        <v>OnSpring ID</v>
      </c>
      <c r="Y123" s="2" t="b">
        <f>Table1[[#This Row],[Prod Source field name]]=Table1[[#This Row],[New instance Target field name]]</f>
        <v>1</v>
      </c>
      <c r="Z123" s="2" t="b">
        <f>Table1[[#This Row],[Target Field Name]]=Table1[[#This Row],[New instance Target field name]]</f>
        <v>1</v>
      </c>
      <c r="AA123" s="2" t="s">
        <v>18</v>
      </c>
      <c r="AB123" s="2" t="s">
        <v>539</v>
      </c>
      <c r="AC123" s="2"/>
      <c r="AD123" s="2" t="s">
        <v>19</v>
      </c>
      <c r="AE123" s="5"/>
      <c r="AF123" s="5" t="s">
        <v>6086</v>
      </c>
      <c r="AG123" s="5" t="s">
        <v>318</v>
      </c>
      <c r="AH123" s="5" t="s">
        <v>1095</v>
      </c>
      <c r="AI123" s="5" t="s">
        <v>1095</v>
      </c>
      <c r="AJ123" s="5" t="s">
        <v>1095</v>
      </c>
      <c r="AK123" s="5" t="s">
        <v>1095</v>
      </c>
      <c r="AL123" s="5"/>
      <c r="AM123" s="105"/>
      <c r="AN123" s="105"/>
      <c r="AO123" s="105"/>
      <c r="AP123" s="105"/>
      <c r="AQ123" s="105"/>
      <c r="AR123" s="105"/>
      <c r="AS123" s="105"/>
      <c r="AT123" s="105"/>
      <c r="AU123" s="105"/>
      <c r="AV123" s="105"/>
      <c r="AW123" s="105"/>
      <c r="AX123" s="105"/>
      <c r="AY123" s="105"/>
      <c r="AZ123" s="105"/>
      <c r="BA123" s="105"/>
      <c r="BB123" s="105"/>
      <c r="BC123" s="105"/>
      <c r="BD123" s="105"/>
      <c r="BE123" s="105"/>
      <c r="BF123" s="105"/>
      <c r="BG123" s="105"/>
      <c r="BH123" s="105"/>
    </row>
    <row r="124" spans="1:60" ht="248.4" x14ac:dyDescent="0.3">
      <c r="A124" s="4" t="s">
        <v>489</v>
      </c>
      <c r="B124" s="4" t="s">
        <v>866</v>
      </c>
      <c r="C124" s="4" t="s">
        <v>863</v>
      </c>
      <c r="D124" s="4" t="s">
        <v>864</v>
      </c>
      <c r="E124" s="4" t="s">
        <v>829</v>
      </c>
      <c r="F124" s="4" t="s">
        <v>470</v>
      </c>
      <c r="G124" s="2" t="s">
        <v>293</v>
      </c>
      <c r="H124" s="2">
        <v>121</v>
      </c>
      <c r="I124" s="2" t="s">
        <v>386</v>
      </c>
      <c r="J124" s="2"/>
      <c r="K124" s="2" t="s">
        <v>490</v>
      </c>
      <c r="L124" s="2" t="str">
        <f>_xlfn.TEXTJOIN("|",FALSE,Table1[[#This Row],[Target Entity]],Table1[[#This Row],[Target DEV SB ID]])</f>
        <v>Epic|Wbs135</v>
      </c>
      <c r="M124" s="2" t="s">
        <v>332</v>
      </c>
      <c r="N124" s="2" t="s">
        <v>5821</v>
      </c>
      <c r="O124" s="2"/>
      <c r="P124" s="2" t="s">
        <v>865</v>
      </c>
      <c r="Q124" s="2" t="s">
        <v>19</v>
      </c>
      <c r="R124" s="2" t="s">
        <v>19</v>
      </c>
      <c r="S124" s="2" t="s">
        <v>3491</v>
      </c>
      <c r="T124" s="2" t="s">
        <v>333</v>
      </c>
      <c r="U124" s="2" t="s">
        <v>334</v>
      </c>
      <c r="V124" s="2" t="s">
        <v>6261</v>
      </c>
      <c r="W124" s="2" t="str">
        <f>_xlfn.XLOOKUP(Table1[[#This Row],[Source PROD ID]],Prod_fields[ID],Prod_fields[Attribute Name],"0-Not Found",0,1)</f>
        <v>0-Not Found</v>
      </c>
      <c r="X124" s="2" t="str">
        <f>_xlfn.XLOOKUP(Table1[[#This Row],[Target DEV SB ID]],New_fields[ID],New_fields[Attribute Name],"0-Not Found",0,1)</f>
        <v>Ready for L3 EPM Quality Check?</v>
      </c>
      <c r="Y124" s="2" t="b">
        <f>Table1[[#This Row],[Prod Source field name]]=Table1[[#This Row],[New instance Target field name]]</f>
        <v>0</v>
      </c>
      <c r="Z124" s="2" t="b">
        <f>Table1[[#This Row],[Target Field Name]]=Table1[[#This Row],[New instance Target field name]]</f>
        <v>0</v>
      </c>
      <c r="AA124" s="2" t="s">
        <v>363</v>
      </c>
      <c r="AB124" s="2" t="s">
        <v>539</v>
      </c>
      <c r="AC124" s="2" t="s">
        <v>32</v>
      </c>
      <c r="AD124" s="2" t="s">
        <v>33</v>
      </c>
      <c r="AE124" s="5" t="str">
        <f>_xlfn.TEXTJOIN(CHAR(10),TRUE,VAL_wbs135[])</f>
        <v>Yes
No</v>
      </c>
      <c r="AF124" s="5" t="s">
        <v>1095</v>
      </c>
      <c r="AG124" s="5" t="s">
        <v>540</v>
      </c>
      <c r="AH124" s="5" t="s">
        <v>1095</v>
      </c>
      <c r="AI124" s="5" t="s">
        <v>1095</v>
      </c>
      <c r="AJ124" s="5" t="s">
        <v>1095</v>
      </c>
      <c r="AK124" s="5" t="s">
        <v>1095</v>
      </c>
      <c r="AL124" s="5"/>
      <c r="AM124" s="105"/>
      <c r="AN124" s="105"/>
      <c r="AO124" s="105"/>
      <c r="AP124" s="105"/>
      <c r="AQ124" s="105"/>
      <c r="AR124" s="105"/>
      <c r="AS124" s="105"/>
      <c r="AT124" s="105"/>
      <c r="AU124" s="105"/>
      <c r="AV124" s="105"/>
      <c r="AW124" s="105"/>
      <c r="AX124" s="105"/>
      <c r="AY124" s="105"/>
      <c r="AZ124" s="105"/>
      <c r="BA124" s="105"/>
      <c r="BB124" s="105"/>
      <c r="BC124" s="105"/>
      <c r="BD124" s="105"/>
      <c r="BE124" s="105"/>
      <c r="BF124" s="105"/>
      <c r="BG124" s="105"/>
      <c r="BH124" s="105"/>
    </row>
    <row r="125" spans="1:60" ht="69" x14ac:dyDescent="0.3">
      <c r="A125" s="4" t="s">
        <v>489</v>
      </c>
      <c r="B125" s="4" t="s">
        <v>866</v>
      </c>
      <c r="C125" s="4" t="s">
        <v>709</v>
      </c>
      <c r="D125" s="4" t="s">
        <v>710</v>
      </c>
      <c r="E125" s="4" t="s">
        <v>829</v>
      </c>
      <c r="F125" s="4" t="s">
        <v>42</v>
      </c>
      <c r="G125" s="2" t="s">
        <v>293</v>
      </c>
      <c r="H125" s="2">
        <v>122</v>
      </c>
      <c r="I125" s="2" t="s">
        <v>386</v>
      </c>
      <c r="J125" s="2"/>
      <c r="K125" s="2" t="s">
        <v>490</v>
      </c>
      <c r="L125" s="2" t="str">
        <f>_xlfn.TEXTJOIN("|",FALSE,Table1[[#This Row],[Target Entity]],Table1[[#This Row],[Target DEV SB ID]])</f>
        <v>Epic|Wbs136</v>
      </c>
      <c r="M125" s="2" t="s">
        <v>506</v>
      </c>
      <c r="N125" s="2" t="s">
        <v>5821</v>
      </c>
      <c r="O125" s="2"/>
      <c r="P125" s="2" t="s">
        <v>1095</v>
      </c>
      <c r="Q125" s="2" t="s">
        <v>19</v>
      </c>
      <c r="R125" s="2" t="s">
        <v>19</v>
      </c>
      <c r="S125" s="2" t="s">
        <v>3491</v>
      </c>
      <c r="T125" s="2" t="s">
        <v>336</v>
      </c>
      <c r="U125" s="2" t="s">
        <v>337</v>
      </c>
      <c r="V125" s="2" t="s">
        <v>6264</v>
      </c>
      <c r="W125" s="2" t="str">
        <f>_xlfn.XLOOKUP(Table1[[#This Row],[Source PROD ID]],Prod_fields[ID],Prod_fields[Attribute Name],"0-Not Found",0,1)</f>
        <v>0-Not Found</v>
      </c>
      <c r="X125" s="2" t="str">
        <f>_xlfn.XLOOKUP(Table1[[#This Row],[Target DEV SB ID]],New_fields[ID],New_fields[Attribute Name],"0-Not Found",0,1)</f>
        <v>L3 EPM Review 1</v>
      </c>
      <c r="Y125" s="2" t="b">
        <f>Table1[[#This Row],[Prod Source field name]]=Table1[[#This Row],[New instance Target field name]]</f>
        <v>0</v>
      </c>
      <c r="Z125" s="2" t="b">
        <f>Table1[[#This Row],[Target Field Name]]=Table1[[#This Row],[New instance Target field name]]</f>
        <v>0</v>
      </c>
      <c r="AA125" s="2" t="s">
        <v>363</v>
      </c>
      <c r="AB125" s="2" t="s">
        <v>539</v>
      </c>
      <c r="AC125" s="2" t="s">
        <v>32</v>
      </c>
      <c r="AD125" s="2" t="s">
        <v>33</v>
      </c>
      <c r="AE125" s="5" t="str">
        <f>_xlfn.TEXTJOIN(CHAR(10),TRUE,VAL_wbs136[])</f>
        <v>Passed Quality Check
Not Ready - Feedback Requested</v>
      </c>
      <c r="AF125" s="5" t="s">
        <v>1095</v>
      </c>
      <c r="AG125" s="5" t="s">
        <v>540</v>
      </c>
      <c r="AH125" s="5" t="s">
        <v>1095</v>
      </c>
      <c r="AI125" s="5" t="s">
        <v>1095</v>
      </c>
      <c r="AJ125" s="5" t="s">
        <v>1095</v>
      </c>
      <c r="AK125" s="5" t="s">
        <v>1095</v>
      </c>
      <c r="AL125" s="5"/>
      <c r="AM125" s="105"/>
      <c r="AN125" s="105"/>
      <c r="AO125" s="105"/>
      <c r="AP125" s="105"/>
      <c r="AQ125" s="105"/>
      <c r="AR125" s="105"/>
      <c r="AS125" s="105"/>
      <c r="AT125" s="105"/>
      <c r="AU125" s="105"/>
      <c r="AV125" s="105"/>
      <c r="AW125" s="105"/>
      <c r="AX125" s="105"/>
      <c r="AY125" s="105"/>
      <c r="AZ125" s="105"/>
      <c r="BA125" s="105"/>
      <c r="BB125" s="105"/>
      <c r="BC125" s="105"/>
      <c r="BD125" s="105"/>
      <c r="BE125" s="105"/>
      <c r="BF125" s="105"/>
      <c r="BG125" s="105"/>
      <c r="BH125" s="105"/>
    </row>
    <row r="126" spans="1:60" ht="55.2" x14ac:dyDescent="0.3">
      <c r="A126" s="4" t="s">
        <v>489</v>
      </c>
      <c r="B126" s="4" t="s">
        <v>866</v>
      </c>
      <c r="C126" s="4" t="s">
        <v>709</v>
      </c>
      <c r="D126" s="4" t="s">
        <v>710</v>
      </c>
      <c r="E126" s="4" t="s">
        <v>829</v>
      </c>
      <c r="F126" s="4" t="s">
        <v>42</v>
      </c>
      <c r="G126" s="2" t="s">
        <v>293</v>
      </c>
      <c r="H126" s="2">
        <v>123</v>
      </c>
      <c r="I126" s="2" t="s">
        <v>386</v>
      </c>
      <c r="J126" s="2"/>
      <c r="K126" s="2" t="s">
        <v>490</v>
      </c>
      <c r="L126" s="2" t="str">
        <f>_xlfn.TEXTJOIN("|",FALSE,Table1[[#This Row],[Target Entity]],Table1[[#This Row],[Target DEV SB ID]])</f>
        <v>Epic|fdx_epic_epm_notes1</v>
      </c>
      <c r="M126" s="2" t="s">
        <v>507</v>
      </c>
      <c r="N126" s="2" t="s">
        <v>5821</v>
      </c>
      <c r="O126" s="2"/>
      <c r="P126" s="2" t="s">
        <v>1095</v>
      </c>
      <c r="Q126" s="2" t="s">
        <v>19</v>
      </c>
      <c r="R126" s="2" t="s">
        <v>19</v>
      </c>
      <c r="S126" s="102" t="s">
        <v>1373</v>
      </c>
      <c r="T126" s="2" t="s">
        <v>339</v>
      </c>
      <c r="U126" s="2" t="s">
        <v>339</v>
      </c>
      <c r="V126" s="2" t="s">
        <v>6265</v>
      </c>
      <c r="W126" s="2" t="str">
        <f>_xlfn.XLOOKUP(Table1[[#This Row],[Source PROD ID]],Prod_fields[ID],Prod_fields[Attribute Name],"0-Not Found",0,1)</f>
        <v>SL3 EPM Notes</v>
      </c>
      <c r="X126" s="2" t="str">
        <f>_xlfn.XLOOKUP(Table1[[#This Row],[Target DEV SB ID]],New_fields[ID],New_fields[Attribute Name],"0-Not Found",0,1)</f>
        <v>L3 EPM Review 1 Notes</v>
      </c>
      <c r="Y126" s="2" t="b">
        <f>Table1[[#This Row],[Prod Source field name]]=Table1[[#This Row],[New instance Target field name]]</f>
        <v>0</v>
      </c>
      <c r="Z126" s="2" t="b">
        <f>Table1[[#This Row],[Target Field Name]]=Table1[[#This Row],[New instance Target field name]]</f>
        <v>0</v>
      </c>
      <c r="AA126" s="2" t="s">
        <v>18</v>
      </c>
      <c r="AB126" s="2" t="s">
        <v>539</v>
      </c>
      <c r="AC126" s="2"/>
      <c r="AD126" s="2" t="s">
        <v>19</v>
      </c>
      <c r="AE126" s="5"/>
      <c r="AF126" s="5" t="s">
        <v>1095</v>
      </c>
      <c r="AG126" s="5" t="s">
        <v>540</v>
      </c>
      <c r="AH126" s="5" t="s">
        <v>1095</v>
      </c>
      <c r="AI126" s="5" t="s">
        <v>1095</v>
      </c>
      <c r="AJ126" s="5" t="s">
        <v>1095</v>
      </c>
      <c r="AK126" s="5" t="s">
        <v>1095</v>
      </c>
      <c r="AL126" s="5"/>
      <c r="AM126" s="105"/>
      <c r="AN126" s="105"/>
      <c r="AO126" s="105"/>
      <c r="AP126" s="105"/>
      <c r="AQ126" s="105"/>
      <c r="AR126" s="105"/>
      <c r="AS126" s="105"/>
      <c r="AT126" s="105"/>
      <c r="AU126" s="105"/>
      <c r="AV126" s="105"/>
      <c r="AW126" s="105"/>
      <c r="AX126" s="105"/>
      <c r="AY126" s="105"/>
      <c r="AZ126" s="105"/>
      <c r="BA126" s="105"/>
      <c r="BB126" s="105"/>
      <c r="BC126" s="105"/>
      <c r="BD126" s="105"/>
      <c r="BE126" s="105"/>
      <c r="BF126" s="105"/>
      <c r="BG126" s="105"/>
      <c r="BH126" s="105"/>
    </row>
    <row r="127" spans="1:60" ht="55.2" x14ac:dyDescent="0.3">
      <c r="A127" s="4" t="s">
        <v>489</v>
      </c>
      <c r="B127" s="4" t="s">
        <v>866</v>
      </c>
      <c r="C127" s="4" t="s">
        <v>867</v>
      </c>
      <c r="D127" s="4" t="s">
        <v>868</v>
      </c>
      <c r="E127" s="4" t="s">
        <v>829</v>
      </c>
      <c r="F127" s="4" t="s">
        <v>470</v>
      </c>
      <c r="G127" s="2" t="s">
        <v>293</v>
      </c>
      <c r="H127" s="2">
        <v>124</v>
      </c>
      <c r="I127" s="2" t="s">
        <v>386</v>
      </c>
      <c r="J127" s="2"/>
      <c r="K127" s="2" t="s">
        <v>490</v>
      </c>
      <c r="L127" s="2" t="str">
        <f>_xlfn.TEXTJOIN("|",FALSE,Table1[[#This Row],[Target Entity]],Table1[[#This Row],[Target DEV SB ID]])</f>
        <v>Epic|Wbs168</v>
      </c>
      <c r="M127" s="2" t="s">
        <v>508</v>
      </c>
      <c r="N127" s="2" t="s">
        <v>5821</v>
      </c>
      <c r="O127" s="2"/>
      <c r="P127" s="2" t="s">
        <v>1095</v>
      </c>
      <c r="Q127" s="2" t="s">
        <v>19</v>
      </c>
      <c r="R127" s="2" t="s">
        <v>19</v>
      </c>
      <c r="S127" s="2" t="s">
        <v>6268</v>
      </c>
      <c r="T127" s="2" t="s">
        <v>1095</v>
      </c>
      <c r="U127" s="2" t="s">
        <v>509</v>
      </c>
      <c r="V127" s="2" t="s">
        <v>6261</v>
      </c>
      <c r="W127" s="2" t="str">
        <f>_xlfn.XLOOKUP(Table1[[#This Row],[Source PROD ID]],Prod_fields[ID],Prod_fields[Attribute Name],"0-Not Found",0,1)</f>
        <v>0-Not Found</v>
      </c>
      <c r="X127" s="2" t="str">
        <f>_xlfn.XLOOKUP(Table1[[#This Row],[Target DEV SB ID]],New_fields[ID],New_fields[Attribute Name],"0-Not Found",0,1)</f>
        <v>Ready for L3 Epic Approval?</v>
      </c>
      <c r="Y127" s="2" t="b">
        <f>Table1[[#This Row],[Prod Source field name]]=Table1[[#This Row],[New instance Target field name]]</f>
        <v>0</v>
      </c>
      <c r="Z127" s="2" t="b">
        <f>Table1[[#This Row],[Target Field Name]]=Table1[[#This Row],[New instance Target field name]]</f>
        <v>0</v>
      </c>
      <c r="AA127" s="2" t="s">
        <v>363</v>
      </c>
      <c r="AB127" s="2" t="s">
        <v>539</v>
      </c>
      <c r="AC127" s="2" t="s">
        <v>32</v>
      </c>
      <c r="AD127" s="2" t="s">
        <v>33</v>
      </c>
      <c r="AE127" s="5" t="str">
        <f>_xlfn.TEXTJOIN(CHAR(10),TRUE,VAL_wbs168[])</f>
        <v>Yes
No</v>
      </c>
      <c r="AF127" s="5" t="s">
        <v>1095</v>
      </c>
      <c r="AG127" s="5" t="s">
        <v>540</v>
      </c>
      <c r="AH127" s="5" t="s">
        <v>1095</v>
      </c>
      <c r="AI127" s="5" t="s">
        <v>1095</v>
      </c>
      <c r="AJ127" s="5" t="s">
        <v>1095</v>
      </c>
      <c r="AK127" s="5" t="s">
        <v>1095</v>
      </c>
      <c r="AL127" s="5"/>
      <c r="AM127" s="105"/>
      <c r="AN127" s="105"/>
      <c r="AO127" s="105"/>
      <c r="AP127" s="105"/>
      <c r="AQ127" s="105"/>
      <c r="AR127" s="105"/>
      <c r="AS127" s="105"/>
      <c r="AT127" s="105"/>
      <c r="AU127" s="105"/>
      <c r="AV127" s="105"/>
      <c r="AW127" s="105"/>
      <c r="AX127" s="105"/>
      <c r="AY127" s="105"/>
      <c r="AZ127" s="105"/>
      <c r="BA127" s="105"/>
      <c r="BB127" s="105"/>
      <c r="BC127" s="105"/>
      <c r="BD127" s="105"/>
      <c r="BE127" s="105"/>
      <c r="BF127" s="105"/>
      <c r="BG127" s="105"/>
      <c r="BH127" s="105"/>
    </row>
    <row r="128" spans="1:60" ht="248.4" x14ac:dyDescent="0.3">
      <c r="A128" s="4" t="s">
        <v>489</v>
      </c>
      <c r="B128" s="4" t="s">
        <v>866</v>
      </c>
      <c r="C128" s="4" t="s">
        <v>709</v>
      </c>
      <c r="D128" s="4" t="s">
        <v>510</v>
      </c>
      <c r="E128" s="4" t="s">
        <v>1095</v>
      </c>
      <c r="F128" s="4" t="s">
        <v>869</v>
      </c>
      <c r="G128" s="2" t="s">
        <v>293</v>
      </c>
      <c r="H128" s="2">
        <v>125</v>
      </c>
      <c r="I128" s="2" t="s">
        <v>386</v>
      </c>
      <c r="J128" s="2"/>
      <c r="K128" s="2" t="s">
        <v>490</v>
      </c>
      <c r="L128" s="2" t="str">
        <f>_xlfn.TEXTJOIN("|",FALSE,Table1[[#This Row],[Target Entity]],Table1[[#This Row],[Target DEV SB ID]])</f>
        <v>Epic|Wbs165</v>
      </c>
      <c r="M128" s="2" t="s">
        <v>510</v>
      </c>
      <c r="N128" s="2" t="s">
        <v>5821</v>
      </c>
      <c r="O128" s="2"/>
      <c r="P128" s="2" t="s">
        <v>871</v>
      </c>
      <c r="Q128" s="2" t="s">
        <v>19</v>
      </c>
      <c r="R128" s="2" t="s">
        <v>19</v>
      </c>
      <c r="S128" s="2" t="s">
        <v>6268</v>
      </c>
      <c r="T128" s="2" t="s">
        <v>1095</v>
      </c>
      <c r="U128" s="2" t="s">
        <v>511</v>
      </c>
      <c r="V128" s="2" t="s">
        <v>6197</v>
      </c>
      <c r="W128" s="2" t="str">
        <f>_xlfn.XLOOKUP(Table1[[#This Row],[Source PROD ID]],Prod_fields[ID],Prod_fields[Attribute Name],"0-Not Found",0,1)</f>
        <v>0-Not Found</v>
      </c>
      <c r="X128" s="2" t="str">
        <f>_xlfn.XLOOKUP(Table1[[#This Row],[Target DEV SB ID]],New_fields[ID],New_fields[Attribute Name],"0-Not Found",0,1)</f>
        <v>L3 Epic Approval</v>
      </c>
      <c r="Y128" s="2" t="b">
        <f>Table1[[#This Row],[Prod Source field name]]=Table1[[#This Row],[New instance Target field name]]</f>
        <v>0</v>
      </c>
      <c r="Z128" s="2" t="b">
        <f>Table1[[#This Row],[Target Field Name]]=Table1[[#This Row],[New instance Target field name]]</f>
        <v>0</v>
      </c>
      <c r="AA128" s="2" t="s">
        <v>363</v>
      </c>
      <c r="AB128" s="2" t="s">
        <v>539</v>
      </c>
      <c r="AC128" s="2" t="s">
        <v>32</v>
      </c>
      <c r="AD128" s="2" t="s">
        <v>33</v>
      </c>
      <c r="AE128" s="5" t="str">
        <f>_xlfn.TEXTJOIN(CHAR(10),TRUE,VAL_wbs165[])</f>
        <v>Approved
Not Approved</v>
      </c>
      <c r="AF128" s="5" t="s">
        <v>1095</v>
      </c>
      <c r="AG128" s="5" t="s">
        <v>540</v>
      </c>
      <c r="AH128" s="5" t="s">
        <v>1095</v>
      </c>
      <c r="AI128" s="5" t="s">
        <v>1095</v>
      </c>
      <c r="AJ128" s="5" t="s">
        <v>1095</v>
      </c>
      <c r="AK128" s="5" t="s">
        <v>1095</v>
      </c>
      <c r="AL128" s="5"/>
      <c r="AM128" s="105"/>
      <c r="AN128" s="105"/>
      <c r="AO128" s="105"/>
      <c r="AP128" s="105"/>
      <c r="AQ128" s="105"/>
      <c r="AR128" s="105"/>
      <c r="AS128" s="105"/>
      <c r="AT128" s="105"/>
      <c r="AU128" s="105"/>
      <c r="AV128" s="105"/>
      <c r="AW128" s="105"/>
      <c r="AX128" s="105"/>
      <c r="AY128" s="105"/>
      <c r="AZ128" s="105"/>
      <c r="BA128" s="105"/>
      <c r="BB128" s="105"/>
      <c r="BC128" s="105"/>
      <c r="BD128" s="105"/>
      <c r="BE128" s="105"/>
      <c r="BF128" s="105"/>
      <c r="BG128" s="105"/>
      <c r="BH128" s="105"/>
    </row>
    <row r="129" spans="1:60" ht="55.2" x14ac:dyDescent="0.3">
      <c r="A129" s="4" t="s">
        <v>489</v>
      </c>
      <c r="B129" s="4" t="s">
        <v>866</v>
      </c>
      <c r="C129" s="4" t="s">
        <v>709</v>
      </c>
      <c r="D129" s="4" t="s">
        <v>510</v>
      </c>
      <c r="E129" s="4" t="s">
        <v>1095</v>
      </c>
      <c r="F129" s="4" t="s">
        <v>869</v>
      </c>
      <c r="G129" s="2" t="s">
        <v>293</v>
      </c>
      <c r="H129" s="2">
        <v>126</v>
      </c>
      <c r="I129" s="2" t="s">
        <v>386</v>
      </c>
      <c r="J129" s="2"/>
      <c r="K129" s="2" t="s">
        <v>490</v>
      </c>
      <c r="L129" s="2" t="str">
        <f>_xlfn.TEXTJOIN("|",FALSE,Table1[[#This Row],[Target Entity]],Table1[[#This Row],[Target DEV SB ID]])</f>
        <v>Epic|fdx_epic_apprv_notes</v>
      </c>
      <c r="M129" s="2" t="s">
        <v>512</v>
      </c>
      <c r="N129" s="2" t="s">
        <v>5821</v>
      </c>
      <c r="O129" s="2"/>
      <c r="P129" s="2" t="s">
        <v>1095</v>
      </c>
      <c r="Q129" s="2" t="s">
        <v>19</v>
      </c>
      <c r="R129" s="2" t="s">
        <v>19</v>
      </c>
      <c r="S129" s="2" t="s">
        <v>3491</v>
      </c>
      <c r="T129" s="2" t="s">
        <v>1095</v>
      </c>
      <c r="U129" s="2" t="s">
        <v>513</v>
      </c>
      <c r="V129" s="2"/>
      <c r="W129" s="2" t="str">
        <f>_xlfn.XLOOKUP(Table1[[#This Row],[Source PROD ID]],Prod_fields[ID],Prod_fields[Attribute Name],"0-Not Found",0,1)</f>
        <v>0-Not Found</v>
      </c>
      <c r="X129" s="2" t="str">
        <f>_xlfn.XLOOKUP(Table1[[#This Row],[Target DEV SB ID]],New_fields[ID],New_fields[Attribute Name],"0-Not Found",0,1)</f>
        <v>L3 Epic Approval Notes</v>
      </c>
      <c r="Y129" s="2" t="b">
        <f>Table1[[#This Row],[Prod Source field name]]=Table1[[#This Row],[New instance Target field name]]</f>
        <v>0</v>
      </c>
      <c r="Z129" s="2" t="b">
        <f>Table1[[#This Row],[Target Field Name]]=Table1[[#This Row],[New instance Target field name]]</f>
        <v>0</v>
      </c>
      <c r="AA129" s="2" t="s">
        <v>18</v>
      </c>
      <c r="AB129" s="2" t="s">
        <v>539</v>
      </c>
      <c r="AC129" s="2"/>
      <c r="AD129" s="2" t="s">
        <v>19</v>
      </c>
      <c r="AE129" s="5"/>
      <c r="AF129" s="5" t="s">
        <v>1095</v>
      </c>
      <c r="AG129" s="5" t="s">
        <v>540</v>
      </c>
      <c r="AH129" s="5" t="s">
        <v>1095</v>
      </c>
      <c r="AI129" s="5" t="s">
        <v>1095</v>
      </c>
      <c r="AJ129" s="5" t="s">
        <v>1095</v>
      </c>
      <c r="AK129" s="5" t="s">
        <v>1095</v>
      </c>
      <c r="AL129" s="5"/>
      <c r="AM129" s="105"/>
      <c r="AN129" s="105"/>
      <c r="AO129" s="105"/>
      <c r="AP129" s="105"/>
      <c r="AQ129" s="105"/>
      <c r="AR129" s="105"/>
      <c r="AS129" s="105"/>
      <c r="AT129" s="105"/>
      <c r="AU129" s="105"/>
      <c r="AV129" s="105"/>
      <c r="AW129" s="105"/>
      <c r="AX129" s="105"/>
      <c r="AY129" s="105"/>
      <c r="AZ129" s="105"/>
      <c r="BA129" s="105"/>
      <c r="BB129" s="105"/>
      <c r="BC129" s="105"/>
      <c r="BD129" s="105"/>
      <c r="BE129" s="105"/>
      <c r="BF129" s="105"/>
      <c r="BG129" s="105"/>
      <c r="BH129" s="105"/>
    </row>
    <row r="130" spans="1:60" ht="179.4" x14ac:dyDescent="0.3">
      <c r="A130" s="4" t="s">
        <v>489</v>
      </c>
      <c r="B130" s="4" t="s">
        <v>866</v>
      </c>
      <c r="C130" s="4" t="s">
        <v>714</v>
      </c>
      <c r="D130" s="4" t="s">
        <v>715</v>
      </c>
      <c r="E130" s="4"/>
      <c r="F130" s="4"/>
      <c r="G130" s="2" t="s">
        <v>293</v>
      </c>
      <c r="H130" s="2">
        <v>126.1</v>
      </c>
      <c r="I130" s="2"/>
      <c r="J130" s="2"/>
      <c r="K130" s="2" t="s">
        <v>481</v>
      </c>
      <c r="L130" s="2" t="str">
        <f>_xlfn.TEXTJOIN("|",FALSE,Table1[[#This Row],[Target Entity]],Table1[[#This Row],[Target DEV SB ID]])</f>
        <v>Demand Bundle|</v>
      </c>
      <c r="M130" s="102"/>
      <c r="N130" s="2" t="s">
        <v>5815</v>
      </c>
      <c r="O130" s="2" t="s">
        <v>6256</v>
      </c>
      <c r="P130" s="2" t="s">
        <v>6092</v>
      </c>
      <c r="Q130" s="2"/>
      <c r="R130" s="2"/>
      <c r="S130" s="2"/>
      <c r="T130" s="2"/>
      <c r="U130" s="2"/>
      <c r="V130" s="2"/>
      <c r="W130" s="2" t="str">
        <f>_xlfn.XLOOKUP(Table1[[#This Row],[Source PROD ID]],Prod_fields[ID],Prod_fields[Attribute Name],"0-Not Found",0,1)</f>
        <v>0-Not Found</v>
      </c>
      <c r="X130" s="2" t="str">
        <f>_xlfn.XLOOKUP(Table1[[#This Row],[Target DEV SB ID]],New_fields[ID],New_fields[Attribute Name],"0-Not Found",0,1)</f>
        <v>0-Not Found</v>
      </c>
      <c r="Y130" s="2" t="b">
        <f>Table1[[#This Row],[Prod Source field name]]=Table1[[#This Row],[New instance Target field name]]</f>
        <v>1</v>
      </c>
      <c r="Z130" s="2" t="b">
        <f>Table1[[#This Row],[Target Field Name]]=Table1[[#This Row],[New instance Target field name]]</f>
        <v>0</v>
      </c>
      <c r="AA130" s="2"/>
      <c r="AB130" s="2"/>
      <c r="AC130" s="2"/>
      <c r="AD130" s="2"/>
      <c r="AE130" s="5"/>
      <c r="AF130" s="5"/>
      <c r="AG130" s="5"/>
      <c r="AH130" s="5"/>
      <c r="AI130" s="5"/>
      <c r="AJ130" s="5"/>
      <c r="AK130" s="5"/>
      <c r="AL130" s="2"/>
      <c r="AM130" s="112"/>
      <c r="AN130" s="112"/>
      <c r="AO130" s="112"/>
      <c r="AP130" s="2"/>
      <c r="AQ130" s="2"/>
      <c r="AR130" s="2"/>
      <c r="AS130" s="2"/>
      <c r="AT130" s="2"/>
      <c r="AU130" s="2"/>
      <c r="AV130" s="2"/>
      <c r="AW130" s="2"/>
      <c r="AX130" s="2"/>
      <c r="AY130" s="2"/>
      <c r="AZ130" s="2"/>
      <c r="BA130" s="2"/>
      <c r="BB130" s="2"/>
      <c r="BC130" s="2"/>
      <c r="BD130" s="2"/>
      <c r="BE130" s="2"/>
      <c r="BF130" s="2"/>
      <c r="BG130" s="2"/>
      <c r="BH130" s="2"/>
    </row>
    <row r="131" spans="1:60" ht="138" x14ac:dyDescent="0.3">
      <c r="A131" s="4" t="s">
        <v>489</v>
      </c>
      <c r="B131" s="4" t="s">
        <v>866</v>
      </c>
      <c r="C131" s="4" t="s">
        <v>714</v>
      </c>
      <c r="D131" s="4" t="s">
        <v>5935</v>
      </c>
      <c r="E131" s="4"/>
      <c r="F131" s="4" t="s">
        <v>147</v>
      </c>
      <c r="G131" s="2" t="s">
        <v>293</v>
      </c>
      <c r="H131" s="2">
        <v>126.2</v>
      </c>
      <c r="I131" s="2"/>
      <c r="J131" s="2"/>
      <c r="K131" s="2" t="s">
        <v>490</v>
      </c>
      <c r="L131" s="2" t="str">
        <f>_xlfn.TEXTJOIN("|",FALSE,Table1[[#This Row],[Target Entity]],Table1[[#This Row],[Target DEV SB ID]])</f>
        <v>Epic|</v>
      </c>
      <c r="M131" s="102"/>
      <c r="N131" s="2" t="s">
        <v>5815</v>
      </c>
      <c r="O131" s="2" t="s">
        <v>6256</v>
      </c>
      <c r="P131" s="2" t="s">
        <v>6093</v>
      </c>
      <c r="Q131" s="2"/>
      <c r="R131" s="2"/>
      <c r="S131" s="2"/>
      <c r="T131" s="2"/>
      <c r="U131" s="2"/>
      <c r="V131" s="2"/>
      <c r="W131" s="2" t="str">
        <f>_xlfn.XLOOKUP(Table1[[#This Row],[Source PROD ID]],Prod_fields[ID],Prod_fields[Attribute Name],"0-Not Found",0,1)</f>
        <v>0-Not Found</v>
      </c>
      <c r="X131" s="2" t="str">
        <f>_xlfn.XLOOKUP(Table1[[#This Row],[Target DEV SB ID]],New_fields[ID],New_fields[Attribute Name],"0-Not Found",0,1)</f>
        <v>0-Not Found</v>
      </c>
      <c r="Y131" s="2" t="b">
        <f>Table1[[#This Row],[Prod Source field name]]=Table1[[#This Row],[New instance Target field name]]</f>
        <v>1</v>
      </c>
      <c r="Z131" s="2" t="b">
        <f>Table1[[#This Row],[Target Field Name]]=Table1[[#This Row],[New instance Target field name]]</f>
        <v>0</v>
      </c>
      <c r="AA131" s="2"/>
      <c r="AB131" s="2"/>
      <c r="AC131" s="2"/>
      <c r="AD131" s="2"/>
      <c r="AE131" s="5"/>
      <c r="AF131" s="5"/>
      <c r="AG131" s="5"/>
      <c r="AH131" s="5"/>
      <c r="AI131" s="5"/>
      <c r="AJ131" s="5"/>
      <c r="AK131" s="5"/>
      <c r="AL131" s="2"/>
      <c r="AM131" s="112"/>
      <c r="AN131" s="112"/>
      <c r="AO131" s="112"/>
      <c r="AP131" s="2"/>
      <c r="AQ131" s="2"/>
      <c r="AR131" s="2"/>
      <c r="AS131" s="2"/>
      <c r="AT131" s="2"/>
      <c r="AU131" s="2"/>
      <c r="AV131" s="2"/>
      <c r="AW131" s="2"/>
      <c r="AX131" s="2"/>
      <c r="AY131" s="2"/>
      <c r="AZ131" s="2"/>
      <c r="BA131" s="2"/>
      <c r="BB131" s="2"/>
      <c r="BC131" s="2"/>
      <c r="BD131" s="2"/>
      <c r="BE131" s="2"/>
      <c r="BF131" s="2"/>
      <c r="BG131" s="2"/>
      <c r="BH131" s="2"/>
    </row>
    <row r="132" spans="1:60" ht="41.4" x14ac:dyDescent="0.3">
      <c r="A132" s="4" t="s">
        <v>489</v>
      </c>
      <c r="B132" s="4" t="s">
        <v>866</v>
      </c>
      <c r="C132" s="4" t="s">
        <v>709</v>
      </c>
      <c r="D132" s="4" t="s">
        <v>717</v>
      </c>
      <c r="E132" s="4" t="s">
        <v>1095</v>
      </c>
      <c r="F132" s="4" t="s">
        <v>42</v>
      </c>
      <c r="G132" s="2" t="s">
        <v>293</v>
      </c>
      <c r="H132" s="2">
        <v>127</v>
      </c>
      <c r="I132" s="2" t="s">
        <v>386</v>
      </c>
      <c r="J132" s="2"/>
      <c r="K132" s="2" t="s">
        <v>490</v>
      </c>
      <c r="L132" s="2" t="str">
        <f>_xlfn.TEXTJOIN("|",FALSE,Table1[[#This Row],[Target Entity]],Table1[[#This Row],[Target DEV SB ID]])</f>
        <v>Epic|Wbs137</v>
      </c>
      <c r="M132" s="2" t="s">
        <v>514</v>
      </c>
      <c r="N132" s="2" t="s">
        <v>5821</v>
      </c>
      <c r="O132" s="2"/>
      <c r="P132" s="2" t="s">
        <v>1095</v>
      </c>
      <c r="Q132" s="2" t="s">
        <v>19</v>
      </c>
      <c r="R132" s="2" t="s">
        <v>19</v>
      </c>
      <c r="S132" s="2" t="s">
        <v>6268</v>
      </c>
      <c r="T132" s="2" t="s">
        <v>1095</v>
      </c>
      <c r="U132" s="2" t="s">
        <v>348</v>
      </c>
      <c r="V132" s="2"/>
      <c r="W132" s="2" t="str">
        <f>_xlfn.XLOOKUP(Table1[[#This Row],[Source PROD ID]],Prod_fields[ID],Prod_fields[Attribute Name],"0-Not Found",0,1)</f>
        <v>0-Not Found</v>
      </c>
      <c r="X132" s="2" t="str">
        <f>_xlfn.XLOOKUP(Table1[[#This Row],[Target DEV SB ID]],New_fields[ID],New_fields[Attribute Name],"0-Not Found",0,1)</f>
        <v>L3 EPM Review 2</v>
      </c>
      <c r="Y132" s="2" t="b">
        <f>Table1[[#This Row],[Prod Source field name]]=Table1[[#This Row],[New instance Target field name]]</f>
        <v>0</v>
      </c>
      <c r="Z132" s="2" t="b">
        <f>Table1[[#This Row],[Target Field Name]]=Table1[[#This Row],[New instance Target field name]]</f>
        <v>0</v>
      </c>
      <c r="AA132" s="2" t="s">
        <v>363</v>
      </c>
      <c r="AB132" s="2" t="s">
        <v>539</v>
      </c>
      <c r="AC132" s="2" t="s">
        <v>32</v>
      </c>
      <c r="AD132" s="2" t="s">
        <v>33</v>
      </c>
      <c r="AE132" s="5" t="str">
        <f>_xlfn.TEXTJOIN(CHAR(10),TRUE,VAL_wbs137[])</f>
        <v>Passed Quality Check
Not Ready - Feedback Requested</v>
      </c>
      <c r="AF132" s="5" t="s">
        <v>1095</v>
      </c>
      <c r="AG132" s="5" t="s">
        <v>540</v>
      </c>
      <c r="AH132" s="5" t="s">
        <v>1095</v>
      </c>
      <c r="AI132" s="5" t="s">
        <v>1095</v>
      </c>
      <c r="AJ132" s="5" t="s">
        <v>1095</v>
      </c>
      <c r="AK132" s="5" t="s">
        <v>1095</v>
      </c>
      <c r="AL132" s="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row>
    <row r="133" spans="1:60" ht="41.4" x14ac:dyDescent="0.3">
      <c r="A133" s="4" t="s">
        <v>489</v>
      </c>
      <c r="B133" s="4" t="s">
        <v>866</v>
      </c>
      <c r="C133" s="4" t="s">
        <v>709</v>
      </c>
      <c r="D133" s="4" t="s">
        <v>710</v>
      </c>
      <c r="E133" s="4"/>
      <c r="F133" s="4" t="s">
        <v>42</v>
      </c>
      <c r="G133" s="2" t="s">
        <v>293</v>
      </c>
      <c r="H133" s="2">
        <v>127.1</v>
      </c>
      <c r="I133" s="2" t="s">
        <v>386</v>
      </c>
      <c r="J133" s="2"/>
      <c r="K133" s="2" t="s">
        <v>490</v>
      </c>
      <c r="L133" s="2" t="str">
        <f>_xlfn.TEXTJOIN("|",FALSE,Table1[[#This Row],[Target Entity]],Table1[[#This Row],[Target DEV SB ID]])</f>
        <v>Epic|fdx_epic_epm_notes2</v>
      </c>
      <c r="M133" s="2" t="s">
        <v>1544</v>
      </c>
      <c r="N133" s="2" t="s">
        <v>5821</v>
      </c>
      <c r="O133" s="2" t="s">
        <v>6257</v>
      </c>
      <c r="P133" s="2"/>
      <c r="Q133" s="2" t="s">
        <v>19</v>
      </c>
      <c r="R133" s="2" t="s">
        <v>19</v>
      </c>
      <c r="S133" s="2" t="s">
        <v>3491</v>
      </c>
      <c r="T133" s="2"/>
      <c r="U133" s="2" t="s">
        <v>1545</v>
      </c>
      <c r="V133" s="2" t="s">
        <v>5957</v>
      </c>
      <c r="W133" s="2" t="str">
        <f>_xlfn.XLOOKUP(Table1[[#This Row],[Source PROD ID]],Prod_fields[ID],Prod_fields[Attribute Name],"0-Not Found",0,1)</f>
        <v>0-Not Found</v>
      </c>
      <c r="X133" s="2" t="str">
        <f>_xlfn.XLOOKUP(Table1[[#This Row],[Target DEV SB ID]],New_fields[ID],New_fields[Attribute Name],"0-Not Found",0,1)</f>
        <v>L3 EPM Review 2 Notes</v>
      </c>
      <c r="Y133" s="2" t="b">
        <f>Table1[[#This Row],[Prod Source field name]]=Table1[[#This Row],[New instance Target field name]]</f>
        <v>0</v>
      </c>
      <c r="Z133" s="2" t="b">
        <f>Table1[[#This Row],[Target Field Name]]=Table1[[#This Row],[New instance Target field name]]</f>
        <v>1</v>
      </c>
      <c r="AA133" s="2" t="s">
        <v>18</v>
      </c>
      <c r="AB133" s="2" t="s">
        <v>539</v>
      </c>
      <c r="AC133" s="2"/>
      <c r="AD133" s="2"/>
      <c r="AE133" s="5"/>
      <c r="AF133" s="5"/>
      <c r="AG133" s="5" t="s">
        <v>540</v>
      </c>
      <c r="AH133" s="5"/>
      <c r="AI133" s="5"/>
      <c r="AJ133" s="5"/>
      <c r="AK133" s="5"/>
      <c r="AL133" s="2"/>
      <c r="AM133" s="112"/>
      <c r="AN133" s="112"/>
      <c r="AO133" s="112"/>
      <c r="AP133" s="2"/>
      <c r="AQ133" s="2"/>
      <c r="AR133" s="2"/>
      <c r="AS133" s="2"/>
      <c r="AT133" s="2"/>
      <c r="AU133" s="2"/>
      <c r="AV133" s="2"/>
      <c r="AW133" s="2"/>
      <c r="AX133" s="2"/>
      <c r="AY133" s="2"/>
      <c r="AZ133" s="2"/>
      <c r="BA133" s="2"/>
      <c r="BB133" s="2"/>
      <c r="BC133" s="2"/>
      <c r="BD133" s="2"/>
      <c r="BE133" s="2"/>
      <c r="BF133" s="2"/>
      <c r="BG133" s="2"/>
      <c r="BH133" s="2"/>
    </row>
    <row r="134" spans="1:60" ht="262.2" x14ac:dyDescent="0.3">
      <c r="A134" s="4" t="s">
        <v>489</v>
      </c>
      <c r="B134" s="4" t="s">
        <v>866</v>
      </c>
      <c r="C134" s="4" t="s">
        <v>719</v>
      </c>
      <c r="D134" s="4" t="s">
        <v>719</v>
      </c>
      <c r="E134" s="4" t="s">
        <v>1095</v>
      </c>
      <c r="F134" s="4" t="s">
        <v>470</v>
      </c>
      <c r="G134" s="2" t="s">
        <v>293</v>
      </c>
      <c r="H134" s="2">
        <v>128</v>
      </c>
      <c r="I134" s="2" t="s">
        <v>386</v>
      </c>
      <c r="J134" s="2"/>
      <c r="K134" s="2" t="s">
        <v>490</v>
      </c>
      <c r="L134" s="2" t="str">
        <f>_xlfn.TEXTJOIN("|",FALSE,Table1[[#This Row],[Target Entity]],Table1[[#This Row],[Target DEV SB ID]])</f>
        <v>Epic|Wbs102</v>
      </c>
      <c r="M134" s="2" t="s">
        <v>349</v>
      </c>
      <c r="N134" s="2" t="s">
        <v>5815</v>
      </c>
      <c r="O134" s="2" t="s">
        <v>6271</v>
      </c>
      <c r="P134" s="2" t="s">
        <v>872</v>
      </c>
      <c r="Q134" s="2" t="s">
        <v>33</v>
      </c>
      <c r="R134" s="2" t="s">
        <v>33</v>
      </c>
      <c r="S134" s="2" t="s">
        <v>350</v>
      </c>
      <c r="T134" s="2" t="s">
        <v>350</v>
      </c>
      <c r="U134" s="2" t="s">
        <v>350</v>
      </c>
      <c r="V134" s="2"/>
      <c r="W134" s="2" t="str">
        <f>_xlfn.XLOOKUP(Table1[[#This Row],[Source PROD ID]],Prod_fields[ID],Prod_fields[Attribute Name],"0-Not Found",0,1)</f>
        <v>Ready to Close: Epic Intent has been met</v>
      </c>
      <c r="X134" s="2" t="str">
        <f>_xlfn.XLOOKUP(Table1[[#This Row],[Target DEV SB ID]],New_fields[ID],New_fields[Attribute Name],"0-Not Found",0,1)</f>
        <v>Ready to Close: Epic Intent has been met?</v>
      </c>
      <c r="Y134" s="2" t="b">
        <f>Table1[[#This Row],[Prod Source field name]]=Table1[[#This Row],[New instance Target field name]]</f>
        <v>0</v>
      </c>
      <c r="Z134" s="2" t="b">
        <f>Table1[[#This Row],[Target Field Name]]=Table1[[#This Row],[New instance Target field name]]</f>
        <v>0</v>
      </c>
      <c r="AA134" s="2" t="s">
        <v>515</v>
      </c>
      <c r="AB134" s="2" t="s">
        <v>539</v>
      </c>
      <c r="AC134" s="2" t="s">
        <v>32</v>
      </c>
      <c r="AD134" s="2" t="s">
        <v>33</v>
      </c>
      <c r="AE134" s="5" t="str">
        <f>_xlfn.TEXTJOIN(CHAR(10),TRUE,VAL_WBS102_Ready[])</f>
        <v>Yes - Intent Met
No - Close Anyways</v>
      </c>
      <c r="AF134" s="5" t="s">
        <v>6094</v>
      </c>
      <c r="AG134" s="5" t="s">
        <v>540</v>
      </c>
      <c r="AH134" s="5" t="s">
        <v>1095</v>
      </c>
      <c r="AI134" s="5" t="s">
        <v>1095</v>
      </c>
      <c r="AJ134" s="5" t="s">
        <v>1095</v>
      </c>
      <c r="AK134" s="5" t="s">
        <v>1095</v>
      </c>
      <c r="AL134" s="5"/>
      <c r="AM134" s="105"/>
      <c r="AN134" s="105"/>
      <c r="AO134" s="105"/>
      <c r="AP134" s="105"/>
      <c r="AQ134" s="105"/>
      <c r="AR134" s="105"/>
      <c r="AS134" s="105"/>
      <c r="AT134" s="105"/>
      <c r="AU134" s="105"/>
      <c r="AV134" s="105"/>
      <c r="AW134" s="105"/>
      <c r="AX134" s="105"/>
      <c r="AY134" s="105"/>
      <c r="AZ134" s="105"/>
      <c r="BA134" s="105"/>
      <c r="BB134" s="105"/>
      <c r="BC134" s="105"/>
      <c r="BD134" s="105"/>
      <c r="BE134" s="105"/>
      <c r="BF134" s="105"/>
      <c r="BG134" s="105"/>
      <c r="BH134" s="105"/>
    </row>
    <row r="135" spans="1:60" ht="41.4" x14ac:dyDescent="0.3">
      <c r="A135" s="4" t="s">
        <v>489</v>
      </c>
      <c r="B135" s="4" t="s">
        <v>866</v>
      </c>
      <c r="C135" s="4" t="s">
        <v>719</v>
      </c>
      <c r="D135" s="4" t="s">
        <v>719</v>
      </c>
      <c r="E135" s="4" t="s">
        <v>1095</v>
      </c>
      <c r="F135" s="4" t="s">
        <v>470</v>
      </c>
      <c r="G135" s="2" t="s">
        <v>293</v>
      </c>
      <c r="H135" s="2">
        <v>129</v>
      </c>
      <c r="I135" s="2" t="s">
        <v>386</v>
      </c>
      <c r="J135" s="2"/>
      <c r="K135" s="2" t="s">
        <v>490</v>
      </c>
      <c r="L135" s="2" t="str">
        <f>_xlfn.TEXTJOIN("|",FALSE,Table1[[#This Row],[Target Entity]],Table1[[#This Row],[Target DEV SB ID]])</f>
        <v>Epic|fdx_results</v>
      </c>
      <c r="M135" s="2" t="s">
        <v>352</v>
      </c>
      <c r="N135" s="2" t="s">
        <v>5821</v>
      </c>
      <c r="O135" s="2"/>
      <c r="P135" s="2" t="s">
        <v>1095</v>
      </c>
      <c r="Q135" s="2" t="s">
        <v>33</v>
      </c>
      <c r="R135" s="2" t="s">
        <v>33</v>
      </c>
      <c r="S135" s="2" t="s">
        <v>353</v>
      </c>
      <c r="T135" s="2" t="s">
        <v>353</v>
      </c>
      <c r="U135" s="2" t="s">
        <v>353</v>
      </c>
      <c r="V135" s="2"/>
      <c r="W135" s="2" t="str">
        <f>_xlfn.XLOOKUP(Table1[[#This Row],[Source PROD ID]],Prod_fields[ID],Prod_fields[Attribute Name],"0-Not Found",0,1)</f>
        <v>Results/Outcome Notes</v>
      </c>
      <c r="X135" s="2" t="str">
        <f>_xlfn.XLOOKUP(Table1[[#This Row],[Target DEV SB ID]],New_fields[ID],New_fields[Attribute Name],"0-Not Found",0,1)</f>
        <v>Results/Outcome Notes</v>
      </c>
      <c r="Y135" s="2" t="b">
        <f>Table1[[#This Row],[Prod Source field name]]=Table1[[#This Row],[New instance Target field name]]</f>
        <v>1</v>
      </c>
      <c r="Z135" s="2" t="b">
        <f>Table1[[#This Row],[Target Field Name]]=Table1[[#This Row],[New instance Target field name]]</f>
        <v>1</v>
      </c>
      <c r="AA135" s="2" t="s">
        <v>18</v>
      </c>
      <c r="AB135" s="2" t="s">
        <v>539</v>
      </c>
      <c r="AC135" s="2"/>
      <c r="AD135" s="2" t="s">
        <v>19</v>
      </c>
      <c r="AE135" s="5"/>
      <c r="AF135" s="5" t="s">
        <v>6095</v>
      </c>
      <c r="AG135" s="5" t="s">
        <v>540</v>
      </c>
      <c r="AH135" s="5" t="s">
        <v>1095</v>
      </c>
      <c r="AI135" s="5" t="s">
        <v>1095</v>
      </c>
      <c r="AJ135" s="5" t="s">
        <v>1095</v>
      </c>
      <c r="AK135" s="5" t="s">
        <v>1095</v>
      </c>
      <c r="AL135" s="5"/>
      <c r="AM135" s="105"/>
      <c r="AN135" s="105"/>
      <c r="AO135" s="105"/>
      <c r="AP135" s="105"/>
      <c r="AQ135" s="105"/>
      <c r="AR135" s="105"/>
      <c r="AS135" s="105"/>
      <c r="AT135" s="105"/>
      <c r="AU135" s="105"/>
      <c r="AV135" s="105"/>
      <c r="AW135" s="105"/>
      <c r="AX135" s="105"/>
      <c r="AY135" s="105"/>
      <c r="AZ135" s="105"/>
      <c r="BA135" s="105"/>
      <c r="BB135" s="105"/>
      <c r="BC135" s="105"/>
      <c r="BD135" s="105"/>
      <c r="BE135" s="105"/>
      <c r="BF135" s="105"/>
      <c r="BG135" s="105"/>
      <c r="BH135" s="105"/>
    </row>
    <row r="136" spans="1:60" ht="55.2" x14ac:dyDescent="0.3">
      <c r="A136" s="4" t="s">
        <v>516</v>
      </c>
      <c r="B136" s="4" t="s">
        <v>1095</v>
      </c>
      <c r="C136" s="4" t="s">
        <v>873</v>
      </c>
      <c r="D136" s="4" t="s">
        <v>873</v>
      </c>
      <c r="E136" s="4" t="s">
        <v>1095</v>
      </c>
      <c r="F136" s="4" t="s">
        <v>38</v>
      </c>
      <c r="G136" s="2" t="s">
        <v>360</v>
      </c>
      <c r="H136" s="2">
        <v>130</v>
      </c>
      <c r="I136" s="2" t="s">
        <v>386</v>
      </c>
      <c r="J136" s="2"/>
      <c r="K136" s="2" t="s">
        <v>481</v>
      </c>
      <c r="L136" s="2" t="str">
        <f>_xlfn.TEXTJOIN("|",FALSE,Table1[[#This Row],[Target Entity]],Table1[[#This Row],[Target DEV SB ID]])</f>
        <v>Demand Bundle|Wbs159</v>
      </c>
      <c r="M136" s="2" t="s">
        <v>517</v>
      </c>
      <c r="N136" s="2" t="s">
        <v>5815</v>
      </c>
      <c r="O136" s="2" t="s">
        <v>6271</v>
      </c>
      <c r="P136" s="2" t="s">
        <v>874</v>
      </c>
      <c r="Q136" s="2" t="s">
        <v>1095</v>
      </c>
      <c r="R136" s="2" t="s">
        <v>1095</v>
      </c>
      <c r="S136" s="2" t="s">
        <v>3491</v>
      </c>
      <c r="T136" s="2" t="s">
        <v>1095</v>
      </c>
      <c r="U136" s="2" t="s">
        <v>367</v>
      </c>
      <c r="V136" s="2" t="s">
        <v>6259</v>
      </c>
      <c r="W136" s="2" t="str">
        <f>_xlfn.XLOOKUP(Table1[[#This Row],[Source PROD ID]],Prod_fields[ID],Prod_fields[Attribute Name],"0-Not Found",0,1)</f>
        <v>0-Not Found</v>
      </c>
      <c r="X136" s="2" t="str">
        <f>_xlfn.XLOOKUP(Table1[[#This Row],[Target DEV SB ID]],New_fields[ID],New_fields[Attribute Name],"0-Not Found",0,1)</f>
        <v>SL4 Close Work Bundle - Business Finance Approval</v>
      </c>
      <c r="Y136" s="2" t="b">
        <f>Table1[[#This Row],[Prod Source field name]]=Table1[[#This Row],[New instance Target field name]]</f>
        <v>0</v>
      </c>
      <c r="Z136" s="2" t="b">
        <f>Table1[[#This Row],[Target Field Name]]=Table1[[#This Row],[New instance Target field name]]</f>
        <v>0</v>
      </c>
      <c r="AA136" s="2" t="s">
        <v>515</v>
      </c>
      <c r="AB136" s="2" t="s">
        <v>539</v>
      </c>
      <c r="AC136" s="2" t="s">
        <v>32</v>
      </c>
      <c r="AD136" s="2" t="s">
        <v>33</v>
      </c>
      <c r="AE136" s="5" t="str">
        <f>_xlfn.TEXTJOIN(CHAR(10),TRUE,VAL_wbs159[])</f>
        <v>Approved
Not Approved - Feedback Requested</v>
      </c>
      <c r="AF136" s="5" t="s">
        <v>1095</v>
      </c>
      <c r="AG136" s="5" t="s">
        <v>540</v>
      </c>
      <c r="AH136" s="5" t="s">
        <v>1095</v>
      </c>
      <c r="AI136" s="5" t="s">
        <v>1095</v>
      </c>
      <c r="AJ136" s="5" t="s">
        <v>1095</v>
      </c>
      <c r="AK136" s="5" t="s">
        <v>1095</v>
      </c>
      <c r="AL136" s="5"/>
      <c r="AM136" s="105"/>
      <c r="AN136" s="105"/>
      <c r="AO136" s="105"/>
      <c r="AP136" s="105"/>
      <c r="AQ136" s="105"/>
      <c r="AR136" s="105"/>
      <c r="AS136" s="105"/>
      <c r="AT136" s="105"/>
      <c r="AU136" s="105"/>
      <c r="AV136" s="105"/>
      <c r="AW136" s="105"/>
      <c r="AX136" s="105"/>
      <c r="AY136" s="105"/>
      <c r="AZ136" s="105"/>
      <c r="BA136" s="105"/>
      <c r="BB136" s="105"/>
      <c r="BC136" s="105"/>
      <c r="BD136" s="105"/>
      <c r="BE136" s="105"/>
      <c r="BF136" s="105"/>
      <c r="BG136" s="105"/>
      <c r="BH136" s="105"/>
    </row>
    <row r="137" spans="1:60" ht="55.2" x14ac:dyDescent="0.3">
      <c r="A137" s="4" t="s">
        <v>516</v>
      </c>
      <c r="B137" s="4" t="s">
        <v>1095</v>
      </c>
      <c r="C137" s="4" t="s">
        <v>873</v>
      </c>
      <c r="D137" s="4" t="s">
        <v>873</v>
      </c>
      <c r="E137" s="4" t="s">
        <v>1095</v>
      </c>
      <c r="F137" s="4" t="s">
        <v>38</v>
      </c>
      <c r="G137" s="2" t="s">
        <v>360</v>
      </c>
      <c r="H137" s="2">
        <v>131</v>
      </c>
      <c r="I137" s="2" t="s">
        <v>386</v>
      </c>
      <c r="J137" s="2"/>
      <c r="K137" s="2" t="s">
        <v>481</v>
      </c>
      <c r="L137" s="2" t="str">
        <f>_xlfn.TEXTJOIN("|",FALSE,Table1[[#This Row],[Target Entity]],Table1[[#This Row],[Target DEV SB ID]])</f>
        <v>Demand Bundle|fdx_l4_bfin_apv_note</v>
      </c>
      <c r="M137" s="2" t="s">
        <v>518</v>
      </c>
      <c r="N137" s="2" t="s">
        <v>5815</v>
      </c>
      <c r="O137" s="2" t="s">
        <v>6271</v>
      </c>
      <c r="P137" s="2" t="s">
        <v>874</v>
      </c>
      <c r="Q137" s="2" t="s">
        <v>1095</v>
      </c>
      <c r="R137" s="2" t="s">
        <v>1095</v>
      </c>
      <c r="S137" s="2" t="s">
        <v>3491</v>
      </c>
      <c r="T137" s="2" t="s">
        <v>1095</v>
      </c>
      <c r="U137" s="2" t="s">
        <v>369</v>
      </c>
      <c r="V137" s="2" t="s">
        <v>6259</v>
      </c>
      <c r="W137" s="2" t="str">
        <f>_xlfn.XLOOKUP(Table1[[#This Row],[Source PROD ID]],Prod_fields[ID],Prod_fields[Attribute Name],"0-Not Found",0,1)</f>
        <v>0-Not Found</v>
      </c>
      <c r="X137" s="2" t="str">
        <f>_xlfn.XLOOKUP(Table1[[#This Row],[Target DEV SB ID]],New_fields[ID],New_fields[Attribute Name],"0-Not Found",0,1)</f>
        <v>SL4 Close Work Bundle - Business Finance Approval Notes</v>
      </c>
      <c r="Y137" s="2" t="b">
        <f>Table1[[#This Row],[Prod Source field name]]=Table1[[#This Row],[New instance Target field name]]</f>
        <v>0</v>
      </c>
      <c r="Z137" s="2" t="b">
        <f>Table1[[#This Row],[Target Field Name]]=Table1[[#This Row],[New instance Target field name]]</f>
        <v>0</v>
      </c>
      <c r="AA137" s="2" t="s">
        <v>18</v>
      </c>
      <c r="AB137" s="2" t="s">
        <v>539</v>
      </c>
      <c r="AC137" s="2"/>
      <c r="AD137" s="2" t="s">
        <v>19</v>
      </c>
      <c r="AE137" s="5"/>
      <c r="AF137" s="5" t="s">
        <v>1095</v>
      </c>
      <c r="AG137" s="5" t="s">
        <v>540</v>
      </c>
      <c r="AH137" s="5" t="s">
        <v>1095</v>
      </c>
      <c r="AI137" s="5" t="s">
        <v>1095</v>
      </c>
      <c r="AJ137" s="5" t="s">
        <v>1095</v>
      </c>
      <c r="AK137" s="5" t="s">
        <v>1095</v>
      </c>
      <c r="AL137" s="5"/>
      <c r="AM137" s="105"/>
      <c r="AN137" s="105"/>
      <c r="AO137" s="105"/>
      <c r="AP137" s="105"/>
      <c r="AQ137" s="105"/>
      <c r="AR137" s="105"/>
      <c r="AS137" s="105"/>
      <c r="AT137" s="105"/>
      <c r="AU137" s="105"/>
      <c r="AV137" s="105"/>
      <c r="AW137" s="105"/>
      <c r="AX137" s="105"/>
      <c r="AY137" s="105"/>
      <c r="AZ137" s="105"/>
      <c r="BA137" s="105"/>
      <c r="BB137" s="105"/>
      <c r="BC137" s="105"/>
      <c r="BD137" s="105"/>
      <c r="BE137" s="105"/>
      <c r="BF137" s="105"/>
      <c r="BG137" s="105"/>
      <c r="BH137" s="105"/>
    </row>
    <row r="138" spans="1:60" ht="96.6" x14ac:dyDescent="0.3">
      <c r="A138" s="4" t="s">
        <v>516</v>
      </c>
      <c r="B138" s="4" t="s">
        <v>797</v>
      </c>
      <c r="C138" s="4" t="s">
        <v>875</v>
      </c>
      <c r="D138" s="4" t="s">
        <v>876</v>
      </c>
      <c r="E138" s="4" t="s">
        <v>1095</v>
      </c>
      <c r="F138" s="4" t="s">
        <v>470</v>
      </c>
      <c r="G138" s="2" t="s">
        <v>360</v>
      </c>
      <c r="H138" s="2">
        <v>132</v>
      </c>
      <c r="I138" s="2" t="s">
        <v>386</v>
      </c>
      <c r="J138" s="2"/>
      <c r="K138" s="2" t="s">
        <v>481</v>
      </c>
      <c r="L138" s="2" t="str">
        <f>_xlfn.TEXTJOIN("|",FALSE,Table1[[#This Row],[Target Entity]],Table1[[#This Row],[Target DEV SB ID]])</f>
        <v>Demand Bundle|Wbs167</v>
      </c>
      <c r="M138" s="2" t="s">
        <v>519</v>
      </c>
      <c r="N138" s="2" t="s">
        <v>5821</v>
      </c>
      <c r="O138" s="2"/>
      <c r="P138" s="2" t="s">
        <v>877</v>
      </c>
      <c r="Q138" s="2" t="s">
        <v>19</v>
      </c>
      <c r="R138" s="2" t="s">
        <v>19</v>
      </c>
      <c r="S138" s="2" t="s">
        <v>3491</v>
      </c>
      <c r="T138" s="2" t="s">
        <v>1095</v>
      </c>
      <c r="U138" s="2" t="s">
        <v>520</v>
      </c>
      <c r="V138" s="2"/>
      <c r="W138" s="2" t="str">
        <f>_xlfn.XLOOKUP(Table1[[#This Row],[Source PROD ID]],Prod_fields[ID],Prod_fields[Attribute Name],"0-Not Found",0,1)</f>
        <v>0-Not Found</v>
      </c>
      <c r="X138" s="2" t="str">
        <f>_xlfn.XLOOKUP(Table1[[#This Row],[Target DEV SB ID]],New_fields[ID],New_fields[Attribute Name],"0-Not Found",0,1)</f>
        <v>Ready to Close: Work Bundle Intent has been met?</v>
      </c>
      <c r="Y138" s="2" t="b">
        <f>Table1[[#This Row],[Prod Source field name]]=Table1[[#This Row],[New instance Target field name]]</f>
        <v>0</v>
      </c>
      <c r="Z138" s="2" t="b">
        <f>Table1[[#This Row],[Target Field Name]]=Table1[[#This Row],[New instance Target field name]]</f>
        <v>1</v>
      </c>
      <c r="AA138" s="2" t="s">
        <v>515</v>
      </c>
      <c r="AB138" s="2" t="s">
        <v>539</v>
      </c>
      <c r="AC138" s="2" t="s">
        <v>32</v>
      </c>
      <c r="AD138" s="2" t="s">
        <v>33</v>
      </c>
      <c r="AE138" s="5" t="str">
        <f>_xlfn.TEXTJOIN(CHAR(10),TRUE,VAL_wbs167[])</f>
        <v>Yes - Intent Met
No - Closes Anyways</v>
      </c>
      <c r="AF138" s="5" t="s">
        <v>6094</v>
      </c>
      <c r="AG138" s="5" t="s">
        <v>540</v>
      </c>
      <c r="AH138" s="5" t="s">
        <v>1095</v>
      </c>
      <c r="AI138" s="5" t="s">
        <v>1095</v>
      </c>
      <c r="AJ138" s="5" t="s">
        <v>1095</v>
      </c>
      <c r="AK138" s="5" t="s">
        <v>1095</v>
      </c>
      <c r="AL138" s="5"/>
      <c r="AM138" s="105"/>
      <c r="AN138" s="105"/>
      <c r="AO138" s="105"/>
      <c r="AP138" s="105"/>
      <c r="AQ138" s="105"/>
      <c r="AR138" s="105"/>
      <c r="AS138" s="105"/>
      <c r="AT138" s="105"/>
      <c r="AU138" s="105"/>
      <c r="AV138" s="105"/>
      <c r="AW138" s="105"/>
      <c r="AX138" s="105"/>
      <c r="AY138" s="105"/>
      <c r="AZ138" s="105"/>
      <c r="BA138" s="105"/>
      <c r="BB138" s="105"/>
      <c r="BC138" s="105"/>
      <c r="BD138" s="105"/>
      <c r="BE138" s="105"/>
      <c r="BF138" s="105"/>
      <c r="BG138" s="105"/>
      <c r="BH138" s="105"/>
    </row>
    <row r="139" spans="1:60" ht="234.6" x14ac:dyDescent="0.3">
      <c r="A139" s="4" t="s">
        <v>516</v>
      </c>
      <c r="B139" s="4" t="s">
        <v>797</v>
      </c>
      <c r="C139" s="4" t="s">
        <v>875</v>
      </c>
      <c r="D139" s="4" t="s">
        <v>876</v>
      </c>
      <c r="E139" s="4" t="s">
        <v>1095</v>
      </c>
      <c r="F139" s="4" t="s">
        <v>470</v>
      </c>
      <c r="G139" s="2" t="s">
        <v>360</v>
      </c>
      <c r="H139" s="2">
        <v>133</v>
      </c>
      <c r="I139" s="2" t="s">
        <v>386</v>
      </c>
      <c r="J139" s="2"/>
      <c r="K139" s="2" t="s">
        <v>521</v>
      </c>
      <c r="L139" s="2" t="str">
        <f>_xlfn.TEXTJOIN("|",FALSE,Table1[[#This Row],[Target Entity]],Table1[[#This Row],[Target DEV SB ID]])</f>
        <v>Epic - TASK|Wbs102</v>
      </c>
      <c r="M139" s="2" t="s">
        <v>522</v>
      </c>
      <c r="N139" s="2" t="s">
        <v>5821</v>
      </c>
      <c r="O139" s="2"/>
      <c r="P139" s="2" t="s">
        <v>878</v>
      </c>
      <c r="Q139" s="2" t="s">
        <v>33</v>
      </c>
      <c r="R139" s="2" t="s">
        <v>33</v>
      </c>
      <c r="S139" s="2" t="s">
        <v>350</v>
      </c>
      <c r="T139" s="2" t="s">
        <v>350</v>
      </c>
      <c r="U139" s="2" t="s">
        <v>350</v>
      </c>
      <c r="V139" s="2"/>
      <c r="W139" s="2" t="str">
        <f>_xlfn.XLOOKUP(Table1[[#This Row],[Source PROD ID]],Prod_fields[ID],Prod_fields[Attribute Name],"0-Not Found",0,1)</f>
        <v>Ready to Close: Epic Intent has been met</v>
      </c>
      <c r="X139" s="2" t="str">
        <f>_xlfn.XLOOKUP(Table1[[#This Row],[Target DEV SB ID]],New_fields[ID],New_fields[Attribute Name],"0-Not Found",0,1)</f>
        <v>Ready to Close: Epic Intent has been met?</v>
      </c>
      <c r="Y139" s="2" t="b">
        <f>Table1[[#This Row],[Prod Source field name]]=Table1[[#This Row],[New instance Target field name]]</f>
        <v>0</v>
      </c>
      <c r="Z139" s="2" t="b">
        <f>Table1[[#This Row],[Target Field Name]]=Table1[[#This Row],[New instance Target field name]]</f>
        <v>1</v>
      </c>
      <c r="AA139" s="2" t="s">
        <v>515</v>
      </c>
      <c r="AB139" s="2" t="s">
        <v>539</v>
      </c>
      <c r="AC139" s="2" t="s">
        <v>32</v>
      </c>
      <c r="AD139" s="2" t="s">
        <v>33</v>
      </c>
      <c r="AE139" s="5" t="str">
        <f>_xlfn.TEXTJOIN(CHAR(10),TRUE,VAL_WBS102_Ready[])</f>
        <v>Yes - Intent Met
No - Close Anyways</v>
      </c>
      <c r="AF139" s="5" t="s">
        <v>6094</v>
      </c>
      <c r="AG139" s="5" t="s">
        <v>540</v>
      </c>
      <c r="AH139" s="5" t="s">
        <v>1095</v>
      </c>
      <c r="AI139" s="5" t="s">
        <v>1095</v>
      </c>
      <c r="AJ139" s="5" t="s">
        <v>1095</v>
      </c>
      <c r="AK139" s="5" t="s">
        <v>1095</v>
      </c>
      <c r="AL139" s="5"/>
      <c r="AM139" s="105"/>
      <c r="AN139" s="105"/>
      <c r="AO139" s="105"/>
      <c r="AP139" s="105"/>
      <c r="AQ139" s="105"/>
      <c r="AR139" s="105"/>
      <c r="AS139" s="105"/>
      <c r="AT139" s="105"/>
      <c r="AU139" s="105"/>
      <c r="AV139" s="105"/>
      <c r="AW139" s="105"/>
      <c r="AX139" s="105"/>
      <c r="AY139" s="105"/>
      <c r="AZ139" s="105"/>
      <c r="BA139" s="105"/>
      <c r="BB139" s="105"/>
      <c r="BC139" s="105"/>
      <c r="BD139" s="105"/>
      <c r="BE139" s="105"/>
      <c r="BF139" s="105"/>
      <c r="BG139" s="105"/>
      <c r="BH139" s="105"/>
    </row>
    <row r="140" spans="1:60" ht="55.2" x14ac:dyDescent="0.3">
      <c r="A140" s="4"/>
      <c r="B140" s="4" t="s">
        <v>6096</v>
      </c>
      <c r="C140" s="4" t="s">
        <v>6096</v>
      </c>
      <c r="D140" s="4" t="s">
        <v>6096</v>
      </c>
      <c r="E140" s="4" t="s">
        <v>6096</v>
      </c>
      <c r="F140" s="4" t="s">
        <v>6096</v>
      </c>
      <c r="G140" s="2"/>
      <c r="H140" s="2"/>
      <c r="I140" s="2"/>
      <c r="J140" s="2"/>
      <c r="K140" s="2"/>
      <c r="L140" s="2" t="str">
        <f>_xlfn.TEXTJOIN("|",FALSE,Table1[[#This Row],[Target Entity]],Table1[[#This Row],[Target DEV SB ID]])</f>
        <v>|</v>
      </c>
      <c r="M140" s="2" t="s">
        <v>5961</v>
      </c>
      <c r="N140" s="2" t="s">
        <v>5827</v>
      </c>
      <c r="O140" s="2"/>
      <c r="P140" s="2" t="s">
        <v>6096</v>
      </c>
      <c r="Q140" s="2" t="s">
        <v>6096</v>
      </c>
      <c r="R140" s="2" t="s">
        <v>6096</v>
      </c>
      <c r="S140" s="2"/>
      <c r="T140" s="2"/>
      <c r="U140" s="2"/>
      <c r="V140" s="2"/>
      <c r="W140" s="2" t="str">
        <f>_xlfn.XLOOKUP(Table1[[#This Row],[Source PROD ID]],Prod_fields[ID],Prod_fields[Attribute Name],"0-Not Found",0,1)</f>
        <v>0-Not Found</v>
      </c>
      <c r="X140" s="2" t="str">
        <f>_xlfn.XLOOKUP(Table1[[#This Row],[Target DEV SB ID]],New_fields[ID],New_fields[Attribute Name],"0-Not Found",0,1)</f>
        <v>0-Not Found</v>
      </c>
      <c r="Y140" s="2" t="b">
        <f>Table1[[#This Row],[Prod Source field name]]=Table1[[#This Row],[New instance Target field name]]</f>
        <v>1</v>
      </c>
      <c r="Z140" s="2" t="b">
        <f>Table1[[#This Row],[Target Field Name]]=Table1[[#This Row],[New instance Target field name]]</f>
        <v>0</v>
      </c>
      <c r="AA140" s="2"/>
      <c r="AB140" s="2" t="s">
        <v>6096</v>
      </c>
      <c r="AC140" s="2"/>
      <c r="AD140" s="2"/>
      <c r="AE140" s="5"/>
      <c r="AF140" s="5" t="s">
        <v>6096</v>
      </c>
      <c r="AG140" s="5" t="s">
        <v>6096</v>
      </c>
      <c r="AH140" s="5" t="s">
        <v>6096</v>
      </c>
      <c r="AI140" s="5" t="s">
        <v>6096</v>
      </c>
      <c r="AJ140" s="5" t="s">
        <v>6096</v>
      </c>
      <c r="AK140" s="5" t="s">
        <v>6096</v>
      </c>
      <c r="AL140" s="5"/>
      <c r="AM140" s="112"/>
      <c r="AN140" s="112"/>
      <c r="AO140" s="112"/>
      <c r="AP140" s="2"/>
      <c r="AQ140" s="2"/>
      <c r="AR140" s="2"/>
      <c r="AS140" s="2"/>
      <c r="AT140" s="2"/>
      <c r="AU140" s="2"/>
      <c r="AV140" s="2"/>
      <c r="AW140" s="2"/>
      <c r="AX140" s="2"/>
      <c r="AY140" s="2"/>
      <c r="AZ140" s="2"/>
      <c r="BA140" s="2"/>
      <c r="BB140" s="2"/>
      <c r="BC140" s="2"/>
      <c r="BD140" s="2"/>
      <c r="BE140" s="2"/>
      <c r="BF140" s="2"/>
      <c r="BG140" s="2"/>
      <c r="BH140" s="2"/>
    </row>
    <row r="141" spans="1:60" ht="41.4" x14ac:dyDescent="0.3">
      <c r="A141" s="9"/>
      <c r="B141" s="9" t="s">
        <v>744</v>
      </c>
      <c r="C141" s="9" t="s">
        <v>1095</v>
      </c>
      <c r="D141" s="9" t="s">
        <v>546</v>
      </c>
      <c r="E141" s="9" t="s">
        <v>1095</v>
      </c>
      <c r="F141" s="9" t="s">
        <v>809</v>
      </c>
      <c r="G141" s="10"/>
      <c r="H141" s="2"/>
      <c r="I141" s="10"/>
      <c r="J141" s="10"/>
      <c r="K141" s="10"/>
      <c r="L141" s="10" t="str">
        <f>_xlfn.TEXTJOIN("|",FALSE,Table1[[#This Row],[Target Entity]],Table1[[#This Row],[Target DEV SB ID]])</f>
        <v>|190985</v>
      </c>
      <c r="M141" s="10" t="s">
        <v>36</v>
      </c>
      <c r="N141" s="10" t="s">
        <v>5827</v>
      </c>
      <c r="O141" s="10"/>
      <c r="P141" s="10" t="s">
        <v>1095</v>
      </c>
      <c r="Q141" s="10" t="s">
        <v>19</v>
      </c>
      <c r="R141" s="10" t="s">
        <v>33</v>
      </c>
      <c r="S141" s="10"/>
      <c r="T141" s="10">
        <v>178311</v>
      </c>
      <c r="U141" s="10">
        <v>190985</v>
      </c>
      <c r="V141" s="10"/>
      <c r="W141" s="10" t="str">
        <f>_xlfn.XLOOKUP(Table1[[#This Row],[Source PROD ID]],Prod_fields[ID],Prod_fields[Attribute Name],"0-Not Found",0,1)</f>
        <v>0-Not Found</v>
      </c>
      <c r="X141" s="10" t="str">
        <f>_xlfn.XLOOKUP(Table1[[#This Row],[Target DEV SB ID]],New_fields[ID],New_fields[Attribute Name],"0-Not Found",0,1)</f>
        <v>0-Not Found</v>
      </c>
      <c r="Y141" s="10" t="b">
        <f>Table1[[#This Row],[Prod Source field name]]=Table1[[#This Row],[New instance Target field name]]</f>
        <v>1</v>
      </c>
      <c r="Z141" s="10" t="b">
        <f>Table1[[#This Row],[Target Field Name]]=Table1[[#This Row],[New instance Target field name]]</f>
        <v>0</v>
      </c>
      <c r="AA141" s="10"/>
      <c r="AB141" s="10" t="s">
        <v>539</v>
      </c>
      <c r="AC141" s="10"/>
      <c r="AD141" s="10"/>
      <c r="AE141" s="5"/>
      <c r="AF141" s="11" t="s">
        <v>6035</v>
      </c>
      <c r="AG141" s="11" t="s">
        <v>540</v>
      </c>
      <c r="AH141" s="11" t="s">
        <v>33</v>
      </c>
      <c r="AI141" s="11" t="s">
        <v>1095</v>
      </c>
      <c r="AJ141" s="11" t="s">
        <v>1095</v>
      </c>
      <c r="AK141" s="11" t="s">
        <v>1095</v>
      </c>
      <c r="AL141" s="11"/>
      <c r="AM141" s="115"/>
      <c r="AN141" s="115"/>
      <c r="AO141" s="115"/>
      <c r="AP141" s="10"/>
      <c r="AQ141" s="10"/>
      <c r="AR141" s="10"/>
      <c r="AS141" s="10"/>
      <c r="AT141" s="10"/>
      <c r="AU141" s="10"/>
      <c r="AV141" s="10"/>
      <c r="AW141" s="10"/>
      <c r="AX141" s="10"/>
      <c r="AY141" s="10"/>
      <c r="AZ141" s="10"/>
      <c r="BA141" s="10"/>
      <c r="BB141" s="10"/>
      <c r="BC141" s="10"/>
      <c r="BD141" s="10"/>
      <c r="BE141" s="10"/>
      <c r="BF141" s="10"/>
      <c r="BG141" s="10"/>
      <c r="BH141" s="10"/>
    </row>
    <row r="142" spans="1:60" ht="41.4" x14ac:dyDescent="0.3">
      <c r="A142" s="9"/>
      <c r="B142" s="9" t="s">
        <v>6306</v>
      </c>
      <c r="C142" s="9" t="s">
        <v>6287</v>
      </c>
      <c r="D142" s="9"/>
      <c r="E142" s="9"/>
      <c r="F142" s="9"/>
      <c r="G142" s="10" t="s">
        <v>6307</v>
      </c>
      <c r="H142" s="10"/>
      <c r="I142" s="2" t="s">
        <v>386</v>
      </c>
      <c r="J142" s="10"/>
      <c r="K142" s="10"/>
      <c r="L142" s="10" t="str">
        <f>_xlfn.TEXTJOIN("|",FALSE,Table1[[#This Row],[Target Entity]],Table1[[#This Row],[Target DEV SB ID]])</f>
        <v>|</v>
      </c>
      <c r="M142" s="10" t="s">
        <v>242</v>
      </c>
      <c r="N142" s="10" t="s">
        <v>5813</v>
      </c>
      <c r="O142" s="10"/>
      <c r="P142" s="10"/>
      <c r="Q142" s="10"/>
      <c r="R142" s="10"/>
      <c r="S142" s="10" t="s">
        <v>243</v>
      </c>
      <c r="T142" s="10"/>
      <c r="U142" s="10"/>
      <c r="V142" s="10"/>
      <c r="W142" s="10" t="str">
        <f>_xlfn.XLOOKUP(Table1[[#This Row],[Source PROD ID]],Prod_fields[ID],Prod_fields[Attribute Name],"0-Not Found",0,1)</f>
        <v>Sequence ID</v>
      </c>
      <c r="X142" s="10" t="str">
        <f>_xlfn.XLOOKUP(Table1[[#This Row],[Target DEV SB ID]],New_fields[ID],New_fields[Attribute Name],"0-Not Found",0,1)</f>
        <v>0-Not Found</v>
      </c>
      <c r="Y142" s="10" t="b">
        <f>Table1[[#This Row],[Prod Source field name]]=Table1[[#This Row],[New instance Target field name]]</f>
        <v>0</v>
      </c>
      <c r="Z142" s="10" t="b">
        <f>Table1[[#This Row],[Target Field Name]]=Table1[[#This Row],[New instance Target field name]]</f>
        <v>0</v>
      </c>
      <c r="AA142" s="10"/>
      <c r="AB142" s="10" t="s">
        <v>6300</v>
      </c>
      <c r="AC142" s="10"/>
      <c r="AD142" s="10"/>
      <c r="AE142" s="11"/>
      <c r="AF142" s="11" t="s">
        <v>6290</v>
      </c>
      <c r="AG142" s="11" t="s">
        <v>6299</v>
      </c>
      <c r="AH142" s="11"/>
      <c r="AI142" s="11"/>
      <c r="AJ142" s="11"/>
      <c r="AK142" s="11"/>
      <c r="AL142" s="10"/>
      <c r="AM142" s="115"/>
      <c r="AN142" s="115"/>
      <c r="AO142" s="115"/>
      <c r="AP142" s="10"/>
      <c r="AQ142" s="10"/>
      <c r="AR142" s="10"/>
      <c r="AS142" s="10"/>
      <c r="AT142" s="10"/>
      <c r="AU142" s="10"/>
      <c r="AV142" s="10"/>
      <c r="AW142" s="10"/>
      <c r="AX142" s="10"/>
      <c r="AY142" s="10"/>
      <c r="AZ142" s="10"/>
      <c r="BA142" s="10"/>
      <c r="BB142" s="10"/>
      <c r="BC142" s="10"/>
      <c r="BD142" s="10"/>
      <c r="BE142" s="10"/>
      <c r="BF142" s="10"/>
      <c r="BG142" s="10"/>
      <c r="BH142" s="10"/>
    </row>
    <row r="143" spans="1:60" ht="41.4" x14ac:dyDescent="0.3">
      <c r="A143" s="4"/>
      <c r="B143" s="9" t="s">
        <v>6306</v>
      </c>
      <c r="C143" s="9" t="s">
        <v>6287</v>
      </c>
      <c r="D143" s="4"/>
      <c r="E143" s="4"/>
      <c r="F143" s="4"/>
      <c r="G143" s="10" t="s">
        <v>6307</v>
      </c>
      <c r="H143" s="2"/>
      <c r="I143" s="2" t="s">
        <v>386</v>
      </c>
      <c r="J143" s="2"/>
      <c r="K143" s="2"/>
      <c r="L143" s="2" t="str">
        <f>_xlfn.TEXTJOIN("|",FALSE,Table1[[#This Row],[Target Entity]],Table1[[#This Row],[Target DEV SB ID]])</f>
        <v>|</v>
      </c>
      <c r="M143" s="2" t="s">
        <v>16</v>
      </c>
      <c r="N143" s="10" t="s">
        <v>5813</v>
      </c>
      <c r="O143" s="2"/>
      <c r="P143" s="2"/>
      <c r="Q143" s="2"/>
      <c r="R143" s="2"/>
      <c r="S143" s="2" t="s">
        <v>6288</v>
      </c>
      <c r="T143" s="2"/>
      <c r="U143" s="2"/>
      <c r="V143" s="2"/>
      <c r="W143" s="2"/>
      <c r="X143" s="2" t="str">
        <f>_xlfn.XLOOKUP(Table1[[#This Row],[Target DEV SB ID]],New_fields[ID],New_fields[Attribute Name],"0-Not Found",0,1)</f>
        <v>0-Not Found</v>
      </c>
      <c r="Y143" s="2" t="b">
        <f>Table1[[#This Row],[Prod Source field name]]=Table1[[#This Row],[New instance Target field name]]</f>
        <v>0</v>
      </c>
      <c r="Z143" s="2" t="b">
        <f>Table1[[#This Row],[Target Field Name]]=Table1[[#This Row],[New instance Target field name]]</f>
        <v>0</v>
      </c>
      <c r="AA143" s="2"/>
      <c r="AB143" s="2" t="s">
        <v>6301</v>
      </c>
      <c r="AC143" s="2"/>
      <c r="AD143" s="2"/>
      <c r="AE143" s="5"/>
      <c r="AF143" s="5" t="s">
        <v>6291</v>
      </c>
      <c r="AG143" s="5" t="s">
        <v>10</v>
      </c>
      <c r="AH143" s="5"/>
      <c r="AI143" s="5"/>
      <c r="AJ143" s="5"/>
      <c r="AK143" s="5"/>
      <c r="AL143" s="2"/>
      <c r="AM143" s="112"/>
      <c r="AN143" s="112"/>
      <c r="AO143" s="112"/>
      <c r="AP143" s="2"/>
      <c r="AQ143" s="2"/>
      <c r="AR143" s="2"/>
      <c r="AS143" s="2"/>
      <c r="AT143" s="2"/>
      <c r="AU143" s="2"/>
      <c r="AV143" s="2"/>
      <c r="AW143" s="2"/>
      <c r="AX143" s="2"/>
      <c r="AY143" s="2"/>
      <c r="AZ143" s="2"/>
      <c r="BA143" s="2"/>
      <c r="BB143" s="2"/>
      <c r="BC143" s="2"/>
      <c r="BD143" s="2"/>
      <c r="BE143" s="2"/>
      <c r="BF143" s="2"/>
      <c r="BG143" s="2"/>
      <c r="BH143" s="2"/>
    </row>
    <row r="144" spans="1:60" ht="41.4" x14ac:dyDescent="0.3">
      <c r="A144" s="4"/>
      <c r="B144" s="9" t="s">
        <v>6306</v>
      </c>
      <c r="C144" s="9" t="s">
        <v>6287</v>
      </c>
      <c r="D144" s="4"/>
      <c r="E144" s="4"/>
      <c r="F144" s="4"/>
      <c r="G144" s="10" t="s">
        <v>6307</v>
      </c>
      <c r="H144" s="2"/>
      <c r="I144" s="2" t="s">
        <v>386</v>
      </c>
      <c r="J144" s="2"/>
      <c r="K144" s="2"/>
      <c r="L144" s="2" t="str">
        <f>_xlfn.TEXTJOIN("|",FALSE,Table1[[#This Row],[Target Entity]],Table1[[#This Row],[Target DEV SB ID]])</f>
        <v>|</v>
      </c>
      <c r="M144" s="2" t="s">
        <v>154</v>
      </c>
      <c r="N144" s="10" t="s">
        <v>5813</v>
      </c>
      <c r="O144" s="2"/>
      <c r="P144" s="2"/>
      <c r="Q144" s="2"/>
      <c r="R144" s="2"/>
      <c r="S144" s="2" t="s">
        <v>155</v>
      </c>
      <c r="T144" s="2"/>
      <c r="U144" s="2"/>
      <c r="V144" s="2"/>
      <c r="W144" s="2" t="str">
        <f>_xlfn.XLOOKUP(Table1[[#This Row],[Source PROD ID]],Prod_fields[ID],Prod_fields[Attribute Name],"0-Not Found",0,1)</f>
        <v>Work Description</v>
      </c>
      <c r="X144" s="2" t="str">
        <f>_xlfn.XLOOKUP(Table1[[#This Row],[Target DEV SB ID]],New_fields[ID],New_fields[Attribute Name],"0-Not Found",0,1)</f>
        <v>0-Not Found</v>
      </c>
      <c r="Y144" s="2" t="b">
        <f>Table1[[#This Row],[Prod Source field name]]=Table1[[#This Row],[New instance Target field name]]</f>
        <v>0</v>
      </c>
      <c r="Z144" s="2" t="b">
        <f>Table1[[#This Row],[Target Field Name]]=Table1[[#This Row],[New instance Target field name]]</f>
        <v>0</v>
      </c>
      <c r="AA144" s="2"/>
      <c r="AB144" s="2" t="s">
        <v>6302</v>
      </c>
      <c r="AC144" s="2"/>
      <c r="AD144" s="2"/>
      <c r="AE144" s="5"/>
      <c r="AF144" s="5" t="s">
        <v>6292</v>
      </c>
      <c r="AG144" s="5" t="s">
        <v>10</v>
      </c>
      <c r="AH144" s="5"/>
      <c r="AI144" s="5"/>
      <c r="AJ144" s="5"/>
      <c r="AK144" s="5"/>
      <c r="AL144" s="2"/>
      <c r="AM144" s="112"/>
      <c r="AN144" s="112"/>
      <c r="AO144" s="112"/>
      <c r="AP144" s="2"/>
      <c r="AQ144" s="2"/>
      <c r="AR144" s="2"/>
      <c r="AS144" s="2"/>
      <c r="AT144" s="2"/>
      <c r="AU144" s="2"/>
      <c r="AV144" s="2"/>
      <c r="AW144" s="2"/>
      <c r="AX144" s="2"/>
      <c r="AY144" s="2"/>
      <c r="AZ144" s="2"/>
      <c r="BA144" s="2"/>
      <c r="BB144" s="2"/>
      <c r="BC144" s="2"/>
      <c r="BD144" s="2"/>
      <c r="BE144" s="2"/>
      <c r="BF144" s="2"/>
      <c r="BG144" s="2"/>
      <c r="BH144" s="2"/>
    </row>
    <row r="145" spans="1:60" x14ac:dyDescent="0.3">
      <c r="A145" s="4"/>
      <c r="B145" s="4"/>
      <c r="C145" s="4"/>
      <c r="D145" s="4"/>
      <c r="E145" s="4"/>
      <c r="F145" s="4"/>
      <c r="G145" s="2"/>
      <c r="H145" s="2"/>
      <c r="I145" s="2"/>
      <c r="J145" s="2"/>
      <c r="K145" s="2"/>
      <c r="L145" s="2" t="str">
        <f>_xlfn.TEXTJOIN("|",FALSE,Table1[[#This Row],[Target Entity]],Table1[[#This Row],[Target DEV SB ID]])</f>
        <v>|</v>
      </c>
      <c r="M145" s="2" t="s">
        <v>300</v>
      </c>
      <c r="N145" s="10" t="s">
        <v>5813</v>
      </c>
      <c r="O145" s="2"/>
      <c r="P145" s="2"/>
      <c r="Q145" s="2"/>
      <c r="R145" s="2"/>
      <c r="S145" s="2"/>
      <c r="T145" s="2"/>
      <c r="U145" s="2"/>
      <c r="V145" s="2"/>
      <c r="W145" s="2" t="str">
        <f>_xlfn.XLOOKUP(Table1[[#This Row],[Source PROD ID]],Prod_fields[ID],Prod_fields[Attribute Name],"0-Not Found",0,1)</f>
        <v>0-Not Found</v>
      </c>
      <c r="X145" s="2" t="str">
        <f>_xlfn.XLOOKUP(Table1[[#This Row],[Target DEV SB ID]],New_fields[ID],New_fields[Attribute Name],"0-Not Found",0,1)</f>
        <v>0-Not Found</v>
      </c>
      <c r="Y145" s="2" t="b">
        <f>Table1[[#This Row],[Prod Source field name]]=Table1[[#This Row],[New instance Target field name]]</f>
        <v>1</v>
      </c>
      <c r="Z145" s="2" t="b">
        <f>Table1[[#This Row],[Target Field Name]]=Table1[[#This Row],[New instance Target field name]]</f>
        <v>0</v>
      </c>
      <c r="AA145" s="2"/>
      <c r="AB145" s="2"/>
      <c r="AC145" s="2"/>
      <c r="AD145" s="2"/>
      <c r="AE145" s="5"/>
      <c r="AF145" s="5"/>
      <c r="AG145" s="5"/>
      <c r="AH145" s="5"/>
      <c r="AI145" s="5"/>
      <c r="AJ145" s="5"/>
      <c r="AK145" s="5"/>
      <c r="AL145" s="2"/>
      <c r="AM145" s="112"/>
      <c r="AN145" s="112"/>
      <c r="AO145" s="112"/>
      <c r="AP145" s="2"/>
      <c r="AQ145" s="2"/>
      <c r="AR145" s="2"/>
      <c r="AS145" s="2"/>
      <c r="AT145" s="2"/>
      <c r="AU145" s="2"/>
      <c r="AV145" s="2"/>
      <c r="AW145" s="2"/>
      <c r="AX145" s="2"/>
      <c r="AY145" s="2"/>
      <c r="AZ145" s="2"/>
      <c r="BA145" s="2"/>
      <c r="BB145" s="2"/>
      <c r="BC145" s="2"/>
      <c r="BD145" s="2"/>
      <c r="BE145" s="2"/>
      <c r="BF145" s="2"/>
      <c r="BG145" s="2"/>
      <c r="BH145" s="2"/>
    </row>
    <row r="146" spans="1:60" ht="27.6" x14ac:dyDescent="0.3">
      <c r="A146" s="4"/>
      <c r="B146" s="4"/>
      <c r="C146" s="4"/>
      <c r="D146" s="4"/>
      <c r="E146" s="4"/>
      <c r="F146" s="4"/>
      <c r="G146" s="2"/>
      <c r="H146" s="2"/>
      <c r="I146" s="2"/>
      <c r="J146" s="2"/>
      <c r="K146" s="2"/>
      <c r="L146" s="2" t="str">
        <f>_xlfn.TEXTJOIN("|",FALSE,Table1[[#This Row],[Target Entity]],Table1[[#This Row],[Target DEV SB ID]])</f>
        <v>|</v>
      </c>
      <c r="M146" s="2" t="s">
        <v>6310</v>
      </c>
      <c r="N146" s="10" t="s">
        <v>5813</v>
      </c>
      <c r="O146" s="2"/>
      <c r="P146" s="2"/>
      <c r="Q146" s="2"/>
      <c r="R146" s="2"/>
      <c r="S146" s="2"/>
      <c r="T146" s="2"/>
      <c r="U146" s="2"/>
      <c r="V146" s="2"/>
      <c r="W146" s="2" t="str">
        <f>_xlfn.XLOOKUP(Table1[[#This Row],[Source PROD ID]],Prod_fields[ID],Prod_fields[Attribute Name],"0-Not Found",0,1)</f>
        <v>0-Not Found</v>
      </c>
      <c r="X146" s="2" t="str">
        <f>_xlfn.XLOOKUP(Table1[[#This Row],[Target DEV SB ID]],New_fields[ID],New_fields[Attribute Name],"0-Not Found",0,1)</f>
        <v>0-Not Found</v>
      </c>
      <c r="Y146" s="2" t="b">
        <f>Table1[[#This Row],[Prod Source field name]]=Table1[[#This Row],[New instance Target field name]]</f>
        <v>1</v>
      </c>
      <c r="Z146" s="2" t="b">
        <f>Table1[[#This Row],[Target Field Name]]=Table1[[#This Row],[New instance Target field name]]</f>
        <v>0</v>
      </c>
      <c r="AA146" s="2"/>
      <c r="AB146" s="2"/>
      <c r="AC146" s="2"/>
      <c r="AD146" s="2"/>
      <c r="AE146" s="5"/>
      <c r="AF146" s="5"/>
      <c r="AG146" s="5"/>
      <c r="AH146" s="5"/>
      <c r="AI146" s="5"/>
      <c r="AJ146" s="5"/>
      <c r="AK146" s="5"/>
      <c r="AL146" s="2"/>
      <c r="AM146" s="112"/>
      <c r="AN146" s="112"/>
      <c r="AO146" s="112"/>
      <c r="AP146" s="2"/>
      <c r="AQ146" s="2"/>
      <c r="AR146" s="2"/>
      <c r="AS146" s="2"/>
      <c r="AT146" s="2"/>
      <c r="AU146" s="2"/>
      <c r="AV146" s="2"/>
      <c r="AW146" s="2"/>
      <c r="AX146" s="2"/>
      <c r="AY146" s="2"/>
      <c r="AZ146" s="2"/>
      <c r="BA146" s="2"/>
      <c r="BB146" s="2"/>
      <c r="BC146" s="2"/>
      <c r="BD146" s="2"/>
      <c r="BE146" s="2"/>
      <c r="BF146" s="2"/>
      <c r="BG146" s="2"/>
      <c r="BH146" s="2"/>
    </row>
    <row r="147" spans="1:60" ht="27.6" x14ac:dyDescent="0.3">
      <c r="A147" s="4"/>
      <c r="B147" s="4"/>
      <c r="C147" s="4"/>
      <c r="D147" s="4"/>
      <c r="E147" s="4"/>
      <c r="F147" s="4"/>
      <c r="G147" s="2"/>
      <c r="H147" s="2"/>
      <c r="I147" s="2"/>
      <c r="J147" s="2"/>
      <c r="K147" s="2"/>
      <c r="L147" s="2" t="str">
        <f>_xlfn.TEXTJOIN("|",FALSE,Table1[[#This Row],[Target Entity]],Table1[[#This Row],[Target DEV SB ID]])</f>
        <v>|</v>
      </c>
      <c r="M147" s="2" t="s">
        <v>6310</v>
      </c>
      <c r="N147" s="10" t="s">
        <v>5813</v>
      </c>
      <c r="O147" s="2"/>
      <c r="P147" s="2"/>
      <c r="Q147" s="2"/>
      <c r="R147" s="2"/>
      <c r="S147" s="2"/>
      <c r="T147" s="2"/>
      <c r="U147" s="2"/>
      <c r="V147" s="2"/>
      <c r="W147" s="2" t="str">
        <f>_xlfn.XLOOKUP(Table1[[#This Row],[Source PROD ID]],Prod_fields[ID],Prod_fields[Attribute Name],"0-Not Found",0,1)</f>
        <v>0-Not Found</v>
      </c>
      <c r="X147" s="2" t="str">
        <f>_xlfn.XLOOKUP(Table1[[#This Row],[Target DEV SB ID]],New_fields[ID],New_fields[Attribute Name],"0-Not Found",0,1)</f>
        <v>0-Not Found</v>
      </c>
      <c r="Y147" s="2" t="b">
        <f>Table1[[#This Row],[Prod Source field name]]=Table1[[#This Row],[New instance Target field name]]</f>
        <v>1</v>
      </c>
      <c r="Z147" s="2" t="b">
        <f>Table1[[#This Row],[Target Field Name]]=Table1[[#This Row],[New instance Target field name]]</f>
        <v>0</v>
      </c>
      <c r="AA147" s="2"/>
      <c r="AB147" s="2"/>
      <c r="AC147" s="2"/>
      <c r="AD147" s="2"/>
      <c r="AE147" s="5"/>
      <c r="AF147" s="5"/>
      <c r="AG147" s="5"/>
      <c r="AH147" s="5"/>
      <c r="AI147" s="5"/>
      <c r="AJ147" s="5"/>
      <c r="AK147" s="5"/>
      <c r="AL147" s="2"/>
      <c r="AM147" s="112"/>
      <c r="AN147" s="112"/>
      <c r="AO147" s="112"/>
      <c r="AP147" s="2"/>
      <c r="AQ147" s="2"/>
      <c r="AR147" s="2"/>
      <c r="AS147" s="2"/>
      <c r="AT147" s="2"/>
      <c r="AU147" s="2"/>
      <c r="AV147" s="2"/>
      <c r="AW147" s="2"/>
      <c r="AX147" s="2"/>
      <c r="AY147" s="2"/>
      <c r="AZ147" s="2"/>
      <c r="BA147" s="2"/>
      <c r="BB147" s="2"/>
      <c r="BC147" s="2"/>
      <c r="BD147" s="2"/>
      <c r="BE147" s="2"/>
      <c r="BF147" s="2"/>
      <c r="BG147" s="2"/>
      <c r="BH147" s="2"/>
    </row>
    <row r="148" spans="1:60" ht="27.6" x14ac:dyDescent="0.3">
      <c r="A148" s="4"/>
      <c r="B148" s="4"/>
      <c r="C148" s="4"/>
      <c r="D148" s="4"/>
      <c r="E148" s="4"/>
      <c r="F148" s="4"/>
      <c r="G148" s="2"/>
      <c r="H148" s="2"/>
      <c r="I148" s="2"/>
      <c r="J148" s="2"/>
      <c r="K148" s="2"/>
      <c r="L148" s="2" t="str">
        <f>_xlfn.TEXTJOIN("|",FALSE,Table1[[#This Row],[Target Entity]],Table1[[#This Row],[Target DEV SB ID]])</f>
        <v>|</v>
      </c>
      <c r="M148" s="2" t="s">
        <v>6310</v>
      </c>
      <c r="N148" s="10" t="s">
        <v>5813</v>
      </c>
      <c r="O148" s="2"/>
      <c r="P148" s="2"/>
      <c r="Q148" s="2"/>
      <c r="R148" s="2"/>
      <c r="S148" s="2"/>
      <c r="T148" s="2"/>
      <c r="U148" s="2"/>
      <c r="V148" s="2"/>
      <c r="W148" s="2" t="str">
        <f>_xlfn.XLOOKUP(Table1[[#This Row],[Source PROD ID]],Prod_fields[ID],Prod_fields[Attribute Name],"0-Not Found",0,1)</f>
        <v>0-Not Found</v>
      </c>
      <c r="X148" s="2" t="str">
        <f>_xlfn.XLOOKUP(Table1[[#This Row],[Target DEV SB ID]],New_fields[ID],New_fields[Attribute Name],"0-Not Found",0,1)</f>
        <v>0-Not Found</v>
      </c>
      <c r="Y148" s="2" t="b">
        <f>Table1[[#This Row],[Prod Source field name]]=Table1[[#This Row],[New instance Target field name]]</f>
        <v>1</v>
      </c>
      <c r="Z148" s="2" t="b">
        <f>Table1[[#This Row],[Target Field Name]]=Table1[[#This Row],[New instance Target field name]]</f>
        <v>0</v>
      </c>
      <c r="AA148" s="2"/>
      <c r="AB148" s="2"/>
      <c r="AC148" s="2"/>
      <c r="AD148" s="2"/>
      <c r="AE148" s="5"/>
      <c r="AF148" s="5"/>
      <c r="AG148" s="5"/>
      <c r="AH148" s="5"/>
      <c r="AI148" s="5"/>
      <c r="AJ148" s="5"/>
      <c r="AK148" s="5"/>
      <c r="AL148" s="2"/>
      <c r="AM148" s="112"/>
      <c r="AN148" s="112"/>
      <c r="AO148" s="112"/>
      <c r="AP148" s="2"/>
      <c r="AQ148" s="2"/>
      <c r="AR148" s="2"/>
      <c r="AS148" s="2"/>
      <c r="AT148" s="2"/>
      <c r="AU148" s="2"/>
      <c r="AV148" s="2"/>
      <c r="AW148" s="2"/>
      <c r="AX148" s="2"/>
      <c r="AY148" s="2"/>
      <c r="AZ148" s="2"/>
      <c r="BA148" s="2"/>
      <c r="BB148" s="2"/>
      <c r="BC148" s="2"/>
      <c r="BD148" s="2"/>
      <c r="BE148" s="2"/>
      <c r="BF148" s="2"/>
      <c r="BG148" s="2"/>
      <c r="BH148" s="2"/>
    </row>
    <row r="149" spans="1:60" ht="99" customHeight="1" x14ac:dyDescent="0.3">
      <c r="A149" s="4"/>
      <c r="B149" s="9" t="s">
        <v>6306</v>
      </c>
      <c r="C149" s="9" t="s">
        <v>6287</v>
      </c>
      <c r="D149" s="4"/>
      <c r="E149" s="4"/>
      <c r="F149" s="4"/>
      <c r="G149" s="10" t="s">
        <v>6307</v>
      </c>
      <c r="H149" s="2"/>
      <c r="I149" s="2" t="s">
        <v>386</v>
      </c>
      <c r="J149" s="2"/>
      <c r="K149" s="2"/>
      <c r="L149" s="2" t="str">
        <f>_xlfn.TEXTJOIN("|",FALSE,Table1[[#This Row],[Target Entity]],Table1[[#This Row],[Target DEV SB ID]])</f>
        <v>|wbs712</v>
      </c>
      <c r="M149" s="2" t="s">
        <v>251</v>
      </c>
      <c r="N149" s="10" t="s">
        <v>5813</v>
      </c>
      <c r="O149" s="2"/>
      <c r="P149" s="2"/>
      <c r="Q149" s="2"/>
      <c r="R149" s="2"/>
      <c r="S149" s="2" t="s">
        <v>6289</v>
      </c>
      <c r="T149" s="2"/>
      <c r="U149" s="2" t="s">
        <v>6311</v>
      </c>
      <c r="V149" s="2" t="s">
        <v>6316</v>
      </c>
      <c r="W149" s="2" t="str">
        <f>_xlfn.XLOOKUP(Table1[[#This Row],[Source PROD ID]],Prod_fields[ID],Prod_fields[Attribute Name],"0-Not Found",0,1)</f>
        <v>Milestone Type</v>
      </c>
      <c r="X149" s="2" t="str">
        <f>_xlfn.XLOOKUP(Table1[[#This Row],[Target DEV SB ID]],New_fields[ID],New_fields[Attribute Name],"0-Not Found",0,1)</f>
        <v>Task or Milestone Type</v>
      </c>
      <c r="Y149" s="2" t="b">
        <f>Table1[[#This Row],[Prod Source field name]]=Table1[[#This Row],[New instance Target field name]]</f>
        <v>0</v>
      </c>
      <c r="Z149" s="2" t="b">
        <f>Table1[[#This Row],[Target Field Name]]=Table1[[#This Row],[New instance Target field name]]</f>
        <v>1</v>
      </c>
      <c r="AA149" s="2"/>
      <c r="AB149" s="2" t="s">
        <v>6303</v>
      </c>
      <c r="AC149" s="2"/>
      <c r="AD149" s="2" t="s">
        <v>33</v>
      </c>
      <c r="AE149" s="5" t="str">
        <f>_xlfn.TEXTJOIN(CHAR(10),TRUE,VAL_wbs712_MilestoneType[])</f>
        <v>Money Step
Implementation
Technology
Change Management
Legal / Regulatory
Other
Human Resources
Initiation &amp; Governance</v>
      </c>
      <c r="AF149" s="5" t="s">
        <v>6293</v>
      </c>
      <c r="AG149" s="5" t="s">
        <v>10</v>
      </c>
      <c r="AH149" s="5"/>
      <c r="AI149" s="5"/>
      <c r="AJ149" s="5"/>
      <c r="AK149" s="5"/>
      <c r="AL149" s="2"/>
      <c r="AM149" s="112"/>
      <c r="AN149" s="112"/>
      <c r="AO149" s="112"/>
      <c r="AP149" s="2"/>
      <c r="AQ149" s="2"/>
      <c r="AR149" s="2"/>
      <c r="AS149" s="2"/>
      <c r="AT149" s="2"/>
      <c r="AU149" s="2"/>
      <c r="AV149" s="2"/>
      <c r="AW149" s="2"/>
      <c r="AX149" s="2"/>
      <c r="AY149" s="2"/>
      <c r="AZ149" s="2"/>
      <c r="BA149" s="2"/>
      <c r="BB149" s="2"/>
      <c r="BC149" s="2"/>
      <c r="BD149" s="2"/>
      <c r="BE149" s="2"/>
      <c r="BF149" s="2"/>
      <c r="BG149" s="2"/>
      <c r="BH149" s="2"/>
    </row>
    <row r="150" spans="1:60" ht="27.6" x14ac:dyDescent="0.3">
      <c r="A150" s="4"/>
      <c r="B150" s="9" t="s">
        <v>6306</v>
      </c>
      <c r="C150" s="9" t="s">
        <v>6287</v>
      </c>
      <c r="D150" s="4"/>
      <c r="E150" s="4"/>
      <c r="F150" s="4"/>
      <c r="G150" s="10" t="s">
        <v>6307</v>
      </c>
      <c r="H150" s="2"/>
      <c r="I150" s="2"/>
      <c r="J150" s="2"/>
      <c r="K150" s="2"/>
      <c r="L150" s="2" t="str">
        <f>_xlfn.TEXTJOIN("|",FALSE,Table1[[#This Row],[Target Entity]],Table1[[#This Row],[Target DEV SB ID]])</f>
        <v>|</v>
      </c>
      <c r="M150" s="2" t="s">
        <v>290</v>
      </c>
      <c r="N150" s="10" t="s">
        <v>5813</v>
      </c>
      <c r="O150" s="2" t="s">
        <v>6308</v>
      </c>
      <c r="P150" s="2"/>
      <c r="Q150" s="2"/>
      <c r="R150" s="2"/>
      <c r="S150" s="2"/>
      <c r="T150" s="2"/>
      <c r="U150" s="2"/>
      <c r="V150" s="2"/>
      <c r="W150" s="2" t="str">
        <f>_xlfn.XLOOKUP(Table1[[#This Row],[Source PROD ID]],Prod_fields[ID],Prod_fields[Attribute Name],"0-Not Found",0,1)</f>
        <v>0-Not Found</v>
      </c>
      <c r="X150" s="2" t="str">
        <f>_xlfn.XLOOKUP(Table1[[#This Row],[Target DEV SB ID]],New_fields[ID],New_fields[Attribute Name],"0-Not Found",0,1)</f>
        <v>0-Not Found</v>
      </c>
      <c r="Y150" s="2" t="b">
        <f>Table1[[#This Row],[Prod Source field name]]=Table1[[#This Row],[New instance Target field name]]</f>
        <v>1</v>
      </c>
      <c r="Z150" s="2" t="b">
        <f>Table1[[#This Row],[Target Field Name]]=Table1[[#This Row],[New instance Target field name]]</f>
        <v>0</v>
      </c>
      <c r="AA150" s="2"/>
      <c r="AB150" s="2"/>
      <c r="AC150" s="2"/>
      <c r="AD150" s="2"/>
      <c r="AE150" s="5"/>
      <c r="AF150" s="5"/>
      <c r="AG150" s="5"/>
      <c r="AH150" s="5"/>
      <c r="AI150" s="5"/>
      <c r="AJ150" s="5"/>
      <c r="AK150" s="5"/>
      <c r="AL150" s="2"/>
      <c r="AM150" s="112"/>
      <c r="AN150" s="112"/>
      <c r="AO150" s="112"/>
      <c r="AP150" s="2"/>
      <c r="AQ150" s="2"/>
      <c r="AR150" s="2"/>
      <c r="AS150" s="2"/>
      <c r="AT150" s="2"/>
      <c r="AU150" s="2"/>
      <c r="AV150" s="2"/>
      <c r="AW150" s="2"/>
      <c r="AX150" s="2"/>
      <c r="AY150" s="2"/>
      <c r="AZ150" s="2"/>
      <c r="BA150" s="2"/>
      <c r="BB150" s="2"/>
      <c r="BC150" s="2"/>
      <c r="BD150" s="2"/>
      <c r="BE150" s="2"/>
      <c r="BF150" s="2"/>
      <c r="BG150" s="2"/>
      <c r="BH150" s="2"/>
    </row>
    <row r="151" spans="1:60" ht="41.4" x14ac:dyDescent="0.3">
      <c r="A151" s="4"/>
      <c r="B151" s="9" t="s">
        <v>6306</v>
      </c>
      <c r="C151" s="9" t="s">
        <v>6287</v>
      </c>
      <c r="D151" s="4"/>
      <c r="E151" s="4"/>
      <c r="F151" s="4"/>
      <c r="G151" s="10" t="s">
        <v>6307</v>
      </c>
      <c r="H151" s="2"/>
      <c r="I151" s="2" t="s">
        <v>386</v>
      </c>
      <c r="J151" s="2"/>
      <c r="K151" s="2"/>
      <c r="L151" s="2" t="str">
        <f>_xlfn.TEXTJOIN("|",FALSE,Table1[[#This Row],[Target Entity]],Table1[[#This Row],[Target DEV SB ID]])</f>
        <v>|</v>
      </c>
      <c r="M151" s="2" t="s">
        <v>249</v>
      </c>
      <c r="N151" s="10" t="s">
        <v>5813</v>
      </c>
      <c r="O151" s="2"/>
      <c r="P151" s="2"/>
      <c r="Q151" s="2"/>
      <c r="R151" s="2"/>
      <c r="S151" s="2" t="s">
        <v>250</v>
      </c>
      <c r="T151" s="2"/>
      <c r="U151" s="2"/>
      <c r="V151" s="2"/>
      <c r="W151" s="2" t="str">
        <f>_xlfn.XLOOKUP(Table1[[#This Row],[Source PROD ID]],Prod_fields[ID],Prod_fields[Attribute Name],"0-Not Found",0,1)</f>
        <v>Milestone Flag</v>
      </c>
      <c r="X151" s="2" t="str">
        <f>_xlfn.XLOOKUP(Table1[[#This Row],[Target DEV SB ID]],New_fields[ID],New_fields[Attribute Name],"0-Not Found",0,1)</f>
        <v>0-Not Found</v>
      </c>
      <c r="Y151" s="2" t="b">
        <f>Table1[[#This Row],[Prod Source field name]]=Table1[[#This Row],[New instance Target field name]]</f>
        <v>0</v>
      </c>
      <c r="Z151" s="2" t="b">
        <f>Table1[[#This Row],[Target Field Name]]=Table1[[#This Row],[New instance Target field name]]</f>
        <v>0</v>
      </c>
      <c r="AA151" s="2"/>
      <c r="AB151" s="2" t="s">
        <v>6304</v>
      </c>
      <c r="AC151" s="2"/>
      <c r="AD151" s="2" t="s">
        <v>33</v>
      </c>
      <c r="AE151" s="5"/>
      <c r="AF151" s="5"/>
      <c r="AG151" s="5" t="s">
        <v>10</v>
      </c>
      <c r="AH151" s="5"/>
      <c r="AI151" s="5"/>
      <c r="AJ151" s="5"/>
      <c r="AK151" s="5"/>
      <c r="AL151" s="2"/>
      <c r="AM151" s="112"/>
      <c r="AN151" s="112"/>
      <c r="AO151" s="112"/>
      <c r="AP151" s="2"/>
      <c r="AQ151" s="2"/>
      <c r="AR151" s="2"/>
      <c r="AS151" s="2"/>
      <c r="AT151" s="2"/>
      <c r="AU151" s="2"/>
      <c r="AV151" s="2"/>
      <c r="AW151" s="2"/>
      <c r="AX151" s="2"/>
      <c r="AY151" s="2"/>
      <c r="AZ151" s="2"/>
      <c r="BA151" s="2"/>
      <c r="BB151" s="2"/>
      <c r="BC151" s="2"/>
      <c r="BD151" s="2"/>
      <c r="BE151" s="2"/>
      <c r="BF151" s="2"/>
      <c r="BG151" s="2"/>
      <c r="BH151" s="2"/>
    </row>
    <row r="152" spans="1:60" ht="41.4" x14ac:dyDescent="0.3">
      <c r="A152" s="4"/>
      <c r="B152" s="9" t="s">
        <v>6306</v>
      </c>
      <c r="C152" s="9" t="s">
        <v>6287</v>
      </c>
      <c r="D152" s="4"/>
      <c r="E152" s="4"/>
      <c r="F152" s="4"/>
      <c r="G152" s="10" t="s">
        <v>6307</v>
      </c>
      <c r="H152" s="2"/>
      <c r="I152" s="2" t="s">
        <v>386</v>
      </c>
      <c r="J152" s="2"/>
      <c r="K152" s="2"/>
      <c r="L152" s="2" t="str">
        <f>_xlfn.TEXTJOIN("|",FALSE,Table1[[#This Row],[Target Entity]],Table1[[#This Row],[Target DEV SB ID]])</f>
        <v>|</v>
      </c>
      <c r="M152" s="2" t="s">
        <v>1552</v>
      </c>
      <c r="N152" s="10" t="s">
        <v>5813</v>
      </c>
      <c r="O152" s="2"/>
      <c r="P152" s="2"/>
      <c r="Q152" s="2"/>
      <c r="R152" s="2"/>
      <c r="S152" s="2" t="s">
        <v>1553</v>
      </c>
      <c r="T152" s="2"/>
      <c r="U152" s="2"/>
      <c r="V152" s="2"/>
      <c r="W152" s="2" t="str">
        <f>_xlfn.XLOOKUP(Table1[[#This Row],[Source PROD ID]],Prod_fields[ID],Prod_fields[Attribute Name],"0-Not Found",0,1)</f>
        <v>Milestone/Task Owner</v>
      </c>
      <c r="X152" s="2" t="str">
        <f>_xlfn.XLOOKUP(Table1[[#This Row],[Target DEV SB ID]],New_fields[ID],New_fields[Attribute Name],"0-Not Found",0,1)</f>
        <v>0-Not Found</v>
      </c>
      <c r="Y152" s="2" t="b">
        <f>Table1[[#This Row],[Prod Source field name]]=Table1[[#This Row],[New instance Target field name]]</f>
        <v>0</v>
      </c>
      <c r="Z152" s="2" t="b">
        <f>Table1[[#This Row],[Target Field Name]]=Table1[[#This Row],[New instance Target field name]]</f>
        <v>0</v>
      </c>
      <c r="AA152" s="2"/>
      <c r="AB152" s="2" t="s">
        <v>6301</v>
      </c>
      <c r="AC152" s="2"/>
      <c r="AD152" s="2"/>
      <c r="AE152" s="5"/>
      <c r="AF152" s="5" t="s">
        <v>6294</v>
      </c>
      <c r="AG152" s="5" t="s">
        <v>10</v>
      </c>
      <c r="AH152" s="5"/>
      <c r="AI152" s="5"/>
      <c r="AJ152" s="5"/>
      <c r="AK152" s="5"/>
      <c r="AL152" s="2"/>
      <c r="AM152" s="112"/>
      <c r="AN152" s="112"/>
      <c r="AO152" s="112"/>
      <c r="AP152" s="2"/>
      <c r="AQ152" s="2"/>
      <c r="AR152" s="2"/>
      <c r="AS152" s="2"/>
      <c r="AT152" s="2"/>
      <c r="AU152" s="2"/>
      <c r="AV152" s="2"/>
      <c r="AW152" s="2"/>
      <c r="AX152" s="2"/>
      <c r="AY152" s="2"/>
      <c r="AZ152" s="2"/>
      <c r="BA152" s="2"/>
      <c r="BB152" s="2"/>
      <c r="BC152" s="2"/>
      <c r="BD152" s="2"/>
      <c r="BE152" s="2"/>
      <c r="BF152" s="2"/>
      <c r="BG152" s="2"/>
      <c r="BH152" s="2"/>
    </row>
    <row r="153" spans="1:60" ht="41.4" x14ac:dyDescent="0.3">
      <c r="A153" s="4"/>
      <c r="B153" s="9" t="s">
        <v>6306</v>
      </c>
      <c r="C153" s="9" t="s">
        <v>6287</v>
      </c>
      <c r="D153" s="4"/>
      <c r="E153" s="4"/>
      <c r="F153" s="4"/>
      <c r="G153" s="10" t="s">
        <v>6307</v>
      </c>
      <c r="H153" s="2"/>
      <c r="I153" s="2" t="s">
        <v>386</v>
      </c>
      <c r="J153" s="2"/>
      <c r="K153" s="2"/>
      <c r="L153" s="2" t="str">
        <f>_xlfn.TEXTJOIN("|",FALSE,Table1[[#This Row],[Target Entity]],Table1[[#This Row],[Target DEV SB ID]])</f>
        <v>|</v>
      </c>
      <c r="M153" s="2" t="s">
        <v>156</v>
      </c>
      <c r="N153" s="10" t="s">
        <v>5813</v>
      </c>
      <c r="O153" s="2"/>
      <c r="P153" s="2"/>
      <c r="Q153" s="2"/>
      <c r="R153" s="2"/>
      <c r="S153" s="2" t="s">
        <v>157</v>
      </c>
      <c r="T153" s="2"/>
      <c r="U153" s="2"/>
      <c r="V153" s="2"/>
      <c r="W153" s="2" t="str">
        <f>_xlfn.XLOOKUP(Table1[[#This Row],[Source PROD ID]],Prod_fields[ID],Prod_fields[Attribute Name],"0-Not Found",0,1)</f>
        <v>Work Status</v>
      </c>
      <c r="X153" s="2" t="str">
        <f>_xlfn.XLOOKUP(Table1[[#This Row],[Target DEV SB ID]],New_fields[ID],New_fields[Attribute Name],"0-Not Found",0,1)</f>
        <v>0-Not Found</v>
      </c>
      <c r="Y153" s="2" t="b">
        <f>Table1[[#This Row],[Prod Source field name]]=Table1[[#This Row],[New instance Target field name]]</f>
        <v>0</v>
      </c>
      <c r="Z153" s="2" t="b">
        <f>Table1[[#This Row],[Target Field Name]]=Table1[[#This Row],[New instance Target field name]]</f>
        <v>0</v>
      </c>
      <c r="AA153" s="2"/>
      <c r="AB153" s="2" t="s">
        <v>6303</v>
      </c>
      <c r="AC153" s="2"/>
      <c r="AD153" s="2"/>
      <c r="AE153" s="5"/>
      <c r="AF153" s="5" t="s">
        <v>6295</v>
      </c>
      <c r="AG153" s="5" t="s">
        <v>10</v>
      </c>
      <c r="AH153" s="5"/>
      <c r="AI153" s="5"/>
      <c r="AJ153" s="5"/>
      <c r="AK153" s="5"/>
      <c r="AL153" s="2"/>
      <c r="AM153" s="112"/>
      <c r="AN153" s="112"/>
      <c r="AO153" s="112"/>
      <c r="AP153" s="2"/>
      <c r="AQ153" s="2"/>
      <c r="AR153" s="2"/>
      <c r="AS153" s="2"/>
      <c r="AT153" s="2"/>
      <c r="AU153" s="2"/>
      <c r="AV153" s="2"/>
      <c r="AW153" s="2"/>
      <c r="AX153" s="2"/>
      <c r="AY153" s="2"/>
      <c r="AZ153" s="2"/>
      <c r="BA153" s="2"/>
      <c r="BB153" s="2"/>
      <c r="BC153" s="2"/>
      <c r="BD153" s="2"/>
      <c r="BE153" s="2"/>
      <c r="BF153" s="2"/>
      <c r="BG153" s="2"/>
      <c r="BH153" s="2"/>
    </row>
    <row r="154" spans="1:60" ht="41.4" x14ac:dyDescent="0.3">
      <c r="A154" s="4"/>
      <c r="B154" s="9" t="s">
        <v>6306</v>
      </c>
      <c r="C154" s="9" t="s">
        <v>6287</v>
      </c>
      <c r="D154" s="4"/>
      <c r="E154" s="4"/>
      <c r="F154" s="4"/>
      <c r="G154" s="10" t="s">
        <v>6307</v>
      </c>
      <c r="H154" s="2"/>
      <c r="I154" s="2" t="s">
        <v>386</v>
      </c>
      <c r="J154" s="2"/>
      <c r="K154" s="2"/>
      <c r="L154" s="2" t="str">
        <f>_xlfn.TEXTJOIN("|",FALSE,Table1[[#This Row],[Target Entity]],Table1[[#This Row],[Target DEV SB ID]])</f>
        <v>|</v>
      </c>
      <c r="M154" s="2" t="s">
        <v>253</v>
      </c>
      <c r="N154" s="10" t="s">
        <v>5813</v>
      </c>
      <c r="O154" s="2"/>
      <c r="P154" s="2"/>
      <c r="Q154" s="2"/>
      <c r="R154" s="2"/>
      <c r="S154" s="2" t="s">
        <v>254</v>
      </c>
      <c r="T154" s="2"/>
      <c r="U154" s="2"/>
      <c r="V154" s="2"/>
      <c r="W154" s="2" t="str">
        <f>_xlfn.XLOOKUP(Table1[[#This Row],[Source PROD ID]],Prod_fields[ID],Prod_fields[Attribute Name],"0-Not Found",0,1)</f>
        <v>Schedule Start</v>
      </c>
      <c r="X154" s="2" t="str">
        <f>_xlfn.XLOOKUP(Table1[[#This Row],[Target DEV SB ID]],New_fields[ID],New_fields[Attribute Name],"0-Not Found",0,1)</f>
        <v>0-Not Found</v>
      </c>
      <c r="Y154" s="2" t="b">
        <f>Table1[[#This Row],[Prod Source field name]]=Table1[[#This Row],[New instance Target field name]]</f>
        <v>0</v>
      </c>
      <c r="Z154" s="2" t="b">
        <f>Table1[[#This Row],[Target Field Name]]=Table1[[#This Row],[New instance Target field name]]</f>
        <v>0</v>
      </c>
      <c r="AA154" s="2"/>
      <c r="AB154" s="2" t="s">
        <v>6305</v>
      </c>
      <c r="AC154" s="2"/>
      <c r="AD154" s="2"/>
      <c r="AE154" s="5"/>
      <c r="AF154" s="5" t="s">
        <v>6296</v>
      </c>
      <c r="AG154" s="5" t="s">
        <v>10</v>
      </c>
      <c r="AH154" s="5"/>
      <c r="AI154" s="5"/>
      <c r="AJ154" s="5"/>
      <c r="AK154" s="5"/>
      <c r="AL154" s="2"/>
      <c r="AM154" s="112"/>
      <c r="AN154" s="112"/>
      <c r="AO154" s="112"/>
      <c r="AP154" s="2"/>
      <c r="AQ154" s="2"/>
      <c r="AR154" s="2"/>
      <c r="AS154" s="2"/>
      <c r="AT154" s="2"/>
      <c r="AU154" s="2"/>
      <c r="AV154" s="2"/>
      <c r="AW154" s="2"/>
      <c r="AX154" s="2"/>
      <c r="AY154" s="2"/>
      <c r="AZ154" s="2"/>
      <c r="BA154" s="2"/>
      <c r="BB154" s="2"/>
      <c r="BC154" s="2"/>
      <c r="BD154" s="2"/>
      <c r="BE154" s="2"/>
      <c r="BF154" s="2"/>
      <c r="BG154" s="2"/>
      <c r="BH154" s="2"/>
    </row>
    <row r="155" spans="1:60" ht="41.4" x14ac:dyDescent="0.3">
      <c r="A155" s="4"/>
      <c r="B155" s="9" t="s">
        <v>6306</v>
      </c>
      <c r="C155" s="9" t="s">
        <v>6287</v>
      </c>
      <c r="D155" s="4"/>
      <c r="E155" s="4"/>
      <c r="F155" s="4"/>
      <c r="G155" s="10" t="s">
        <v>6307</v>
      </c>
      <c r="H155" s="2"/>
      <c r="I155" s="2" t="s">
        <v>386</v>
      </c>
      <c r="J155" s="2"/>
      <c r="K155" s="2"/>
      <c r="L155" s="2" t="str">
        <f>_xlfn.TEXTJOIN("|",FALSE,Table1[[#This Row],[Target Entity]],Table1[[#This Row],[Target DEV SB ID]])</f>
        <v>|</v>
      </c>
      <c r="M155" s="2" t="s">
        <v>257</v>
      </c>
      <c r="N155" s="10" t="s">
        <v>5813</v>
      </c>
      <c r="O155" s="2"/>
      <c r="P155" s="2"/>
      <c r="Q155" s="2"/>
      <c r="R155" s="2"/>
      <c r="S155" s="2" t="s">
        <v>258</v>
      </c>
      <c r="T155" s="2"/>
      <c r="U155" s="2"/>
      <c r="V155" s="2"/>
      <c r="W155" s="2" t="str">
        <f>_xlfn.XLOOKUP(Table1[[#This Row],[Source PROD ID]],Prod_fields[ID],Prod_fields[Attribute Name],"0-Not Found",0,1)</f>
        <v>Schedule Finish</v>
      </c>
      <c r="X155" s="2" t="str">
        <f>_xlfn.XLOOKUP(Table1[[#This Row],[Target DEV SB ID]],New_fields[ID],New_fields[Attribute Name],"0-Not Found",0,1)</f>
        <v>0-Not Found</v>
      </c>
      <c r="Y155" s="2" t="b">
        <f>Table1[[#This Row],[Prod Source field name]]=Table1[[#This Row],[New instance Target field name]]</f>
        <v>0</v>
      </c>
      <c r="Z155" s="2" t="b">
        <f>Table1[[#This Row],[Target Field Name]]=Table1[[#This Row],[New instance Target field name]]</f>
        <v>0</v>
      </c>
      <c r="AA155" s="2"/>
      <c r="AB155" s="2" t="s">
        <v>6305</v>
      </c>
      <c r="AC155" s="2"/>
      <c r="AD155" s="2"/>
      <c r="AE155" s="5"/>
      <c r="AF155" s="5" t="s">
        <v>6297</v>
      </c>
      <c r="AG155" s="5" t="s">
        <v>10</v>
      </c>
      <c r="AH155" s="5"/>
      <c r="AI155" s="5"/>
      <c r="AJ155" s="5"/>
      <c r="AK155" s="5"/>
      <c r="AL155" s="2"/>
      <c r="AM155" s="112"/>
      <c r="AN155" s="112"/>
      <c r="AO155" s="112"/>
      <c r="AP155" s="2"/>
      <c r="AQ155" s="2"/>
      <c r="AR155" s="2"/>
      <c r="AS155" s="2"/>
      <c r="AT155" s="2"/>
      <c r="AU155" s="2"/>
      <c r="AV155" s="2"/>
      <c r="AW155" s="2"/>
      <c r="AX155" s="2"/>
      <c r="AY155" s="2"/>
      <c r="AZ155" s="2"/>
      <c r="BA155" s="2"/>
      <c r="BB155" s="2"/>
      <c r="BC155" s="2"/>
      <c r="BD155" s="2"/>
      <c r="BE155" s="2"/>
      <c r="BF155" s="2"/>
      <c r="BG155" s="2"/>
      <c r="BH155" s="2"/>
    </row>
    <row r="156" spans="1:60" x14ac:dyDescent="0.3">
      <c r="A156" s="4"/>
      <c r="B156" s="4"/>
      <c r="C156" s="4"/>
      <c r="D156" s="4"/>
      <c r="E156" s="4"/>
      <c r="F156" s="4"/>
      <c r="G156" s="2"/>
      <c r="H156" s="2"/>
      <c r="I156" s="2"/>
      <c r="J156" s="2"/>
      <c r="K156" s="2"/>
      <c r="L156" s="2" t="str">
        <f>_xlfn.TEXTJOIN("|",FALSE,Table1[[#This Row],[Target Entity]],Table1[[#This Row],[Target DEV SB ID]])</f>
        <v>|</v>
      </c>
      <c r="M156" s="2" t="s">
        <v>1959</v>
      </c>
      <c r="N156" s="2"/>
      <c r="O156" s="2"/>
      <c r="P156" s="2"/>
      <c r="Q156" s="2"/>
      <c r="R156" s="2"/>
      <c r="S156" s="2"/>
      <c r="T156" s="2"/>
      <c r="U156" s="2"/>
      <c r="V156" s="2"/>
      <c r="W156" s="2" t="str">
        <f>_xlfn.XLOOKUP(Table1[[#This Row],[Source PROD ID]],Prod_fields[ID],Prod_fields[Attribute Name],"0-Not Found",0,1)</f>
        <v>0-Not Found</v>
      </c>
      <c r="X156" s="2" t="str">
        <f>_xlfn.XLOOKUP(Table1[[#This Row],[Target DEV SB ID]],New_fields[ID],New_fields[Attribute Name],"0-Not Found",0,1)</f>
        <v>0-Not Found</v>
      </c>
      <c r="Y156" s="2" t="b">
        <f>Table1[[#This Row],[Prod Source field name]]=Table1[[#This Row],[New instance Target field name]]</f>
        <v>1</v>
      </c>
      <c r="Z156" s="2" t="b">
        <f>Table1[[#This Row],[Target Field Name]]=Table1[[#This Row],[New instance Target field name]]</f>
        <v>0</v>
      </c>
      <c r="AA156" s="2"/>
      <c r="AB156" s="2"/>
      <c r="AC156" s="2"/>
      <c r="AD156" s="2"/>
      <c r="AE156" s="5"/>
      <c r="AF156" s="5"/>
      <c r="AG156" s="5"/>
      <c r="AH156" s="5"/>
      <c r="AI156" s="5"/>
      <c r="AJ156" s="5"/>
      <c r="AK156" s="5"/>
      <c r="AL156" s="2"/>
      <c r="AM156" s="112"/>
      <c r="AN156" s="112"/>
      <c r="AO156" s="112"/>
      <c r="AP156" s="2"/>
      <c r="AQ156" s="2"/>
      <c r="AR156" s="2"/>
      <c r="AS156" s="2"/>
      <c r="AT156" s="2"/>
      <c r="AU156" s="2"/>
      <c r="AV156" s="2"/>
      <c r="AW156" s="2"/>
      <c r="AX156" s="2"/>
      <c r="AY156" s="2"/>
      <c r="AZ156" s="2"/>
      <c r="BA156" s="2"/>
      <c r="BB156" s="2"/>
      <c r="BC156" s="2"/>
      <c r="BD156" s="2"/>
      <c r="BE156" s="2"/>
      <c r="BF156" s="2"/>
      <c r="BG156" s="2"/>
      <c r="BH156" s="2"/>
    </row>
    <row r="157" spans="1:60" ht="41.4" x14ac:dyDescent="0.3">
      <c r="A157" s="4"/>
      <c r="B157" s="9" t="s">
        <v>6306</v>
      </c>
      <c r="C157" s="9" t="s">
        <v>6287</v>
      </c>
      <c r="D157" s="4"/>
      <c r="E157" s="4"/>
      <c r="F157" s="4"/>
      <c r="G157" s="10" t="s">
        <v>6307</v>
      </c>
      <c r="H157" s="2"/>
      <c r="I157" s="2" t="s">
        <v>386</v>
      </c>
      <c r="J157" s="2"/>
      <c r="K157" s="2"/>
      <c r="L157" s="2" t="str">
        <f>_xlfn.TEXTJOIN("|",FALSE,Table1[[#This Row],[Target Entity]],Table1[[#This Row],[Target DEV SB ID]])</f>
        <v>|</v>
      </c>
      <c r="M157" s="2" t="s">
        <v>1939</v>
      </c>
      <c r="N157" s="10" t="s">
        <v>5813</v>
      </c>
      <c r="O157" s="2"/>
      <c r="P157" s="2"/>
      <c r="Q157" s="2"/>
      <c r="R157" s="2"/>
      <c r="S157" s="2" t="s">
        <v>1940</v>
      </c>
      <c r="T157" s="2"/>
      <c r="U157" s="2"/>
      <c r="V157" s="2"/>
      <c r="W157" s="2" t="str">
        <f>_xlfn.XLOOKUP(Table1[[#This Row],[Source PROD ID]],Prod_fields[ID],Prod_fields[Attribute Name],"0-Not Found",0,1)</f>
        <v>Baseline Finish</v>
      </c>
      <c r="X157" s="2" t="str">
        <f>_xlfn.XLOOKUP(Table1[[#This Row],[Target DEV SB ID]],New_fields[ID],New_fields[Attribute Name],"0-Not Found",0,1)</f>
        <v>0-Not Found</v>
      </c>
      <c r="Y157" s="2" t="b">
        <f>Table1[[#This Row],[Prod Source field name]]=Table1[[#This Row],[New instance Target field name]]</f>
        <v>0</v>
      </c>
      <c r="Z157" s="2" t="b">
        <f>Table1[[#This Row],[Target Field Name]]=Table1[[#This Row],[New instance Target field name]]</f>
        <v>0</v>
      </c>
      <c r="AA157" s="2"/>
      <c r="AB157" s="2" t="s">
        <v>6305</v>
      </c>
      <c r="AC157" s="2"/>
      <c r="AD157" s="2"/>
      <c r="AE157" s="5"/>
      <c r="AF157" s="5"/>
      <c r="AG157" s="5" t="s">
        <v>10</v>
      </c>
      <c r="AH157" s="5"/>
      <c r="AI157" s="5"/>
      <c r="AJ157" s="5"/>
      <c r="AK157" s="5"/>
      <c r="AL157" s="2"/>
      <c r="AM157" s="112"/>
      <c r="AN157" s="112"/>
      <c r="AO157" s="112"/>
      <c r="AP157" s="2"/>
      <c r="AQ157" s="2"/>
      <c r="AR157" s="2"/>
      <c r="AS157" s="2"/>
      <c r="AT157" s="2"/>
      <c r="AU157" s="2"/>
      <c r="AV157" s="2"/>
      <c r="AW157" s="2"/>
      <c r="AX157" s="2"/>
      <c r="AY157" s="2"/>
      <c r="AZ157" s="2"/>
      <c r="BA157" s="2"/>
      <c r="BB157" s="2"/>
      <c r="BC157" s="2"/>
      <c r="BD157" s="2"/>
      <c r="BE157" s="2"/>
      <c r="BF157" s="2"/>
      <c r="BG157" s="2"/>
      <c r="BH157" s="2"/>
    </row>
    <row r="158" spans="1:60" ht="27.6" x14ac:dyDescent="0.3">
      <c r="A158" s="4"/>
      <c r="B158" s="4"/>
      <c r="C158" s="4"/>
      <c r="D158" s="4"/>
      <c r="E158" s="4"/>
      <c r="F158" s="4"/>
      <c r="G158" s="10" t="s">
        <v>6307</v>
      </c>
      <c r="H158" s="2"/>
      <c r="I158" s="2"/>
      <c r="J158" s="2"/>
      <c r="K158" s="2"/>
      <c r="L158" s="2" t="str">
        <f>_xlfn.TEXTJOIN("|",FALSE,Table1[[#This Row],[Target Entity]],Table1[[#This Row],[Target DEV SB ID]])</f>
        <v>|</v>
      </c>
      <c r="M158" s="2" t="s">
        <v>261</v>
      </c>
      <c r="N158" s="10" t="s">
        <v>5813</v>
      </c>
      <c r="O158" s="2"/>
      <c r="P158" s="2"/>
      <c r="Q158" s="2"/>
      <c r="R158" s="2"/>
      <c r="S158" s="2"/>
      <c r="T158" s="2"/>
      <c r="U158" s="2"/>
      <c r="V158" s="2" t="s">
        <v>6309</v>
      </c>
      <c r="W158" s="2" t="str">
        <f>_xlfn.XLOOKUP(Table1[[#This Row],[Source PROD ID]],Prod_fields[ID],Prod_fields[Attribute Name],"0-Not Found",0,1)</f>
        <v>0-Not Found</v>
      </c>
      <c r="X158" s="2" t="str">
        <f>_xlfn.XLOOKUP(Table1[[#This Row],[Target DEV SB ID]],New_fields[ID],New_fields[Attribute Name],"0-Not Found",0,1)</f>
        <v>0-Not Found</v>
      </c>
      <c r="Y158" s="2" t="b">
        <f>Table1[[#This Row],[Prod Source field name]]=Table1[[#This Row],[New instance Target field name]]</f>
        <v>1</v>
      </c>
      <c r="Z158" s="2" t="b">
        <f>Table1[[#This Row],[Target Field Name]]=Table1[[#This Row],[New instance Target field name]]</f>
        <v>0</v>
      </c>
      <c r="AA158" s="2"/>
      <c r="AB158" s="2"/>
      <c r="AC158" s="2"/>
      <c r="AD158" s="2"/>
      <c r="AE158" s="5"/>
      <c r="AF158" s="5"/>
      <c r="AG158" s="5"/>
      <c r="AH158" s="5"/>
      <c r="AI158" s="5"/>
      <c r="AJ158" s="5"/>
      <c r="AK158" s="5"/>
      <c r="AL158" s="2"/>
      <c r="AM158" s="112"/>
      <c r="AN158" s="112"/>
      <c r="AO158" s="112"/>
      <c r="AP158" s="2"/>
      <c r="AQ158" s="2"/>
      <c r="AR158" s="2"/>
      <c r="AS158" s="2"/>
      <c r="AT158" s="2"/>
      <c r="AU158" s="2"/>
      <c r="AV158" s="2"/>
      <c r="AW158" s="2"/>
      <c r="AX158" s="2"/>
      <c r="AY158" s="2"/>
      <c r="AZ158" s="2"/>
      <c r="BA158" s="2"/>
      <c r="BB158" s="2"/>
      <c r="BC158" s="2"/>
      <c r="BD158" s="2"/>
      <c r="BE158" s="2"/>
      <c r="BF158" s="2"/>
      <c r="BG158" s="2"/>
      <c r="BH158" s="2"/>
    </row>
    <row r="159" spans="1:60" ht="27.6" x14ac:dyDescent="0.3">
      <c r="A159" s="4"/>
      <c r="B159" s="4"/>
      <c r="C159" s="4"/>
      <c r="D159" s="4"/>
      <c r="E159" s="4"/>
      <c r="F159" s="4"/>
      <c r="G159" s="10" t="s">
        <v>6307</v>
      </c>
      <c r="H159" s="2"/>
      <c r="I159" s="2"/>
      <c r="J159" s="2"/>
      <c r="K159" s="2"/>
      <c r="L159" s="2" t="str">
        <f>_xlfn.TEXTJOIN("|",FALSE,Table1[[#This Row],[Target Entity]],Table1[[#This Row],[Target DEV SB ID]])</f>
        <v>|</v>
      </c>
      <c r="M159" s="2" t="s">
        <v>263</v>
      </c>
      <c r="N159" s="10" t="s">
        <v>5813</v>
      </c>
      <c r="O159" s="2"/>
      <c r="P159" s="2"/>
      <c r="Q159" s="2"/>
      <c r="R159" s="2"/>
      <c r="S159" s="2"/>
      <c r="T159" s="2"/>
      <c r="U159" s="2"/>
      <c r="V159" s="2" t="s">
        <v>6309</v>
      </c>
      <c r="W159" s="2" t="str">
        <f>_xlfn.XLOOKUP(Table1[[#This Row],[Source PROD ID]],Prod_fields[ID],Prod_fields[Attribute Name],"0-Not Found",0,1)</f>
        <v>0-Not Found</v>
      </c>
      <c r="X159" s="2" t="str">
        <f>_xlfn.XLOOKUP(Table1[[#This Row],[Target DEV SB ID]],New_fields[ID],New_fields[Attribute Name],"0-Not Found",0,1)</f>
        <v>0-Not Found</v>
      </c>
      <c r="Y159" s="2" t="b">
        <f>Table1[[#This Row],[Prod Source field name]]=Table1[[#This Row],[New instance Target field name]]</f>
        <v>1</v>
      </c>
      <c r="Z159" s="2" t="b">
        <f>Table1[[#This Row],[Target Field Name]]=Table1[[#This Row],[New instance Target field name]]</f>
        <v>0</v>
      </c>
      <c r="AA159" s="2"/>
      <c r="AB159" s="2"/>
      <c r="AC159" s="2"/>
      <c r="AD159" s="2"/>
      <c r="AE159" s="5"/>
      <c r="AF159" s="5"/>
      <c r="AG159" s="5"/>
      <c r="AH159" s="5"/>
      <c r="AI159" s="5"/>
      <c r="AJ159" s="5"/>
      <c r="AK159" s="5"/>
      <c r="AL159" s="2"/>
      <c r="AM159" s="112"/>
      <c r="AN159" s="112"/>
      <c r="AO159" s="112"/>
      <c r="AP159" s="2"/>
      <c r="AQ159" s="2"/>
      <c r="AR159" s="2"/>
      <c r="AS159" s="2"/>
      <c r="AT159" s="2"/>
      <c r="AU159" s="2"/>
      <c r="AV159" s="2"/>
      <c r="AW159" s="2"/>
      <c r="AX159" s="2"/>
      <c r="AY159" s="2"/>
      <c r="AZ159" s="2"/>
      <c r="BA159" s="2"/>
      <c r="BB159" s="2"/>
      <c r="BC159" s="2"/>
      <c r="BD159" s="2"/>
      <c r="BE159" s="2"/>
      <c r="BF159" s="2"/>
      <c r="BG159" s="2"/>
      <c r="BH159" s="2"/>
    </row>
    <row r="160" spans="1:60" ht="69" x14ac:dyDescent="0.3">
      <c r="A160" s="4"/>
      <c r="B160" s="9" t="s">
        <v>6306</v>
      </c>
      <c r="C160" s="9" t="s">
        <v>6287</v>
      </c>
      <c r="D160" s="4"/>
      <c r="E160" s="4"/>
      <c r="F160" s="4"/>
      <c r="G160" s="10" t="s">
        <v>6307</v>
      </c>
      <c r="H160" s="2"/>
      <c r="I160" s="2" t="s">
        <v>386</v>
      </c>
      <c r="J160" s="2"/>
      <c r="K160" s="2"/>
      <c r="L160" s="2" t="str">
        <f>_xlfn.TEXTJOIN("|",FALSE,Table1[[#This Row],[Target Entity]],Table1[[#This Row],[Target DEV SB ID]])</f>
        <v>|</v>
      </c>
      <c r="M160" s="2" t="s">
        <v>244</v>
      </c>
      <c r="N160" s="10" t="s">
        <v>5813</v>
      </c>
      <c r="O160" s="2"/>
      <c r="P160" s="2"/>
      <c r="Q160" s="2"/>
      <c r="R160" s="2"/>
      <c r="S160" s="2" t="s">
        <v>245</v>
      </c>
      <c r="T160" s="2"/>
      <c r="U160" s="2"/>
      <c r="V160" s="2"/>
      <c r="W160" s="2" t="str">
        <f>_xlfn.XLOOKUP(Table1[[#This Row],[Source PROD ID]],Prod_fields[ID],Prod_fields[Attribute Name],"0-Not Found",0,1)</f>
        <v>Health Status</v>
      </c>
      <c r="X160" s="2" t="str">
        <f>_xlfn.XLOOKUP(Table1[[#This Row],[Target DEV SB ID]],New_fields[ID],New_fields[Attribute Name],"0-Not Found",0,1)</f>
        <v>0-Not Found</v>
      </c>
      <c r="Y160" s="2" t="b">
        <f>Table1[[#This Row],[Prod Source field name]]=Table1[[#This Row],[New instance Target field name]]</f>
        <v>0</v>
      </c>
      <c r="Z160" s="2" t="b">
        <f>Table1[[#This Row],[Target Field Name]]=Table1[[#This Row],[New instance Target field name]]</f>
        <v>0</v>
      </c>
      <c r="AA160" s="2"/>
      <c r="AB160" s="2" t="s">
        <v>6303</v>
      </c>
      <c r="AC160" s="2"/>
      <c r="AD160" s="2" t="s">
        <v>33</v>
      </c>
      <c r="AE160" s="5"/>
      <c r="AF160" s="5" t="s">
        <v>6298</v>
      </c>
      <c r="AG160" s="5" t="s">
        <v>27</v>
      </c>
      <c r="AH160" s="5"/>
      <c r="AI160" s="5"/>
      <c r="AJ160" s="5"/>
      <c r="AK160" s="5"/>
      <c r="AL160" s="2"/>
      <c r="AM160" s="112"/>
      <c r="AN160" s="112"/>
      <c r="AO160" s="112"/>
      <c r="AP160" s="2"/>
      <c r="AQ160" s="2"/>
      <c r="AR160" s="2"/>
      <c r="AS160" s="2"/>
      <c r="AT160" s="2"/>
      <c r="AU160" s="2"/>
      <c r="AV160" s="2"/>
      <c r="AW160" s="2"/>
      <c r="AX160" s="2"/>
      <c r="AY160" s="2"/>
      <c r="AZ160" s="2"/>
      <c r="BA160" s="2"/>
      <c r="BB160" s="2"/>
      <c r="BC160" s="2"/>
      <c r="BD160" s="2"/>
      <c r="BE160" s="2"/>
      <c r="BF160" s="2"/>
      <c r="BG160" s="2"/>
      <c r="BH160" s="2"/>
    </row>
  </sheetData>
  <mergeCells count="1">
    <mergeCell ref="AM1:BH1"/>
  </mergeCells>
  <phoneticPr fontId="22" type="noConversion"/>
  <conditionalFormatting sqref="K3:L160">
    <cfRule type="cellIs" dxfId="11" priority="5" operator="equal">
      <formula>""</formula>
    </cfRule>
  </conditionalFormatting>
  <conditionalFormatting sqref="W2">
    <cfRule type="duplicateValues" dxfId="10" priority="2"/>
  </conditionalFormatting>
  <conditionalFormatting sqref="W142:W1048576 U36:U104 U106:U141 V105 U2:U34">
    <cfRule type="duplicateValues" dxfId="9" priority="3"/>
  </conditionalFormatting>
  <conditionalFormatting sqref="AL3:AL160">
    <cfRule type="cellIs" dxfId="8" priority="4" operator="equal">
      <formula>"YES"</formula>
    </cfRule>
  </conditionalFormatting>
  <conditionalFormatting sqref="AM3:BH160">
    <cfRule type="containsText" dxfId="7" priority="1" operator="containsText" text="Fix">
      <formula>NOT(ISERROR(SEARCH("Fix",AM3)))</formula>
    </cfRule>
  </conditionalFormatting>
  <dataValidations count="2">
    <dataValidation type="list" allowBlank="1" showInputMessage="1" showErrorMessage="1" sqref="N3:N160" xr:uid="{6EC0B6BC-2987-4B28-8358-C1D64A8AE5BA}">
      <formula1>INDIRECT("VAL_Config_Status")</formula1>
    </dataValidation>
    <dataValidation type="list" allowBlank="1" showInputMessage="1" showErrorMessage="1" sqref="AM3:BH160" xr:uid="{09CCD31F-7CE7-40B2-A988-C62A54F88DDD}">
      <formula1>"RW,RO,Optional,Fix-RW,Fix-RO,Fix-Optional"</formula1>
    </dataValidation>
  </dataValidations>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6F83-FE0A-4724-8D20-6528490880F1}">
  <sheetPr>
    <tabColor theme="9" tint="0.39997558519241921"/>
  </sheetPr>
  <dimension ref="A2:FM82"/>
  <sheetViews>
    <sheetView topLeftCell="FA1" workbookViewId="0">
      <selection activeCell="FJ7" sqref="FJ7"/>
    </sheetView>
  </sheetViews>
  <sheetFormatPr defaultRowHeight="14.4" x14ac:dyDescent="0.3"/>
  <cols>
    <col min="1" max="1" width="40.44140625" customWidth="1"/>
    <col min="3" max="3" width="23.44140625" customWidth="1"/>
    <col min="5" max="5" width="26" customWidth="1"/>
    <col min="6" max="6" width="27" customWidth="1"/>
    <col min="8" max="8" width="50.21875" customWidth="1"/>
    <col min="10" max="11" width="31.6640625" customWidth="1"/>
    <col min="12" max="12" width="51" customWidth="1"/>
    <col min="14" max="14" width="38.77734375" customWidth="1"/>
    <col min="16" max="16" width="34" customWidth="1"/>
    <col min="17" max="17" width="39.5546875" customWidth="1"/>
    <col min="19" max="19" width="27.88671875" customWidth="1"/>
    <col min="21" max="21" width="46.77734375" customWidth="1"/>
    <col min="23" max="23" width="25.88671875" customWidth="1"/>
    <col min="25" max="25" width="25.33203125" customWidth="1"/>
    <col min="27" max="27" width="22.44140625" customWidth="1"/>
    <col min="29" max="29" width="13.44140625" customWidth="1"/>
    <col min="31" max="31" width="23.88671875" customWidth="1"/>
    <col min="32" max="32" width="29.88671875" customWidth="1"/>
    <col min="34" max="34" width="27.33203125" customWidth="1"/>
    <col min="36" max="36" width="23.44140625" customWidth="1"/>
    <col min="37" max="37" width="28.33203125" customWidth="1"/>
    <col min="39" max="39" width="10.77734375" customWidth="1"/>
    <col min="41" max="41" width="16.5546875" customWidth="1"/>
    <col min="43" max="43" width="25.6640625" customWidth="1"/>
    <col min="48" max="48" width="30.109375" customWidth="1"/>
    <col min="50" max="50" width="39.6640625" customWidth="1"/>
    <col min="51" max="51" width="39.109375" customWidth="1"/>
    <col min="53" max="53" width="53.77734375" customWidth="1"/>
    <col min="55" max="55" width="13.77734375" customWidth="1"/>
    <col min="57" max="57" width="25.5546875" customWidth="1"/>
    <col min="59" max="59" width="22.88671875" customWidth="1"/>
    <col min="60" max="60" width="31.6640625" customWidth="1"/>
    <col min="62" max="62" width="21.77734375" customWidth="1"/>
    <col min="64" max="64" width="26.21875" customWidth="1"/>
    <col min="65" max="65" width="34.77734375" customWidth="1"/>
    <col min="67" max="67" width="37.21875" customWidth="1"/>
    <col min="69" max="69" width="38" customWidth="1"/>
    <col min="70" max="70" width="41.88671875" customWidth="1"/>
    <col min="72" max="72" width="16.5546875" customWidth="1"/>
    <col min="74" max="74" width="23.21875" customWidth="1"/>
    <col min="76" max="76" width="23.77734375" customWidth="1"/>
    <col min="78" max="78" width="20" customWidth="1"/>
    <col min="80" max="80" width="21.77734375" customWidth="1"/>
    <col min="82" max="82" width="32.77734375" customWidth="1"/>
    <col min="84" max="84" width="39.88671875" customWidth="1"/>
    <col min="85" max="85" width="34.44140625" customWidth="1"/>
    <col min="87" max="87" width="15.33203125" customWidth="1"/>
    <col min="89" max="89" width="19.21875" customWidth="1"/>
    <col min="91" max="91" width="39.44140625" customWidth="1"/>
    <col min="93" max="93" width="28.5546875" customWidth="1"/>
    <col min="95" max="95" width="26.77734375" customWidth="1"/>
    <col min="97" max="97" width="34.33203125" customWidth="1"/>
    <col min="99" max="99" width="39.21875" customWidth="1"/>
    <col min="101" max="101" width="15.109375" customWidth="1"/>
    <col min="103" max="103" width="13.21875" customWidth="1"/>
    <col min="105" max="105" width="24.88671875" customWidth="1"/>
    <col min="106" max="106" width="27.77734375" customWidth="1"/>
    <col min="108" max="108" width="21.6640625" customWidth="1"/>
    <col min="109" max="109" width="24.21875" customWidth="1"/>
    <col min="111" max="111" width="27.6640625" customWidth="1"/>
    <col min="113" max="113" width="32.33203125" customWidth="1"/>
    <col min="115" max="115" width="32.21875" customWidth="1"/>
    <col min="117" max="117" width="44.77734375" customWidth="1"/>
    <col min="119" max="119" width="59.88671875" customWidth="1"/>
    <col min="120" max="120" width="8.6640625" customWidth="1"/>
    <col min="121" max="121" width="45.6640625" customWidth="1"/>
    <col min="123" max="123" width="29" customWidth="1"/>
    <col min="125" max="125" width="46.77734375" customWidth="1"/>
    <col min="127" max="127" width="55.77734375" customWidth="1"/>
    <col min="129" max="129" width="28" customWidth="1"/>
    <col min="131" max="131" width="15.6640625" customWidth="1"/>
    <col min="133" max="133" width="19.77734375" customWidth="1"/>
    <col min="134" max="134" width="25.5546875" customWidth="1"/>
    <col min="139" max="139" width="20.21875" customWidth="1"/>
    <col min="141" max="141" width="18.5546875" customWidth="1"/>
    <col min="143" max="143" width="19.77734375" customWidth="1"/>
    <col min="144" max="144" width="33.21875" customWidth="1"/>
    <col min="146" max="146" width="18.88671875" customWidth="1"/>
    <col min="148" max="148" width="38.33203125" bestFit="1" customWidth="1"/>
    <col min="150" max="150" width="14.109375" customWidth="1"/>
    <col min="152" max="152" width="30.21875" customWidth="1"/>
    <col min="154" max="154" width="16.77734375" customWidth="1"/>
    <col min="156" max="156" width="30.109375" customWidth="1"/>
    <col min="160" max="160" width="29.77734375" customWidth="1"/>
    <col min="162" max="162" width="44.88671875" customWidth="1"/>
    <col min="164" max="164" width="45.33203125" customWidth="1"/>
    <col min="166" max="166" width="22.21875" customWidth="1"/>
    <col min="168" max="168" width="20.77734375" customWidth="1"/>
    <col min="169" max="169" width="21.77734375" customWidth="1"/>
  </cols>
  <sheetData>
    <row r="2" spans="1:169" x14ac:dyDescent="0.3">
      <c r="A2" t="s">
        <v>5804</v>
      </c>
      <c r="C2" t="s">
        <v>135</v>
      </c>
      <c r="E2" t="s">
        <v>3493</v>
      </c>
      <c r="F2" t="s">
        <v>135</v>
      </c>
      <c r="H2" t="s">
        <v>5805</v>
      </c>
      <c r="L2" t="s">
        <v>5805</v>
      </c>
      <c r="N2" t="s">
        <v>143</v>
      </c>
      <c r="P2" t="s">
        <v>143</v>
      </c>
      <c r="Q2" t="s">
        <v>143</v>
      </c>
      <c r="S2" t="s">
        <v>3493</v>
      </c>
      <c r="U2" t="s">
        <v>5829</v>
      </c>
      <c r="W2" t="s">
        <v>395</v>
      </c>
      <c r="Y2" t="s">
        <v>398</v>
      </c>
      <c r="AA2" t="s">
        <v>281</v>
      </c>
      <c r="AC2" t="s">
        <v>5833</v>
      </c>
      <c r="AE2" t="s">
        <v>492</v>
      </c>
      <c r="AF2" t="s">
        <v>5833</v>
      </c>
      <c r="AH2" t="s">
        <v>5839</v>
      </c>
      <c r="AJ2" t="s">
        <v>402</v>
      </c>
      <c r="AK2" t="s">
        <v>5839</v>
      </c>
      <c r="AM2" t="s">
        <v>5844</v>
      </c>
      <c r="AO2" t="s">
        <v>418</v>
      </c>
      <c r="AQ2" t="s">
        <v>5854</v>
      </c>
      <c r="AT2" t="s">
        <v>5864</v>
      </c>
      <c r="AV2" t="s">
        <v>2239</v>
      </c>
      <c r="AX2" t="s">
        <v>2239</v>
      </c>
      <c r="AY2" t="s">
        <v>2239</v>
      </c>
      <c r="BA2" t="s">
        <v>5874</v>
      </c>
      <c r="BC2" t="s">
        <v>211</v>
      </c>
      <c r="BE2" t="s">
        <v>5896</v>
      </c>
      <c r="BG2" t="s">
        <v>5897</v>
      </c>
      <c r="BH2" t="s">
        <v>5896</v>
      </c>
      <c r="BJ2" t="s">
        <v>5901</v>
      </c>
      <c r="BL2" t="s">
        <v>5900</v>
      </c>
      <c r="BM2" t="s">
        <v>446</v>
      </c>
      <c r="BO2" t="s">
        <v>448</v>
      </c>
      <c r="BQ2" t="s">
        <v>5912</v>
      </c>
      <c r="BR2" t="s">
        <v>448</v>
      </c>
      <c r="BT2" t="s">
        <v>450</v>
      </c>
      <c r="BV2" t="s">
        <v>5940</v>
      </c>
      <c r="BX2" t="s">
        <v>5945</v>
      </c>
      <c r="BZ2" t="s">
        <v>5947</v>
      </c>
      <c r="CB2" t="s">
        <v>458</v>
      </c>
      <c r="CD2" t="s">
        <v>5953</v>
      </c>
      <c r="CF2" t="s">
        <v>460</v>
      </c>
      <c r="CG2" t="s">
        <v>5953</v>
      </c>
      <c r="CI2" t="s">
        <v>463</v>
      </c>
      <c r="CK2" t="s">
        <v>5960</v>
      </c>
      <c r="CM2" t="s">
        <v>5964</v>
      </c>
      <c r="CO2" t="s">
        <v>174</v>
      </c>
      <c r="CQ2" t="s">
        <v>178</v>
      </c>
      <c r="CS2" t="s">
        <v>176</v>
      </c>
      <c r="CU2" t="s">
        <v>180</v>
      </c>
      <c r="CW2" t="s">
        <v>351</v>
      </c>
      <c r="CY2" t="s">
        <v>157</v>
      </c>
      <c r="DA2" t="s">
        <v>157</v>
      </c>
      <c r="DB2" t="s">
        <v>157</v>
      </c>
      <c r="DD2" t="s">
        <v>6282</v>
      </c>
      <c r="DE2" t="s">
        <v>6283</v>
      </c>
      <c r="DG2" t="s">
        <v>6102</v>
      </c>
      <c r="DI2" t="s">
        <v>192</v>
      </c>
      <c r="DK2" t="s">
        <v>6110</v>
      </c>
      <c r="DM2" t="s">
        <v>56</v>
      </c>
    </row>
    <row r="3" spans="1:169" x14ac:dyDescent="0.3">
      <c r="A3" t="s">
        <v>5812</v>
      </c>
      <c r="C3" t="s">
        <v>134</v>
      </c>
      <c r="E3" t="s">
        <v>5794</v>
      </c>
      <c r="F3" t="s">
        <v>5795</v>
      </c>
      <c r="H3" t="s">
        <v>389</v>
      </c>
      <c r="J3" t="s">
        <v>5808</v>
      </c>
      <c r="K3" t="s">
        <v>5809</v>
      </c>
      <c r="L3" t="s">
        <v>389</v>
      </c>
      <c r="N3" t="s">
        <v>3431</v>
      </c>
      <c r="P3" t="s">
        <v>2427</v>
      </c>
      <c r="Q3" t="s">
        <v>3431</v>
      </c>
      <c r="S3" t="s">
        <v>139</v>
      </c>
      <c r="U3" t="s">
        <v>3429</v>
      </c>
      <c r="W3" t="s">
        <v>394</v>
      </c>
      <c r="Y3" t="s">
        <v>396</v>
      </c>
      <c r="AA3" t="s">
        <v>399</v>
      </c>
      <c r="AC3" t="s">
        <v>5834</v>
      </c>
      <c r="AE3" t="s">
        <v>3572</v>
      </c>
      <c r="AF3" t="s">
        <v>5834</v>
      </c>
      <c r="AH3" t="s">
        <v>223</v>
      </c>
      <c r="AJ3" t="s">
        <v>5840</v>
      </c>
      <c r="AK3" t="s">
        <v>223</v>
      </c>
      <c r="AM3" t="s">
        <v>404</v>
      </c>
      <c r="AO3" t="s">
        <v>5847</v>
      </c>
      <c r="AQ3" t="s">
        <v>422</v>
      </c>
      <c r="AT3" t="s">
        <v>5863</v>
      </c>
      <c r="AV3" t="s">
        <v>5867</v>
      </c>
      <c r="AX3" t="s">
        <v>5871</v>
      </c>
      <c r="AY3" t="s">
        <v>5872</v>
      </c>
      <c r="BA3" t="s">
        <v>55</v>
      </c>
      <c r="BC3" t="s">
        <v>5893</v>
      </c>
      <c r="BE3" t="s">
        <v>442</v>
      </c>
      <c r="BG3" t="s">
        <v>294</v>
      </c>
      <c r="BH3" t="s">
        <v>442</v>
      </c>
      <c r="BJ3" t="s">
        <v>442</v>
      </c>
      <c r="BL3" t="s">
        <v>5899</v>
      </c>
      <c r="BM3" t="s">
        <v>442</v>
      </c>
      <c r="BO3" t="s">
        <v>5903</v>
      </c>
      <c r="BQ3" t="s">
        <v>2112</v>
      </c>
      <c r="BR3" t="s">
        <v>5903</v>
      </c>
      <c r="BT3" t="s">
        <v>5921</v>
      </c>
      <c r="BV3" t="s">
        <v>451</v>
      </c>
      <c r="BX3" t="s">
        <v>453</v>
      </c>
      <c r="BZ3" t="s">
        <v>455</v>
      </c>
      <c r="CB3" t="s">
        <v>457</v>
      </c>
      <c r="CD3" t="s">
        <v>459</v>
      </c>
      <c r="CF3" t="s">
        <v>2385</v>
      </c>
      <c r="CG3" t="s">
        <v>459</v>
      </c>
      <c r="CI3" t="s">
        <v>3473</v>
      </c>
      <c r="CK3" t="s">
        <v>3454</v>
      </c>
      <c r="CM3" t="s">
        <v>478</v>
      </c>
      <c r="CO3" t="s">
        <v>173</v>
      </c>
      <c r="CQ3" t="s">
        <v>177</v>
      </c>
      <c r="CS3" t="s">
        <v>175</v>
      </c>
      <c r="CU3" t="s">
        <v>179</v>
      </c>
      <c r="CW3" t="s">
        <v>6100</v>
      </c>
      <c r="CY3" t="s">
        <v>156</v>
      </c>
      <c r="DA3" t="s">
        <v>6208</v>
      </c>
      <c r="DB3" t="s">
        <v>6207</v>
      </c>
      <c r="DD3" t="s">
        <v>2484</v>
      </c>
      <c r="DE3" t="s">
        <v>156</v>
      </c>
      <c r="DG3" t="s">
        <v>165</v>
      </c>
      <c r="DI3" t="s">
        <v>482</v>
      </c>
      <c r="DK3" t="s">
        <v>484</v>
      </c>
      <c r="DM3" t="s">
        <v>3532</v>
      </c>
      <c r="DO3" t="s">
        <v>214</v>
      </c>
      <c r="DQ3" t="s">
        <v>63</v>
      </c>
      <c r="DS3" t="s">
        <v>217</v>
      </c>
      <c r="DU3" t="s">
        <v>69</v>
      </c>
      <c r="DW3" t="s">
        <v>140</v>
      </c>
      <c r="DY3" t="s">
        <v>282</v>
      </c>
      <c r="EA3" t="s">
        <v>5897</v>
      </c>
      <c r="EC3" t="s">
        <v>5897</v>
      </c>
      <c r="ED3" t="s">
        <v>5897</v>
      </c>
      <c r="EF3" t="s">
        <v>6201</v>
      </c>
      <c r="EH3" t="s">
        <v>6201</v>
      </c>
      <c r="EI3" t="s">
        <v>6201</v>
      </c>
      <c r="EK3" t="s">
        <v>5836</v>
      </c>
      <c r="EM3" t="s">
        <v>492</v>
      </c>
      <c r="EN3" t="s">
        <v>492</v>
      </c>
      <c r="EP3" t="s">
        <v>170</v>
      </c>
      <c r="ET3" t="s">
        <v>6258</v>
      </c>
      <c r="EV3" t="s">
        <v>6260</v>
      </c>
      <c r="EX3" t="s">
        <v>6262</v>
      </c>
      <c r="EZ3" t="s">
        <v>6266</v>
      </c>
      <c r="FB3" t="s">
        <v>511</v>
      </c>
      <c r="FD3" t="s">
        <v>6269</v>
      </c>
      <c r="FF3" t="s">
        <v>367</v>
      </c>
      <c r="FH3" t="s">
        <v>520</v>
      </c>
      <c r="FJ3" t="s">
        <v>6311</v>
      </c>
      <c r="FL3" t="s">
        <v>6311</v>
      </c>
      <c r="FM3" t="s">
        <v>6311</v>
      </c>
    </row>
    <row r="4" spans="1:169" ht="14.55" customHeight="1" x14ac:dyDescent="0.3">
      <c r="A4" t="s">
        <v>5827</v>
      </c>
      <c r="C4" t="s">
        <v>5796</v>
      </c>
      <c r="F4" t="s">
        <v>5796</v>
      </c>
      <c r="H4" t="s">
        <v>5806</v>
      </c>
      <c r="L4" t="s">
        <v>5806</v>
      </c>
      <c r="N4" t="s">
        <v>5797</v>
      </c>
      <c r="P4" t="s">
        <v>5802</v>
      </c>
      <c r="Q4" t="s">
        <v>5801</v>
      </c>
      <c r="S4" t="s">
        <v>33</v>
      </c>
      <c r="U4" t="s">
        <v>33</v>
      </c>
      <c r="W4" t="s">
        <v>1032</v>
      </c>
      <c r="Y4" t="s">
        <v>1032</v>
      </c>
      <c r="AA4" t="s">
        <v>33</v>
      </c>
      <c r="AC4" t="s">
        <v>3663</v>
      </c>
      <c r="AE4" t="s">
        <v>3663</v>
      </c>
      <c r="AF4" t="s">
        <v>3663</v>
      </c>
      <c r="AH4" t="s">
        <v>5838</v>
      </c>
      <c r="AJ4" t="s">
        <v>5838</v>
      </c>
      <c r="AK4" t="s">
        <v>5838</v>
      </c>
      <c r="AM4" t="s">
        <v>5842</v>
      </c>
      <c r="AO4" t="s">
        <v>33</v>
      </c>
      <c r="AQ4" t="s">
        <v>5855</v>
      </c>
      <c r="AT4" t="s">
        <v>5858</v>
      </c>
      <c r="AV4" t="s">
        <v>3625</v>
      </c>
      <c r="AX4" t="s">
        <v>3625</v>
      </c>
      <c r="BA4" t="s">
        <v>3624</v>
      </c>
      <c r="BC4" t="s">
        <v>3838</v>
      </c>
      <c r="BE4" t="s">
        <v>3615</v>
      </c>
      <c r="BG4" t="s">
        <v>3615</v>
      </c>
      <c r="BH4" t="s">
        <v>3615</v>
      </c>
      <c r="BJ4" t="s">
        <v>3615</v>
      </c>
      <c r="BL4" t="s">
        <v>3615</v>
      </c>
      <c r="BM4" t="s">
        <v>3615</v>
      </c>
      <c r="BO4" t="s">
        <v>3694</v>
      </c>
      <c r="BQ4" t="s">
        <v>4042</v>
      </c>
      <c r="BR4" t="s">
        <v>3694</v>
      </c>
      <c r="BT4" t="s">
        <v>33</v>
      </c>
      <c r="BV4" t="s">
        <v>33</v>
      </c>
      <c r="BX4" t="s">
        <v>5942</v>
      </c>
      <c r="BZ4" t="s">
        <v>5948</v>
      </c>
      <c r="CB4" t="s">
        <v>33</v>
      </c>
      <c r="CD4" t="s">
        <v>5951</v>
      </c>
      <c r="CF4" t="s">
        <v>5954</v>
      </c>
      <c r="CG4" t="s">
        <v>5951</v>
      </c>
      <c r="CI4" t="s">
        <v>3664</v>
      </c>
      <c r="CK4" t="s">
        <v>3665</v>
      </c>
      <c r="CM4" t="s">
        <v>5962</v>
      </c>
      <c r="CO4" t="s">
        <v>33</v>
      </c>
      <c r="CQ4" t="s">
        <v>33</v>
      </c>
      <c r="CS4" t="s">
        <v>33</v>
      </c>
      <c r="CU4" t="s">
        <v>33</v>
      </c>
      <c r="CW4" t="s">
        <v>6098</v>
      </c>
      <c r="CY4" t="s">
        <v>3015</v>
      </c>
      <c r="DA4" t="s">
        <v>1786</v>
      </c>
      <c r="DB4" t="s">
        <v>3015</v>
      </c>
      <c r="DD4" t="s">
        <v>3667</v>
      </c>
      <c r="DE4" t="s">
        <v>3667</v>
      </c>
      <c r="DG4" t="s">
        <v>3629</v>
      </c>
      <c r="DI4" t="s">
        <v>3670</v>
      </c>
      <c r="DK4" t="s">
        <v>6113</v>
      </c>
      <c r="DM4" t="s">
        <v>3624</v>
      </c>
      <c r="DO4" t="s">
        <v>485</v>
      </c>
      <c r="DQ4" t="s">
        <v>61</v>
      </c>
      <c r="DS4" t="s">
        <v>486</v>
      </c>
      <c r="DU4" t="s">
        <v>67</v>
      </c>
      <c r="DW4" t="s">
        <v>487</v>
      </c>
      <c r="DY4" t="s">
        <v>280</v>
      </c>
      <c r="EA4" t="s">
        <v>294</v>
      </c>
      <c r="EC4" t="s">
        <v>294</v>
      </c>
      <c r="ED4" t="s">
        <v>6198</v>
      </c>
      <c r="EF4" t="s">
        <v>158</v>
      </c>
      <c r="EH4" t="s">
        <v>158</v>
      </c>
      <c r="EI4" t="s">
        <v>6203</v>
      </c>
      <c r="EK4" t="s">
        <v>2114</v>
      </c>
      <c r="EM4" t="s">
        <v>3572</v>
      </c>
      <c r="EN4" t="s">
        <v>6206</v>
      </c>
      <c r="EP4" t="s">
        <v>169</v>
      </c>
      <c r="ER4" t="s">
        <v>2785</v>
      </c>
      <c r="ET4" t="s">
        <v>244</v>
      </c>
      <c r="EV4" t="s">
        <v>3453</v>
      </c>
      <c r="EX4" t="s">
        <v>335</v>
      </c>
      <c r="EZ4" t="s">
        <v>3452</v>
      </c>
      <c r="FB4" t="s">
        <v>3445</v>
      </c>
      <c r="FD4" t="s">
        <v>346</v>
      </c>
      <c r="FF4" t="s">
        <v>6270</v>
      </c>
      <c r="FH4" t="s">
        <v>519</v>
      </c>
      <c r="FJ4" t="s">
        <v>251</v>
      </c>
      <c r="FL4" t="s">
        <v>6314</v>
      </c>
      <c r="FM4" t="s">
        <v>251</v>
      </c>
    </row>
    <row r="5" spans="1:169" x14ac:dyDescent="0.3">
      <c r="A5" t="s">
        <v>5813</v>
      </c>
      <c r="C5" t="s">
        <v>5798</v>
      </c>
      <c r="F5" t="s">
        <v>5798</v>
      </c>
      <c r="H5" t="s">
        <v>5807</v>
      </c>
      <c r="L5" t="s">
        <v>5807</v>
      </c>
      <c r="N5" t="s">
        <v>5799</v>
      </c>
      <c r="P5" t="s">
        <v>5803</v>
      </c>
      <c r="Q5" t="s">
        <v>5801</v>
      </c>
      <c r="S5" t="s">
        <v>19</v>
      </c>
      <c r="U5" t="s">
        <v>19</v>
      </c>
      <c r="W5" t="s">
        <v>1032</v>
      </c>
      <c r="Y5" t="s">
        <v>1032</v>
      </c>
      <c r="AA5" t="s">
        <v>19</v>
      </c>
      <c r="AC5" t="s">
        <v>3836</v>
      </c>
      <c r="AE5" t="s">
        <v>3751</v>
      </c>
      <c r="AF5" t="s">
        <v>5835</v>
      </c>
      <c r="AH5" t="s">
        <v>4082</v>
      </c>
      <c r="AJ5" t="s">
        <v>4082</v>
      </c>
      <c r="AK5" t="s">
        <v>4082</v>
      </c>
      <c r="AM5" t="s">
        <v>3666</v>
      </c>
      <c r="AO5" t="s">
        <v>19</v>
      </c>
      <c r="AQ5" t="s">
        <v>5850</v>
      </c>
      <c r="AT5" t="s">
        <v>5859</v>
      </c>
      <c r="AV5" t="s">
        <v>5868</v>
      </c>
      <c r="AX5" t="s">
        <v>5868</v>
      </c>
      <c r="AY5" t="s">
        <v>5868</v>
      </c>
      <c r="BA5" t="s">
        <v>5877</v>
      </c>
      <c r="BC5" t="s">
        <v>1783</v>
      </c>
      <c r="BE5" t="s">
        <v>3791</v>
      </c>
      <c r="BG5" t="s">
        <v>3791</v>
      </c>
      <c r="BH5" t="s">
        <v>3791</v>
      </c>
      <c r="BJ5" t="s">
        <v>3791</v>
      </c>
      <c r="BL5" t="s">
        <v>3791</v>
      </c>
      <c r="BM5" t="s">
        <v>3791</v>
      </c>
      <c r="BO5" t="s">
        <v>5904</v>
      </c>
      <c r="BQ5" t="s">
        <v>5904</v>
      </c>
      <c r="BR5" t="s">
        <v>5904</v>
      </c>
      <c r="BV5" t="s">
        <v>19</v>
      </c>
      <c r="BX5" t="s">
        <v>5943</v>
      </c>
      <c r="BZ5" t="s">
        <v>5949</v>
      </c>
      <c r="CB5" t="s">
        <v>19</v>
      </c>
      <c r="CD5" t="s">
        <v>5952</v>
      </c>
      <c r="CF5" t="s">
        <v>2785</v>
      </c>
      <c r="CI5" t="s">
        <v>3752</v>
      </c>
      <c r="CK5" t="s">
        <v>3753</v>
      </c>
      <c r="CM5" t="s">
        <v>889</v>
      </c>
      <c r="CO5" t="s">
        <v>19</v>
      </c>
      <c r="CQ5" t="s">
        <v>19</v>
      </c>
      <c r="CS5" t="s">
        <v>19</v>
      </c>
      <c r="CU5" t="s">
        <v>19</v>
      </c>
      <c r="CW5" t="s">
        <v>6099</v>
      </c>
      <c r="CY5" t="s">
        <v>3667</v>
      </c>
      <c r="DA5" t="s">
        <v>3665</v>
      </c>
      <c r="DB5" t="s">
        <v>3015</v>
      </c>
      <c r="DD5" t="s">
        <v>2005</v>
      </c>
      <c r="DE5" t="s">
        <v>6101</v>
      </c>
      <c r="DG5" t="s">
        <v>3717</v>
      </c>
      <c r="DI5" t="s">
        <v>3759</v>
      </c>
      <c r="DK5" t="s">
        <v>6114</v>
      </c>
      <c r="DM5" t="s">
        <v>5877</v>
      </c>
      <c r="DO5" t="s">
        <v>33</v>
      </c>
      <c r="DQ5" t="s">
        <v>3838</v>
      </c>
      <c r="DS5" t="s">
        <v>33</v>
      </c>
      <c r="DU5" t="s">
        <v>3838</v>
      </c>
      <c r="DW5" t="s">
        <v>3665</v>
      </c>
      <c r="DY5" t="s">
        <v>3665</v>
      </c>
      <c r="EA5" t="s">
        <v>3615</v>
      </c>
      <c r="EC5" t="s">
        <v>3615</v>
      </c>
      <c r="ED5" t="s">
        <v>3615</v>
      </c>
      <c r="EF5" t="s">
        <v>3834</v>
      </c>
      <c r="EH5" t="s">
        <v>3163</v>
      </c>
      <c r="EI5" t="s">
        <v>3834</v>
      </c>
      <c r="EK5" t="s">
        <v>3663</v>
      </c>
      <c r="EM5" t="s">
        <v>3663</v>
      </c>
      <c r="EN5" t="s">
        <v>3663</v>
      </c>
      <c r="EP5" t="s">
        <v>3816</v>
      </c>
      <c r="ER5" t="s">
        <v>6222</v>
      </c>
      <c r="ET5" t="s">
        <v>1185</v>
      </c>
      <c r="EV5" t="s">
        <v>33</v>
      </c>
      <c r="EX5" t="s">
        <v>6263</v>
      </c>
      <c r="EZ5" t="s">
        <v>33</v>
      </c>
      <c r="FB5" t="s">
        <v>3665</v>
      </c>
      <c r="FD5" t="s">
        <v>6263</v>
      </c>
      <c r="FF5" t="s">
        <v>3665</v>
      </c>
      <c r="FH5" t="s">
        <v>6098</v>
      </c>
      <c r="FJ5" t="s">
        <v>4022</v>
      </c>
      <c r="FL5" t="s">
        <v>4022</v>
      </c>
      <c r="FM5" t="s">
        <v>4022</v>
      </c>
    </row>
    <row r="6" spans="1:169" x14ac:dyDescent="0.3">
      <c r="A6" t="s">
        <v>5814</v>
      </c>
      <c r="C6" t="s">
        <v>5800</v>
      </c>
      <c r="F6" t="s">
        <v>5800</v>
      </c>
      <c r="H6" t="s">
        <v>19</v>
      </c>
      <c r="L6" t="s">
        <v>19</v>
      </c>
      <c r="N6" t="s">
        <v>5801</v>
      </c>
      <c r="P6" t="s">
        <v>19</v>
      </c>
      <c r="Q6" t="s">
        <v>19</v>
      </c>
      <c r="AC6" t="s">
        <v>5835</v>
      </c>
      <c r="AE6" t="s">
        <v>3836</v>
      </c>
      <c r="AF6" t="s">
        <v>3836</v>
      </c>
      <c r="AH6" t="s">
        <v>3624</v>
      </c>
      <c r="AJ6" t="s">
        <v>3624</v>
      </c>
      <c r="AK6" t="s">
        <v>3624</v>
      </c>
      <c r="AM6" t="s">
        <v>1783</v>
      </c>
      <c r="AQ6" t="s">
        <v>5851</v>
      </c>
      <c r="AT6" t="s">
        <v>5860</v>
      </c>
      <c r="AV6" t="s">
        <v>5869</v>
      </c>
      <c r="AX6" t="s">
        <v>5869</v>
      </c>
      <c r="AY6" t="s">
        <v>5869</v>
      </c>
      <c r="BA6" t="s">
        <v>5878</v>
      </c>
      <c r="BC6" t="s">
        <v>3666</v>
      </c>
      <c r="BE6" t="s">
        <v>5895</v>
      </c>
      <c r="BG6" t="s">
        <v>5895</v>
      </c>
      <c r="BH6" t="s">
        <v>5895</v>
      </c>
      <c r="BJ6" t="s">
        <v>5895</v>
      </c>
      <c r="BL6" t="s">
        <v>5895</v>
      </c>
      <c r="BM6" t="s">
        <v>5895</v>
      </c>
      <c r="BO6" t="s">
        <v>3784</v>
      </c>
      <c r="BQ6" t="s">
        <v>5914</v>
      </c>
      <c r="BR6" t="s">
        <v>3784</v>
      </c>
      <c r="BX6" t="s">
        <v>5944</v>
      </c>
      <c r="BZ6" t="s">
        <v>5950</v>
      </c>
      <c r="CI6" t="s">
        <v>4026</v>
      </c>
      <c r="CK6" t="s">
        <v>3754</v>
      </c>
      <c r="CM6" t="s">
        <v>5963</v>
      </c>
      <c r="CY6" t="s">
        <v>3755</v>
      </c>
      <c r="DA6" t="s">
        <v>3739</v>
      </c>
      <c r="DB6" t="s">
        <v>3667</v>
      </c>
      <c r="DD6" t="s">
        <v>6281</v>
      </c>
      <c r="DE6" t="s">
        <v>3771</v>
      </c>
      <c r="DG6" t="s">
        <v>3805</v>
      </c>
      <c r="DI6" t="s">
        <v>3842</v>
      </c>
      <c r="DK6" t="s">
        <v>4400</v>
      </c>
      <c r="DM6" t="s">
        <v>5878</v>
      </c>
      <c r="DO6" t="s">
        <v>19</v>
      </c>
      <c r="DQ6" t="s">
        <v>1783</v>
      </c>
      <c r="DS6" t="s">
        <v>19</v>
      </c>
      <c r="DU6" t="s">
        <v>1783</v>
      </c>
      <c r="DW6" t="s">
        <v>6195</v>
      </c>
      <c r="DY6" t="s">
        <v>6195</v>
      </c>
      <c r="EA6" t="s">
        <v>3791</v>
      </c>
      <c r="EC6" t="s">
        <v>3791</v>
      </c>
      <c r="ED6" t="s">
        <v>3791</v>
      </c>
      <c r="EF6" t="s">
        <v>3911</v>
      </c>
      <c r="EH6" t="s">
        <v>3749</v>
      </c>
      <c r="EI6" t="s">
        <v>3834</v>
      </c>
      <c r="EK6" t="s">
        <v>3836</v>
      </c>
      <c r="EM6" t="s">
        <v>3751</v>
      </c>
      <c r="EN6" t="s">
        <v>5835</v>
      </c>
      <c r="EP6" t="s">
        <v>3639</v>
      </c>
      <c r="ER6" t="s">
        <v>6223</v>
      </c>
      <c r="ET6" t="s">
        <v>3756</v>
      </c>
      <c r="EV6" t="s">
        <v>19</v>
      </c>
      <c r="EX6" t="s">
        <v>3752</v>
      </c>
      <c r="EZ6" t="s">
        <v>19</v>
      </c>
      <c r="FB6" t="s">
        <v>6267</v>
      </c>
      <c r="FD6" t="s">
        <v>3752</v>
      </c>
      <c r="FF6" t="s">
        <v>3754</v>
      </c>
      <c r="FH6" t="s">
        <v>6272</v>
      </c>
      <c r="FJ6" t="s">
        <v>3903</v>
      </c>
      <c r="FL6" t="s">
        <v>3903</v>
      </c>
      <c r="FM6" t="s">
        <v>3903</v>
      </c>
    </row>
    <row r="7" spans="1:169" x14ac:dyDescent="0.3">
      <c r="A7" t="s">
        <v>5815</v>
      </c>
      <c r="N7" t="s">
        <v>19</v>
      </c>
      <c r="AC7" t="s">
        <v>3619</v>
      </c>
      <c r="AE7" t="s">
        <v>3619</v>
      </c>
      <c r="AF7" t="s">
        <v>3619</v>
      </c>
      <c r="AH7" t="s">
        <v>3707</v>
      </c>
      <c r="AJ7" t="s">
        <v>3707</v>
      </c>
      <c r="AK7" t="s">
        <v>3707</v>
      </c>
      <c r="AM7" t="s">
        <v>3838</v>
      </c>
      <c r="AQ7" t="s">
        <v>5852</v>
      </c>
      <c r="AT7" t="s">
        <v>5861</v>
      </c>
      <c r="AV7" t="s">
        <v>5870</v>
      </c>
      <c r="AX7" t="s">
        <v>5870</v>
      </c>
      <c r="AY7" t="s">
        <v>5870</v>
      </c>
      <c r="BA7" t="s">
        <v>5879</v>
      </c>
      <c r="BE7" t="s">
        <v>3943</v>
      </c>
      <c r="BG7" t="s">
        <v>3943</v>
      </c>
      <c r="BH7" t="s">
        <v>3943</v>
      </c>
      <c r="BJ7" t="s">
        <v>3943</v>
      </c>
      <c r="BL7" t="s">
        <v>3943</v>
      </c>
      <c r="BM7" t="s">
        <v>3943</v>
      </c>
      <c r="BO7" t="s">
        <v>3615</v>
      </c>
      <c r="BQ7" t="s">
        <v>3690</v>
      </c>
      <c r="BR7" t="s">
        <v>3615</v>
      </c>
      <c r="CM7" t="s">
        <v>891</v>
      </c>
      <c r="CY7" t="s">
        <v>6101</v>
      </c>
      <c r="DA7" t="s">
        <v>3755</v>
      </c>
      <c r="DB7" t="s">
        <v>3755</v>
      </c>
      <c r="DD7" t="s">
        <v>3771</v>
      </c>
      <c r="DE7" t="s">
        <v>3771</v>
      </c>
      <c r="DG7" t="s">
        <v>3886</v>
      </c>
      <c r="DI7" t="s">
        <v>3916</v>
      </c>
      <c r="DK7" t="s">
        <v>6115</v>
      </c>
      <c r="DM7" t="s">
        <v>5879</v>
      </c>
      <c r="DQ7" t="s">
        <v>3666</v>
      </c>
      <c r="DU7" t="s">
        <v>3666</v>
      </c>
      <c r="DW7" t="s">
        <v>6196</v>
      </c>
      <c r="DY7" t="s">
        <v>6196</v>
      </c>
      <c r="EA7" t="s">
        <v>5895</v>
      </c>
      <c r="EC7" t="s">
        <v>5895</v>
      </c>
      <c r="ED7" t="s">
        <v>5895</v>
      </c>
      <c r="EF7" t="s">
        <v>3975</v>
      </c>
      <c r="EH7" t="s">
        <v>3834</v>
      </c>
      <c r="EI7" t="s">
        <v>3834</v>
      </c>
      <c r="EK7" t="s">
        <v>5835</v>
      </c>
      <c r="EM7" t="s">
        <v>3836</v>
      </c>
      <c r="EN7" t="s">
        <v>3836</v>
      </c>
      <c r="EP7" t="s">
        <v>3962</v>
      </c>
      <c r="ER7" t="s">
        <v>6224</v>
      </c>
      <c r="ET7" t="s">
        <v>3839</v>
      </c>
      <c r="FJ7" t="s">
        <v>6312</v>
      </c>
      <c r="FL7" t="s">
        <v>4093</v>
      </c>
      <c r="FM7" t="s">
        <v>6312</v>
      </c>
    </row>
    <row r="8" spans="1:169" x14ac:dyDescent="0.3">
      <c r="A8" t="s">
        <v>5821</v>
      </c>
      <c r="AJ8" t="s">
        <v>3849</v>
      </c>
      <c r="AM8" t="s">
        <v>5843</v>
      </c>
      <c r="AQ8" t="s">
        <v>5853</v>
      </c>
      <c r="AT8" t="s">
        <v>5862</v>
      </c>
      <c r="BA8" t="s">
        <v>5880</v>
      </c>
      <c r="BG8" t="s">
        <v>3703</v>
      </c>
      <c r="BH8" t="s">
        <v>5895</v>
      </c>
      <c r="BL8" t="s">
        <v>3703</v>
      </c>
      <c r="BM8" t="s">
        <v>5895</v>
      </c>
      <c r="BO8" t="s">
        <v>3937</v>
      </c>
      <c r="BQ8" t="s">
        <v>4164</v>
      </c>
      <c r="BR8" t="s">
        <v>3937</v>
      </c>
      <c r="CY8" t="s">
        <v>3771</v>
      </c>
      <c r="DA8" t="s">
        <v>6209</v>
      </c>
      <c r="DB8" t="s">
        <v>6101</v>
      </c>
      <c r="DD8" t="s">
        <v>4026</v>
      </c>
      <c r="DE8" t="s">
        <v>4026</v>
      </c>
      <c r="DG8" t="s">
        <v>3956</v>
      </c>
      <c r="DI8" t="s">
        <v>3978</v>
      </c>
      <c r="DK8" t="s">
        <v>6116</v>
      </c>
      <c r="DM8" t="s">
        <v>5880</v>
      </c>
      <c r="DW8" t="s">
        <v>4026</v>
      </c>
      <c r="DY8" t="s">
        <v>4026</v>
      </c>
      <c r="EA8" t="s">
        <v>3943</v>
      </c>
      <c r="EC8" t="s">
        <v>3943</v>
      </c>
      <c r="ED8" t="s">
        <v>3943</v>
      </c>
      <c r="EF8" t="s">
        <v>4027</v>
      </c>
      <c r="EH8" t="s">
        <v>3911</v>
      </c>
      <c r="EI8" t="s">
        <v>3911</v>
      </c>
      <c r="EK8" t="s">
        <v>3619</v>
      </c>
      <c r="EM8" t="s">
        <v>3619</v>
      </c>
      <c r="EN8" t="s">
        <v>3619</v>
      </c>
      <c r="EP8" t="s">
        <v>3728</v>
      </c>
      <c r="ER8" t="s">
        <v>6225</v>
      </c>
      <c r="FJ8" t="s">
        <v>3654</v>
      </c>
      <c r="FL8" t="s">
        <v>3654</v>
      </c>
      <c r="FM8" t="s">
        <v>3654</v>
      </c>
    </row>
    <row r="9" spans="1:169" x14ac:dyDescent="0.3">
      <c r="A9" t="s">
        <v>5822</v>
      </c>
      <c r="AQ9" t="s">
        <v>607</v>
      </c>
      <c r="BA9" t="s">
        <v>5881</v>
      </c>
      <c r="BO9" t="s">
        <v>4000</v>
      </c>
      <c r="BQ9" t="s">
        <v>4252</v>
      </c>
      <c r="BR9" t="s">
        <v>4000</v>
      </c>
      <c r="CY9" t="s">
        <v>4026</v>
      </c>
      <c r="DA9" t="s">
        <v>2005</v>
      </c>
      <c r="DB9" t="s">
        <v>6101</v>
      </c>
      <c r="DD9" t="s">
        <v>3755</v>
      </c>
      <c r="DE9" t="s">
        <v>3755</v>
      </c>
      <c r="DI9" t="s">
        <v>1095</v>
      </c>
      <c r="DK9" t="s">
        <v>6117</v>
      </c>
      <c r="DM9" t="s">
        <v>5881</v>
      </c>
      <c r="EC9" t="s">
        <v>3703</v>
      </c>
      <c r="ED9" t="s">
        <v>5895</v>
      </c>
      <c r="EF9" t="s">
        <v>4063</v>
      </c>
      <c r="EH9" t="s">
        <v>3975</v>
      </c>
      <c r="EI9" t="s">
        <v>3975</v>
      </c>
      <c r="EP9" t="s">
        <v>3893</v>
      </c>
      <c r="ER9" t="s">
        <v>6226</v>
      </c>
      <c r="FJ9" t="s">
        <v>6313</v>
      </c>
      <c r="FL9" t="s">
        <v>3737</v>
      </c>
      <c r="FM9" t="s">
        <v>3849</v>
      </c>
    </row>
    <row r="10" spans="1:169" x14ac:dyDescent="0.3">
      <c r="A10" t="s">
        <v>5823</v>
      </c>
      <c r="BA10" t="s">
        <v>5882</v>
      </c>
      <c r="BO10" t="s">
        <v>3639</v>
      </c>
      <c r="BQ10" t="s">
        <v>3863</v>
      </c>
      <c r="BR10" t="s">
        <v>3639</v>
      </c>
      <c r="DA10" t="s">
        <v>3771</v>
      </c>
      <c r="DB10" t="s">
        <v>3771</v>
      </c>
      <c r="DK10" t="s">
        <v>6118</v>
      </c>
      <c r="DM10" t="s">
        <v>5882</v>
      </c>
      <c r="EF10" t="s">
        <v>4096</v>
      </c>
      <c r="EH10" t="s">
        <v>4027</v>
      </c>
      <c r="EI10" t="s">
        <v>4027</v>
      </c>
      <c r="EP10" t="s">
        <v>4015</v>
      </c>
      <c r="ER10" t="s">
        <v>6227</v>
      </c>
      <c r="FJ10" t="s">
        <v>3849</v>
      </c>
      <c r="FL10" t="s">
        <v>3824</v>
      </c>
      <c r="FM10" t="s">
        <v>3824</v>
      </c>
    </row>
    <row r="11" spans="1:169" x14ac:dyDescent="0.3">
      <c r="A11" t="s">
        <v>5816</v>
      </c>
      <c r="BA11" t="s">
        <v>5883</v>
      </c>
      <c r="BO11" t="s">
        <v>4111</v>
      </c>
      <c r="BQ11" t="s">
        <v>3998</v>
      </c>
      <c r="BR11" t="s">
        <v>4111</v>
      </c>
      <c r="DA11" t="s">
        <v>4026</v>
      </c>
      <c r="DB11" t="s">
        <v>4026</v>
      </c>
      <c r="DK11" t="s">
        <v>6119</v>
      </c>
      <c r="DM11" t="s">
        <v>5883</v>
      </c>
      <c r="EF11" t="s">
        <v>4127</v>
      </c>
      <c r="EH11" t="s">
        <v>4063</v>
      </c>
      <c r="EI11" t="s">
        <v>4063</v>
      </c>
      <c r="ER11" t="s">
        <v>3876</v>
      </c>
      <c r="FJ11" t="s">
        <v>3824</v>
      </c>
      <c r="FL11" t="s">
        <v>3663</v>
      </c>
      <c r="FM11" t="s">
        <v>6313</v>
      </c>
    </row>
    <row r="12" spans="1:169" x14ac:dyDescent="0.3">
      <c r="A12" t="s">
        <v>5817</v>
      </c>
      <c r="BA12" t="s">
        <v>5884</v>
      </c>
      <c r="BO12" t="s">
        <v>5905</v>
      </c>
      <c r="BQ12" t="s">
        <v>5913</v>
      </c>
      <c r="BR12" t="s">
        <v>5905</v>
      </c>
      <c r="DK12" t="s">
        <v>6120</v>
      </c>
      <c r="DM12" t="s">
        <v>6186</v>
      </c>
      <c r="EH12" t="s">
        <v>4096</v>
      </c>
      <c r="EI12" t="s">
        <v>4096</v>
      </c>
      <c r="ER12" t="s">
        <v>6228</v>
      </c>
      <c r="FJ12" t="s">
        <v>6315</v>
      </c>
      <c r="FL12" t="s">
        <v>4058</v>
      </c>
      <c r="FM12" t="s">
        <v>3849</v>
      </c>
    </row>
    <row r="13" spans="1:169" x14ac:dyDescent="0.3">
      <c r="A13" t="s">
        <v>5818</v>
      </c>
      <c r="BA13" t="s">
        <v>5885</v>
      </c>
      <c r="BO13" t="s">
        <v>5906</v>
      </c>
      <c r="BQ13" t="s">
        <v>4075</v>
      </c>
      <c r="BR13" t="s">
        <v>4139</v>
      </c>
      <c r="DK13" t="s">
        <v>6121</v>
      </c>
      <c r="DM13" t="s">
        <v>5885</v>
      </c>
      <c r="EH13" t="s">
        <v>4127</v>
      </c>
      <c r="EI13" t="s">
        <v>4127</v>
      </c>
      <c r="ER13" t="s">
        <v>6229</v>
      </c>
    </row>
    <row r="14" spans="1:169" x14ac:dyDescent="0.3">
      <c r="A14" t="s">
        <v>5819</v>
      </c>
      <c r="BA14" t="s">
        <v>5886</v>
      </c>
      <c r="BO14" t="s">
        <v>4139</v>
      </c>
      <c r="BQ14" t="s">
        <v>4270</v>
      </c>
      <c r="BR14" t="s">
        <v>4166</v>
      </c>
      <c r="DK14" t="s">
        <v>6122</v>
      </c>
      <c r="DM14" t="s">
        <v>5886</v>
      </c>
      <c r="EH14" t="s">
        <v>4156</v>
      </c>
      <c r="EI14" t="s">
        <v>4127</v>
      </c>
      <c r="ER14" t="s">
        <v>4081</v>
      </c>
    </row>
    <row r="15" spans="1:169" x14ac:dyDescent="0.3">
      <c r="A15" t="s">
        <v>5820</v>
      </c>
      <c r="BA15" t="s">
        <v>5887</v>
      </c>
      <c r="BO15" t="s">
        <v>4166</v>
      </c>
      <c r="BQ15" t="s">
        <v>5917</v>
      </c>
      <c r="BR15" t="s">
        <v>4186</v>
      </c>
      <c r="DK15" t="s">
        <v>6123</v>
      </c>
      <c r="DM15" t="s">
        <v>5887</v>
      </c>
      <c r="EH15" t="s">
        <v>4180</v>
      </c>
      <c r="EI15" t="s">
        <v>4127</v>
      </c>
      <c r="ER15" t="s">
        <v>6230</v>
      </c>
    </row>
    <row r="16" spans="1:169" x14ac:dyDescent="0.3">
      <c r="BA16" t="s">
        <v>5888</v>
      </c>
      <c r="BO16" t="s">
        <v>4186</v>
      </c>
      <c r="BQ16" t="s">
        <v>4185</v>
      </c>
      <c r="BR16" t="s">
        <v>4146</v>
      </c>
      <c r="DK16" t="s">
        <v>6124</v>
      </c>
      <c r="DM16" t="s">
        <v>5888</v>
      </c>
      <c r="ER16" t="s">
        <v>6231</v>
      </c>
    </row>
    <row r="17" spans="53:148" x14ac:dyDescent="0.3">
      <c r="BA17" t="s">
        <v>5889</v>
      </c>
      <c r="BO17" t="s">
        <v>4146</v>
      </c>
      <c r="BQ17" t="s">
        <v>4110</v>
      </c>
      <c r="BR17" t="s">
        <v>4235</v>
      </c>
      <c r="DK17" t="s">
        <v>6125</v>
      </c>
      <c r="DM17" t="s">
        <v>5889</v>
      </c>
      <c r="ER17" t="s">
        <v>6232</v>
      </c>
    </row>
    <row r="18" spans="53:148" x14ac:dyDescent="0.3">
      <c r="BA18" t="s">
        <v>4051</v>
      </c>
      <c r="BO18" t="s">
        <v>3619</v>
      </c>
      <c r="BQ18" t="s">
        <v>4137</v>
      </c>
      <c r="BR18" t="s">
        <v>3707</v>
      </c>
      <c r="DK18" t="s">
        <v>6126</v>
      </c>
      <c r="DM18" t="s">
        <v>4051</v>
      </c>
      <c r="ER18" t="s">
        <v>6233</v>
      </c>
    </row>
    <row r="19" spans="53:148" x14ac:dyDescent="0.3">
      <c r="BA19" t="s">
        <v>5890</v>
      </c>
      <c r="BO19" t="s">
        <v>4235</v>
      </c>
      <c r="BQ19" t="s">
        <v>5918</v>
      </c>
      <c r="BR19" t="s">
        <v>5908</v>
      </c>
      <c r="DK19" t="s">
        <v>6127</v>
      </c>
      <c r="DM19" t="s">
        <v>5890</v>
      </c>
      <c r="ER19" t="s">
        <v>6234</v>
      </c>
    </row>
    <row r="20" spans="53:148" x14ac:dyDescent="0.3">
      <c r="BA20" t="s">
        <v>5891</v>
      </c>
      <c r="BO20" t="s">
        <v>5911</v>
      </c>
      <c r="BQ20" t="s">
        <v>5915</v>
      </c>
      <c r="BR20" t="s">
        <v>5909</v>
      </c>
      <c r="DK20" t="s">
        <v>6128</v>
      </c>
      <c r="DM20" t="s">
        <v>5891</v>
      </c>
      <c r="ER20" t="s">
        <v>6235</v>
      </c>
    </row>
    <row r="21" spans="53:148" x14ac:dyDescent="0.3">
      <c r="BA21" t="s">
        <v>5892</v>
      </c>
      <c r="BO21" t="s">
        <v>5907</v>
      </c>
      <c r="BQ21" t="s">
        <v>5916</v>
      </c>
      <c r="BR21" t="s">
        <v>5910</v>
      </c>
      <c r="DK21" t="s">
        <v>6129</v>
      </c>
      <c r="DM21" t="s">
        <v>5892</v>
      </c>
      <c r="ER21" t="s">
        <v>6236</v>
      </c>
    </row>
    <row r="22" spans="53:148" x14ac:dyDescent="0.3">
      <c r="BO22" t="s">
        <v>3707</v>
      </c>
      <c r="BQ22" t="s">
        <v>3935</v>
      </c>
      <c r="BR22" t="s">
        <v>4307</v>
      </c>
      <c r="DK22" t="s">
        <v>6130</v>
      </c>
      <c r="ER22" t="s">
        <v>6237</v>
      </c>
    </row>
    <row r="23" spans="53:148" x14ac:dyDescent="0.3">
      <c r="BO23" t="s">
        <v>5908</v>
      </c>
      <c r="BQ23" t="s">
        <v>5919</v>
      </c>
      <c r="BR23" t="s">
        <v>4128</v>
      </c>
      <c r="DK23" t="s">
        <v>6131</v>
      </c>
      <c r="ER23" t="s">
        <v>6238</v>
      </c>
    </row>
    <row r="24" spans="53:148" x14ac:dyDescent="0.3">
      <c r="BO24" t="s">
        <v>5909</v>
      </c>
      <c r="BQ24" t="s">
        <v>5922</v>
      </c>
      <c r="DK24" t="s">
        <v>6132</v>
      </c>
      <c r="ER24" t="s">
        <v>6239</v>
      </c>
    </row>
    <row r="25" spans="53:148" x14ac:dyDescent="0.3">
      <c r="BO25" t="s">
        <v>5910</v>
      </c>
      <c r="BQ25" t="s">
        <v>5923</v>
      </c>
      <c r="DK25" t="s">
        <v>6133</v>
      </c>
      <c r="ER25" t="s">
        <v>6240</v>
      </c>
    </row>
    <row r="26" spans="53:148" x14ac:dyDescent="0.3">
      <c r="BO26" t="s">
        <v>4307</v>
      </c>
      <c r="BQ26" t="s">
        <v>5924</v>
      </c>
      <c r="DK26" t="s">
        <v>6134</v>
      </c>
      <c r="ER26" t="s">
        <v>6241</v>
      </c>
    </row>
    <row r="27" spans="53:148" x14ac:dyDescent="0.3">
      <c r="BO27" t="s">
        <v>4128</v>
      </c>
      <c r="BQ27" t="s">
        <v>5925</v>
      </c>
      <c r="DK27" t="s">
        <v>6135</v>
      </c>
      <c r="ER27" t="s">
        <v>6242</v>
      </c>
    </row>
    <row r="28" spans="53:148" x14ac:dyDescent="0.3">
      <c r="BQ28" t="s">
        <v>5926</v>
      </c>
      <c r="DK28" t="s">
        <v>6136</v>
      </c>
      <c r="ER28" t="s">
        <v>6243</v>
      </c>
    </row>
    <row r="29" spans="53:148" x14ac:dyDescent="0.3">
      <c r="DK29" t="s">
        <v>6137</v>
      </c>
      <c r="ER29" t="s">
        <v>6244</v>
      </c>
    </row>
    <row r="30" spans="53:148" x14ac:dyDescent="0.3">
      <c r="DK30" t="s">
        <v>6138</v>
      </c>
      <c r="ER30" t="s">
        <v>6245</v>
      </c>
    </row>
    <row r="31" spans="53:148" x14ac:dyDescent="0.3">
      <c r="DK31" t="s">
        <v>6139</v>
      </c>
      <c r="ER31" t="s">
        <v>6246</v>
      </c>
    </row>
    <row r="32" spans="53:148" x14ac:dyDescent="0.3">
      <c r="DK32" t="s">
        <v>6140</v>
      </c>
      <c r="ER32" t="s">
        <v>4145</v>
      </c>
    </row>
    <row r="33" spans="115:148" x14ac:dyDescent="0.3">
      <c r="DK33" t="s">
        <v>6141</v>
      </c>
      <c r="ER33" t="s">
        <v>6247</v>
      </c>
    </row>
    <row r="34" spans="115:148" x14ac:dyDescent="0.3">
      <c r="DK34" t="s">
        <v>6142</v>
      </c>
      <c r="ER34" t="s">
        <v>6248</v>
      </c>
    </row>
    <row r="35" spans="115:148" x14ac:dyDescent="0.3">
      <c r="DK35" t="s">
        <v>6143</v>
      </c>
      <c r="ER35" t="s">
        <v>4192</v>
      </c>
    </row>
    <row r="36" spans="115:148" x14ac:dyDescent="0.3">
      <c r="DK36" t="s">
        <v>6144</v>
      </c>
      <c r="ER36" t="s">
        <v>4215</v>
      </c>
    </row>
    <row r="37" spans="115:148" x14ac:dyDescent="0.3">
      <c r="DK37" t="s">
        <v>6145</v>
      </c>
      <c r="ER37" t="s">
        <v>4240</v>
      </c>
    </row>
    <row r="38" spans="115:148" x14ac:dyDescent="0.3">
      <c r="DK38" t="s">
        <v>6146</v>
      </c>
      <c r="ER38" t="s">
        <v>6249</v>
      </c>
    </row>
    <row r="39" spans="115:148" x14ac:dyDescent="0.3">
      <c r="DK39" t="s">
        <v>6111</v>
      </c>
      <c r="ER39" t="s">
        <v>6250</v>
      </c>
    </row>
    <row r="40" spans="115:148" x14ac:dyDescent="0.3">
      <c r="DK40" t="s">
        <v>6147</v>
      </c>
      <c r="ER40" t="s">
        <v>6251</v>
      </c>
    </row>
    <row r="41" spans="115:148" x14ac:dyDescent="0.3">
      <c r="DK41" t="s">
        <v>6148</v>
      </c>
      <c r="ER41" t="s">
        <v>6252</v>
      </c>
    </row>
    <row r="42" spans="115:148" x14ac:dyDescent="0.3">
      <c r="DK42" t="s">
        <v>6149</v>
      </c>
      <c r="ER42" t="s">
        <v>4296</v>
      </c>
    </row>
    <row r="43" spans="115:148" x14ac:dyDescent="0.3">
      <c r="DK43" t="s">
        <v>6150</v>
      </c>
      <c r="ER43" t="s">
        <v>4313</v>
      </c>
    </row>
    <row r="44" spans="115:148" x14ac:dyDescent="0.3">
      <c r="DK44" t="s">
        <v>607</v>
      </c>
      <c r="ER44" t="s">
        <v>4324</v>
      </c>
    </row>
    <row r="45" spans="115:148" x14ac:dyDescent="0.3">
      <c r="DK45" t="s">
        <v>6151</v>
      </c>
      <c r="ER45" t="s">
        <v>4335</v>
      </c>
    </row>
    <row r="46" spans="115:148" x14ac:dyDescent="0.3">
      <c r="DK46" t="s">
        <v>6152</v>
      </c>
      <c r="ER46" t="s">
        <v>4350</v>
      </c>
    </row>
    <row r="47" spans="115:148" x14ac:dyDescent="0.3">
      <c r="DK47" t="s">
        <v>6153</v>
      </c>
      <c r="ER47" t="s">
        <v>4365</v>
      </c>
    </row>
    <row r="48" spans="115:148" x14ac:dyDescent="0.3">
      <c r="DK48" t="s">
        <v>6154</v>
      </c>
      <c r="ER48" t="s">
        <v>4379</v>
      </c>
    </row>
    <row r="49" spans="115:115" x14ac:dyDescent="0.3">
      <c r="DK49" t="s">
        <v>3847</v>
      </c>
    </row>
    <row r="50" spans="115:115" x14ac:dyDescent="0.3">
      <c r="DK50" t="s">
        <v>3920</v>
      </c>
    </row>
    <row r="51" spans="115:115" x14ac:dyDescent="0.3">
      <c r="DK51" t="s">
        <v>3983</v>
      </c>
    </row>
    <row r="52" spans="115:115" x14ac:dyDescent="0.3">
      <c r="DK52" t="s">
        <v>6155</v>
      </c>
    </row>
    <row r="53" spans="115:115" x14ac:dyDescent="0.3">
      <c r="DK53" t="s">
        <v>6156</v>
      </c>
    </row>
    <row r="54" spans="115:115" x14ac:dyDescent="0.3">
      <c r="DK54" t="s">
        <v>6157</v>
      </c>
    </row>
    <row r="55" spans="115:115" x14ac:dyDescent="0.3">
      <c r="DK55" t="s">
        <v>6158</v>
      </c>
    </row>
    <row r="56" spans="115:115" x14ac:dyDescent="0.3">
      <c r="DK56" t="s">
        <v>6159</v>
      </c>
    </row>
    <row r="57" spans="115:115" x14ac:dyDescent="0.3">
      <c r="DK57" t="s">
        <v>6160</v>
      </c>
    </row>
    <row r="58" spans="115:115" x14ac:dyDescent="0.3">
      <c r="DK58" t="s">
        <v>6161</v>
      </c>
    </row>
    <row r="59" spans="115:115" x14ac:dyDescent="0.3">
      <c r="DK59" t="s">
        <v>6162</v>
      </c>
    </row>
    <row r="60" spans="115:115" x14ac:dyDescent="0.3">
      <c r="DK60" t="s">
        <v>6163</v>
      </c>
    </row>
    <row r="61" spans="115:115" x14ac:dyDescent="0.3">
      <c r="DK61" t="s">
        <v>6164</v>
      </c>
    </row>
    <row r="62" spans="115:115" x14ac:dyDescent="0.3">
      <c r="DK62" t="s">
        <v>6165</v>
      </c>
    </row>
    <row r="63" spans="115:115" x14ac:dyDescent="0.3">
      <c r="DK63" t="s">
        <v>6166</v>
      </c>
    </row>
    <row r="64" spans="115:115" x14ac:dyDescent="0.3">
      <c r="DK64" t="s">
        <v>6167</v>
      </c>
    </row>
    <row r="65" spans="115:115" x14ac:dyDescent="0.3">
      <c r="DK65" t="s">
        <v>6168</v>
      </c>
    </row>
    <row r="66" spans="115:115" x14ac:dyDescent="0.3">
      <c r="DK66" t="s">
        <v>6169</v>
      </c>
    </row>
    <row r="67" spans="115:115" x14ac:dyDescent="0.3">
      <c r="DK67" t="s">
        <v>6170</v>
      </c>
    </row>
    <row r="68" spans="115:115" x14ac:dyDescent="0.3">
      <c r="DK68" t="s">
        <v>6171</v>
      </c>
    </row>
    <row r="69" spans="115:115" x14ac:dyDescent="0.3">
      <c r="DK69" t="s">
        <v>6172</v>
      </c>
    </row>
    <row r="70" spans="115:115" x14ac:dyDescent="0.3">
      <c r="DK70" t="s">
        <v>6173</v>
      </c>
    </row>
    <row r="71" spans="115:115" x14ac:dyDescent="0.3">
      <c r="DK71" t="s">
        <v>6174</v>
      </c>
    </row>
    <row r="72" spans="115:115" x14ac:dyDescent="0.3">
      <c r="DK72" t="s">
        <v>6175</v>
      </c>
    </row>
    <row r="73" spans="115:115" x14ac:dyDescent="0.3">
      <c r="DK73" t="s">
        <v>6176</v>
      </c>
    </row>
    <row r="74" spans="115:115" x14ac:dyDescent="0.3">
      <c r="DK74" t="s">
        <v>6177</v>
      </c>
    </row>
    <row r="75" spans="115:115" x14ac:dyDescent="0.3">
      <c r="DK75" t="s">
        <v>6178</v>
      </c>
    </row>
    <row r="76" spans="115:115" x14ac:dyDescent="0.3">
      <c r="DK76" t="s">
        <v>6179</v>
      </c>
    </row>
    <row r="77" spans="115:115" x14ac:dyDescent="0.3">
      <c r="DK77" t="s">
        <v>6180</v>
      </c>
    </row>
    <row r="78" spans="115:115" x14ac:dyDescent="0.3">
      <c r="DK78" t="s">
        <v>6181</v>
      </c>
    </row>
    <row r="79" spans="115:115" x14ac:dyDescent="0.3">
      <c r="DK79" t="s">
        <v>6182</v>
      </c>
    </row>
    <row r="80" spans="115:115" x14ac:dyDescent="0.3">
      <c r="DK80" t="s">
        <v>6183</v>
      </c>
    </row>
    <row r="81" spans="115:115" x14ac:dyDescent="0.3">
      <c r="DK81" t="s">
        <v>6184</v>
      </c>
    </row>
    <row r="82" spans="115:115" x14ac:dyDescent="0.3">
      <c r="DK82" t="s">
        <v>6185</v>
      </c>
    </row>
  </sheetData>
  <dataValidations count="3">
    <dataValidation type="list" allowBlank="1" showInputMessage="1" showErrorMessage="1" sqref="Q4:Q6" xr:uid="{D216125E-1DD4-41B1-8FC1-512B38CE32EE}">
      <formula1>$N$4:$N$7</formula1>
    </dataValidation>
    <dataValidation type="list" allowBlank="1" showInputMessage="1" showErrorMessage="1" sqref="BR4:BR28" xr:uid="{9F4BA917-8E0F-4912-8294-CC982313BC2B}">
      <formula1>$BO$4:$BO$27</formula1>
    </dataValidation>
    <dataValidation type="list" allowBlank="1" showInputMessage="1" showErrorMessage="1" sqref="DE4:DE9" xr:uid="{9EC474A8-6B9D-4DC4-832E-E6AD58382934}">
      <formula1>$CY$4:$CY$9</formula1>
    </dataValidation>
  </dataValidations>
  <pageMargins left="0.7" right="0.7" top="0.75" bottom="0.75" header="0.3" footer="0.3"/>
  <legacyDrawing r:id="rId1"/>
  <tableParts count="7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6823-D4BA-4A1C-AEE8-3D7D3ECECE6D}">
  <sheetPr>
    <tabColor rgb="FFFF0000"/>
  </sheetPr>
  <dimension ref="A2:IO4777"/>
  <sheetViews>
    <sheetView topLeftCell="IE1" zoomScale="80" zoomScaleNormal="70" workbookViewId="0">
      <selection activeCell="IQ4" sqref="IQ4:IT16"/>
    </sheetView>
  </sheetViews>
  <sheetFormatPr defaultRowHeight="15" customHeight="1" outlineLevelCol="1" x14ac:dyDescent="0.3"/>
  <cols>
    <col min="1" max="1" width="27.21875" customWidth="1"/>
    <col min="2" max="2" width="24.21875" bestFit="1" customWidth="1"/>
    <col min="3" max="3" width="56.21875" customWidth="1"/>
    <col min="4" max="4" width="7.5546875" customWidth="1"/>
    <col min="5" max="5" width="47" customWidth="1"/>
    <col min="6" max="6" width="26.21875" customWidth="1"/>
    <col min="7" max="7" width="7.5546875" customWidth="1"/>
    <col min="8" max="8" width="42.77734375" customWidth="1"/>
    <col min="9" max="9" width="22.21875" customWidth="1"/>
    <col min="10" max="10" width="7.5546875" customWidth="1"/>
    <col min="11" max="11" width="55" customWidth="1"/>
    <col min="12" max="12" width="7.5546875" customWidth="1"/>
    <col min="13" max="13" width="41.21875" customWidth="1"/>
    <col min="14" max="14" width="40.77734375" bestFit="1" customWidth="1"/>
    <col min="15" max="16" width="9" customWidth="1"/>
    <col min="17" max="17" width="26.5546875" customWidth="1"/>
    <col min="18" max="18" width="24.21875" bestFit="1" customWidth="1"/>
    <col min="19" max="19" width="30.44140625" bestFit="1" customWidth="1"/>
    <col min="20" max="20" width="35.5546875" customWidth="1"/>
    <col min="21" max="21" width="34.5546875" customWidth="1"/>
    <col min="22" max="22" width="36.5546875" customWidth="1"/>
    <col min="23" max="24" width="38.21875" customWidth="1"/>
    <col min="25" max="25" width="31.44140625" customWidth="1"/>
    <col min="26" max="26" width="33.5546875" customWidth="1"/>
    <col min="27" max="27" width="29.5546875" customWidth="1"/>
    <col min="28" max="28" width="46.5546875" bestFit="1" customWidth="1"/>
    <col min="29" max="30" width="46.5546875" customWidth="1"/>
    <col min="31" max="31" width="55.21875" customWidth="1"/>
    <col min="32" max="32" width="86.77734375" customWidth="1"/>
    <col min="33" max="33" width="35.5546875" bestFit="1" customWidth="1"/>
    <col min="34" max="34" width="54" customWidth="1"/>
    <col min="35" max="35" width="28.5546875" customWidth="1"/>
    <col min="36" max="36" width="27.77734375" customWidth="1"/>
    <col min="37" max="37" width="11" customWidth="1"/>
    <col min="38" max="38" width="30.44140625" customWidth="1"/>
    <col min="39" max="39" width="59.77734375" customWidth="1"/>
    <col min="40" max="40" width="7.5546875" customWidth="1"/>
    <col min="41" max="41" width="35.5546875" bestFit="1" customWidth="1"/>
    <col min="42" max="42" width="8.44140625" customWidth="1"/>
    <col min="43" max="43" width="44.44140625" bestFit="1" customWidth="1"/>
    <col min="44" max="44" width="4.44140625" customWidth="1"/>
    <col min="45" max="45" width="31.44140625" bestFit="1" customWidth="1"/>
    <col min="46" max="46" width="10.44140625" bestFit="1" customWidth="1"/>
    <col min="47" max="47" width="10.44140625" customWidth="1"/>
    <col min="48" max="48" width="4.5546875" customWidth="1"/>
    <col min="49" max="49" width="25.5546875" bestFit="1" customWidth="1"/>
    <col min="50" max="50" width="10.44140625" bestFit="1" customWidth="1"/>
    <col min="51" max="51" width="10.44140625" customWidth="1"/>
    <col min="52" max="52" width="14.5546875" customWidth="1"/>
    <col min="53" max="53" width="31.44140625" bestFit="1" customWidth="1"/>
    <col min="54" max="54" width="9.44140625" bestFit="1" customWidth="1"/>
    <col min="55" max="55" width="40.77734375" customWidth="1"/>
    <col min="56" max="56" width="11" customWidth="1"/>
    <col min="57" max="57" width="10" hidden="1" customWidth="1"/>
    <col min="58" max="58" width="12.44140625" customWidth="1"/>
    <col min="59" max="59" width="28.44140625" customWidth="1"/>
    <col min="60" max="60" width="10.44140625" bestFit="1" customWidth="1"/>
    <col min="61" max="61" width="10.44140625" customWidth="1"/>
    <col min="62" max="62" width="2.5546875" customWidth="1"/>
    <col min="63" max="63" width="39.5546875" bestFit="1" customWidth="1"/>
    <col min="64" max="64" width="10.44140625" bestFit="1" customWidth="1"/>
    <col min="65" max="65" width="10.44140625" customWidth="1"/>
    <col min="66" max="66" width="3.44140625" customWidth="1"/>
    <col min="67" max="67" width="32.44140625" bestFit="1" customWidth="1"/>
    <col min="68" max="68" width="10.44140625" customWidth="1"/>
    <col min="69" max="69" width="10.44140625" hidden="1" customWidth="1"/>
    <col min="70" max="70" width="3.5546875" customWidth="1"/>
    <col min="71" max="71" width="31.44140625" bestFit="1" customWidth="1"/>
    <col min="72" max="72" width="10.44140625" bestFit="1" customWidth="1"/>
    <col min="73" max="73" width="4.44140625" customWidth="1"/>
    <col min="74" max="74" width="39.44140625" customWidth="1"/>
    <col min="75" max="75" width="10.44140625" bestFit="1" customWidth="1"/>
    <col min="76" max="76" width="5.5546875" customWidth="1"/>
    <col min="77" max="77" width="22.44140625" customWidth="1"/>
    <col min="78" max="78" width="10.44140625" bestFit="1" customWidth="1"/>
    <col min="79" max="79" width="6.5546875" customWidth="1"/>
    <col min="80" max="80" width="18.44140625" customWidth="1"/>
    <col min="81" max="81" width="11" customWidth="1"/>
    <col min="82" max="82" width="4.44140625" customWidth="1"/>
    <col min="83" max="84" width="14.44140625" customWidth="1"/>
    <col min="85" max="85" width="5.44140625" customWidth="1"/>
    <col min="86" max="86" width="14.5546875" customWidth="1"/>
    <col min="87" max="87" width="10.44140625" customWidth="1"/>
    <col min="88" max="88" width="5" customWidth="1"/>
    <col min="89" max="89" width="37.44140625" customWidth="1"/>
    <col min="90" max="90" width="10.44140625" customWidth="1"/>
    <col min="91" max="91" width="4.44140625" customWidth="1"/>
    <col min="92" max="92" width="35.77734375" customWidth="1"/>
    <col min="93" max="93" width="15.5546875" customWidth="1"/>
    <col min="94" max="94" width="9.5546875" customWidth="1"/>
    <col min="95" max="95" width="24.44140625" bestFit="1" customWidth="1"/>
    <col min="97" max="97" width="28.44140625" customWidth="1"/>
    <col min="99" max="99" width="20.44140625" customWidth="1"/>
    <col min="101" max="101" width="44.5546875" customWidth="1"/>
    <col min="103" max="103" width="57.44140625" customWidth="1"/>
    <col min="105" max="107" width="57.44140625" customWidth="1"/>
    <col min="109" max="109" width="32.5546875" bestFit="1" customWidth="1"/>
    <col min="111" max="111" width="39.44140625" customWidth="1"/>
    <col min="113" max="114" width="41.21875" customWidth="1"/>
    <col min="115" max="115" width="43.44140625" customWidth="1"/>
    <col min="116" max="116" width="56.77734375" customWidth="1"/>
    <col min="117" max="117" width="9.21875" customWidth="1" outlineLevel="1"/>
    <col min="118" max="118" width="36" customWidth="1" outlineLevel="1"/>
    <col min="119" max="119" width="59.44140625" customWidth="1" outlineLevel="1"/>
    <col min="120" max="120" width="9.21875" customWidth="1" outlineLevel="1"/>
    <col min="121" max="121" width="27.21875" bestFit="1" customWidth="1" outlineLevel="1"/>
    <col min="122" max="122" width="42.5546875" customWidth="1" outlineLevel="1"/>
    <col min="123" max="123" width="9.21875" customWidth="1" outlineLevel="1"/>
    <col min="124" max="124" width="25.5546875" bestFit="1" customWidth="1" outlineLevel="1"/>
    <col min="125" max="125" width="9.21875" customWidth="1" outlineLevel="1"/>
    <col min="126" max="126" width="23.5546875" customWidth="1" outlineLevel="1"/>
    <col min="127" max="127" width="9.77734375" customWidth="1" outlineLevel="1"/>
    <col min="128" max="128" width="27.77734375" customWidth="1"/>
    <col min="130" max="130" width="29.44140625" customWidth="1"/>
    <col min="132" max="132" width="45.5546875" bestFit="1" customWidth="1"/>
    <col min="133" max="133" width="45.5546875" customWidth="1"/>
    <col min="135" max="135" width="23.44140625" customWidth="1"/>
    <col min="137" max="137" width="28" customWidth="1"/>
    <col min="138" max="138" width="12.77734375" customWidth="1"/>
    <col min="139" max="139" width="40.77734375" customWidth="1"/>
    <col min="140" max="141" width="25.44140625" customWidth="1"/>
    <col min="143" max="143" width="16.5546875" customWidth="1"/>
    <col min="145" max="145" width="24" customWidth="1"/>
    <col min="147" max="147" width="40.5546875" customWidth="1"/>
    <col min="149" max="149" width="17.44140625" customWidth="1"/>
    <col min="151" max="151" width="19.44140625" customWidth="1"/>
    <col min="153" max="153" width="19.44140625" bestFit="1" customWidth="1"/>
    <col min="156" max="156" width="14.44140625" customWidth="1"/>
    <col min="158" max="158" width="54.77734375" customWidth="1"/>
    <col min="160" max="160" width="55.5546875" customWidth="1"/>
    <col min="161" max="161" width="17.44140625" customWidth="1"/>
    <col min="162" max="162" width="24.44140625" customWidth="1"/>
    <col min="164" max="164" width="34.5546875" bestFit="1" customWidth="1"/>
    <col min="166" max="166" width="37.5546875" customWidth="1"/>
    <col min="168" max="168" width="46.21875" customWidth="1"/>
    <col min="170" max="170" width="18.5546875" customWidth="1"/>
    <col min="172" max="172" width="28.77734375" customWidth="1"/>
    <col min="174" max="174" width="25.77734375" customWidth="1"/>
    <col min="176" max="176" width="33.77734375" customWidth="1"/>
    <col min="178" max="178" width="43.44140625" customWidth="1"/>
    <col min="179" max="179" width="14.21875" customWidth="1"/>
    <col min="180" max="180" width="51.44140625" customWidth="1"/>
    <col min="181" max="181" width="11.77734375" customWidth="1"/>
    <col min="182" max="182" width="39.44140625" bestFit="1" customWidth="1"/>
    <col min="183" max="183" width="14.21875" customWidth="1"/>
    <col min="184" max="184" width="43.44140625" customWidth="1"/>
    <col min="186" max="186" width="22.5546875" customWidth="1"/>
    <col min="188" max="188" width="24.5546875" customWidth="1"/>
    <col min="190" max="190" width="22.77734375" customWidth="1"/>
    <col min="192" max="192" width="20.44140625" customWidth="1"/>
    <col min="193" max="193" width="27.44140625" customWidth="1"/>
    <col min="194" max="194" width="32.5546875" customWidth="1"/>
    <col min="196" max="196" width="10.5546875" customWidth="1"/>
    <col min="198" max="198" width="20.5546875" customWidth="1"/>
    <col min="200" max="200" width="46" customWidth="1"/>
    <col min="202" max="202" width="27.5546875" customWidth="1"/>
    <col min="203" max="203" width="36.5546875" customWidth="1"/>
    <col min="205" max="205" width="30.44140625" customWidth="1"/>
    <col min="206" max="206" width="8.77734375" bestFit="1" customWidth="1"/>
    <col min="207" max="207" width="32.44140625" customWidth="1"/>
    <col min="208" max="208" width="30.44140625" customWidth="1"/>
    <col min="210" max="210" width="26.5546875" customWidth="1"/>
    <col min="212" max="212" width="39.77734375" customWidth="1"/>
    <col min="213" max="213" width="27" customWidth="1"/>
    <col min="216" max="216" width="23.44140625" customWidth="1"/>
    <col min="218" max="218" width="51.77734375" customWidth="1"/>
    <col min="220" max="220" width="33.44140625" customWidth="1"/>
    <col min="222" max="222" width="19" customWidth="1"/>
    <col min="224" max="224" width="20.5546875" customWidth="1"/>
    <col min="226" max="226" width="32.5546875" customWidth="1"/>
    <col min="228" max="228" width="20.21875" bestFit="1" customWidth="1"/>
    <col min="230" max="230" width="26" bestFit="1" customWidth="1"/>
    <col min="232" max="232" width="29.44140625" customWidth="1"/>
    <col min="234" max="234" width="30.5546875" customWidth="1"/>
    <col min="236" max="236" width="36" customWidth="1"/>
    <col min="237" max="237" width="85" customWidth="1"/>
    <col min="238" max="238" width="30.5546875" customWidth="1"/>
    <col min="240" max="240" width="25.77734375" customWidth="1"/>
    <col min="242" max="242" width="8.77734375" bestFit="1" customWidth="1"/>
    <col min="244" max="244" width="14" customWidth="1"/>
    <col min="246" max="246" width="51.44140625" customWidth="1"/>
    <col min="249" max="249" width="44" customWidth="1"/>
    <col min="253" max="253" width="16.5546875" customWidth="1"/>
    <col min="254" max="254" width="27" customWidth="1"/>
    <col min="16348" max="16350" width="9.21875" bestFit="1" customWidth="1"/>
    <col min="16351" max="16362" width="9.21875" customWidth="1"/>
  </cols>
  <sheetData>
    <row r="2" spans="1:249" ht="14.4" x14ac:dyDescent="0.3">
      <c r="A2" s="120" t="s">
        <v>3499</v>
      </c>
      <c r="B2" s="120"/>
      <c r="C2" s="120"/>
      <c r="D2" s="120"/>
      <c r="E2" s="120"/>
      <c r="F2" s="120"/>
      <c r="G2" s="120"/>
      <c r="H2" s="120"/>
      <c r="I2" s="120"/>
      <c r="J2" s="120"/>
      <c r="K2" s="120"/>
      <c r="L2" s="120"/>
      <c r="M2" s="120"/>
      <c r="N2" s="120"/>
      <c r="O2" s="120"/>
      <c r="P2" s="120"/>
      <c r="Q2" s="120"/>
      <c r="R2" s="120"/>
      <c r="S2" s="120"/>
      <c r="T2" s="120"/>
      <c r="U2" s="120"/>
      <c r="V2" s="120"/>
      <c r="W2" s="120"/>
      <c r="X2" s="19"/>
      <c r="Y2" s="19"/>
      <c r="Z2" s="19"/>
      <c r="AA2" s="19"/>
      <c r="AE2" s="121" t="s">
        <v>3500</v>
      </c>
      <c r="AF2" s="121"/>
      <c r="AG2" s="121"/>
      <c r="AH2" s="121"/>
      <c r="AI2" s="121"/>
      <c r="AJ2" s="121"/>
      <c r="AK2" s="121"/>
      <c r="AL2" s="121"/>
      <c r="AM2" s="121"/>
      <c r="AN2" s="121"/>
      <c r="AO2" s="121"/>
      <c r="AP2" s="121"/>
      <c r="AR2" s="122" t="s">
        <v>3501</v>
      </c>
      <c r="AS2" s="122"/>
      <c r="AT2" s="122"/>
      <c r="AU2" s="122"/>
      <c r="AV2" s="122"/>
      <c r="AW2" s="122"/>
      <c r="AX2" s="122"/>
      <c r="AY2" s="122"/>
      <c r="AZ2" s="122"/>
    </row>
    <row r="3" spans="1:249" ht="57" customHeight="1" x14ac:dyDescent="0.3">
      <c r="A3" s="123" t="s">
        <v>3502</v>
      </c>
      <c r="B3" s="123"/>
      <c r="C3" s="123"/>
      <c r="D3" s="123"/>
      <c r="E3" s="123"/>
      <c r="F3" s="123"/>
      <c r="G3" s="123"/>
      <c r="H3" s="123"/>
      <c r="I3" s="123"/>
      <c r="J3" s="123"/>
      <c r="K3" s="123"/>
      <c r="L3" s="123"/>
      <c r="M3" s="123"/>
      <c r="N3" s="123"/>
      <c r="O3" s="123"/>
      <c r="P3" s="123"/>
      <c r="Q3" s="123"/>
      <c r="R3" s="123"/>
      <c r="S3" s="123"/>
      <c r="T3" s="123"/>
      <c r="U3" s="123"/>
      <c r="V3" s="123"/>
      <c r="W3" s="123"/>
      <c r="X3" s="20"/>
      <c r="Y3" s="20"/>
      <c r="Z3" s="20"/>
      <c r="AA3" s="20"/>
      <c r="AE3" s="124" t="s">
        <v>3503</v>
      </c>
      <c r="AF3" s="124"/>
      <c r="AG3" s="124"/>
      <c r="AH3" s="124"/>
      <c r="AI3" s="124"/>
      <c r="AJ3" s="124"/>
      <c r="AK3" s="124"/>
      <c r="AL3" s="124"/>
      <c r="AM3" s="124"/>
      <c r="AN3" s="124"/>
      <c r="AO3" s="124"/>
      <c r="AP3" s="124"/>
      <c r="AR3" s="125" t="s">
        <v>3504</v>
      </c>
      <c r="AS3" s="125"/>
      <c r="AT3" s="125"/>
      <c r="AU3" s="125"/>
      <c r="AV3" s="125"/>
      <c r="AW3" s="125"/>
      <c r="AX3" s="125"/>
      <c r="AY3" s="125"/>
      <c r="AZ3" s="125"/>
    </row>
    <row r="5" spans="1:249" ht="14.4" x14ac:dyDescent="0.3">
      <c r="A5" s="21" t="s">
        <v>3505</v>
      </c>
      <c r="B5" s="21" t="s">
        <v>3506</v>
      </c>
      <c r="C5" s="21" t="s">
        <v>3507</v>
      </c>
      <c r="E5" t="s">
        <v>3507</v>
      </c>
      <c r="F5" t="s">
        <v>3508</v>
      </c>
      <c r="H5" t="s">
        <v>3506</v>
      </c>
      <c r="I5" t="s">
        <v>3509</v>
      </c>
      <c r="K5" t="s">
        <v>3510</v>
      </c>
      <c r="M5" t="s">
        <v>3511</v>
      </c>
      <c r="N5" t="s">
        <v>3512</v>
      </c>
      <c r="Q5" t="s">
        <v>3513</v>
      </c>
      <c r="R5" t="s">
        <v>3506</v>
      </c>
      <c r="S5" t="s">
        <v>3514</v>
      </c>
      <c r="T5" t="s">
        <v>3515</v>
      </c>
      <c r="U5" t="s">
        <v>3516</v>
      </c>
      <c r="V5" t="s">
        <v>3517</v>
      </c>
      <c r="W5" t="s">
        <v>3518</v>
      </c>
      <c r="X5" t="s">
        <v>3519</v>
      </c>
      <c r="Z5" t="s">
        <v>3520</v>
      </c>
      <c r="AB5" t="s">
        <v>3507</v>
      </c>
      <c r="AC5" t="s">
        <v>3521</v>
      </c>
      <c r="AF5" t="s">
        <v>3522</v>
      </c>
      <c r="AG5" t="s">
        <v>2785</v>
      </c>
      <c r="AH5" t="s">
        <v>3523</v>
      </c>
      <c r="AJ5" t="s">
        <v>3524</v>
      </c>
      <c r="AL5" t="s">
        <v>3524</v>
      </c>
      <c r="AM5" t="s">
        <v>3525</v>
      </c>
      <c r="AO5" s="22" t="s">
        <v>2785</v>
      </c>
      <c r="AQ5" s="22" t="s">
        <v>3523</v>
      </c>
      <c r="AS5" t="s">
        <v>3526</v>
      </c>
      <c r="AT5" s="23" t="s">
        <v>3527</v>
      </c>
      <c r="AU5" s="23" t="s">
        <v>3528</v>
      </c>
      <c r="AW5" t="s">
        <v>3529</v>
      </c>
      <c r="AX5" s="23" t="s">
        <v>3527</v>
      </c>
      <c r="AY5" s="23" t="s">
        <v>3528</v>
      </c>
      <c r="BA5" t="s">
        <v>3016</v>
      </c>
      <c r="BC5" s="24" t="s">
        <v>3530</v>
      </c>
      <c r="BD5" s="25" t="s">
        <v>3527</v>
      </c>
      <c r="BE5" s="25" t="s">
        <v>3528</v>
      </c>
      <c r="BG5" t="s">
        <v>3531</v>
      </c>
      <c r="BH5" s="23" t="s">
        <v>3527</v>
      </c>
      <c r="BI5" s="23" t="s">
        <v>3528</v>
      </c>
      <c r="BK5" t="s">
        <v>3532</v>
      </c>
      <c r="BL5" s="23" t="s">
        <v>3527</v>
      </c>
      <c r="BM5" s="23" t="s">
        <v>3528</v>
      </c>
      <c r="BO5" t="s">
        <v>2238</v>
      </c>
      <c r="BP5" s="23" t="s">
        <v>3527</v>
      </c>
      <c r="BQ5" s="23" t="s">
        <v>3528</v>
      </c>
      <c r="BS5" t="s">
        <v>3533</v>
      </c>
      <c r="BT5" s="23" t="s">
        <v>3527</v>
      </c>
      <c r="BV5" t="s">
        <v>3534</v>
      </c>
      <c r="BW5" s="23" t="s">
        <v>3527</v>
      </c>
      <c r="BY5" t="s">
        <v>3535</v>
      </c>
      <c r="BZ5" s="23" t="s">
        <v>3527</v>
      </c>
      <c r="CB5" t="s">
        <v>3536</v>
      </c>
      <c r="CC5" t="s">
        <v>3527</v>
      </c>
      <c r="CE5" t="s">
        <v>2007</v>
      </c>
      <c r="CF5" t="s">
        <v>3527</v>
      </c>
      <c r="CH5" t="s">
        <v>661</v>
      </c>
      <c r="CI5" t="s">
        <v>3527</v>
      </c>
      <c r="CK5" t="s">
        <v>3537</v>
      </c>
      <c r="CL5" t="s">
        <v>3527</v>
      </c>
      <c r="CN5" t="s">
        <v>3538</v>
      </c>
      <c r="CO5" t="s">
        <v>3527</v>
      </c>
      <c r="CQ5" t="s">
        <v>1099</v>
      </c>
      <c r="CS5" s="26" t="s">
        <v>2124</v>
      </c>
      <c r="CU5" t="s">
        <v>3539</v>
      </c>
      <c r="CW5" t="s">
        <v>3540</v>
      </c>
      <c r="CY5" t="s">
        <v>3541</v>
      </c>
      <c r="DA5" t="s">
        <v>3542</v>
      </c>
      <c r="DC5" t="s">
        <v>3543</v>
      </c>
      <c r="DE5" s="27" t="s">
        <v>3544</v>
      </c>
      <c r="DG5" t="s">
        <v>3545</v>
      </c>
      <c r="DI5" t="s">
        <v>3546</v>
      </c>
      <c r="DJ5" t="s">
        <v>3547</v>
      </c>
      <c r="DK5" t="s">
        <v>3548</v>
      </c>
      <c r="DL5" t="s">
        <v>3549</v>
      </c>
      <c r="DN5" t="s">
        <v>3550</v>
      </c>
      <c r="DO5" t="s">
        <v>3551</v>
      </c>
      <c r="DQ5" s="22" t="s">
        <v>3552</v>
      </c>
      <c r="DR5" s="28" t="s">
        <v>3553</v>
      </c>
      <c r="DT5" t="s">
        <v>3554</v>
      </c>
      <c r="DV5" t="s">
        <v>3555</v>
      </c>
      <c r="DX5" s="29" t="s">
        <v>3546</v>
      </c>
      <c r="DZ5" s="29" t="s">
        <v>3548</v>
      </c>
      <c r="EB5" s="29" t="s">
        <v>3556</v>
      </c>
      <c r="EC5" s="29" t="s">
        <v>3557</v>
      </c>
      <c r="EE5" t="s">
        <v>3558</v>
      </c>
      <c r="EG5" t="s">
        <v>3559</v>
      </c>
      <c r="EI5" t="s">
        <v>3560</v>
      </c>
      <c r="EK5" t="s">
        <v>3560</v>
      </c>
      <c r="EM5" t="s">
        <v>3561</v>
      </c>
      <c r="EO5" t="s">
        <v>2504</v>
      </c>
      <c r="EQ5" t="s">
        <v>3562</v>
      </c>
      <c r="ES5" t="s">
        <v>3563</v>
      </c>
      <c r="EU5" t="s">
        <v>3564</v>
      </c>
      <c r="EW5" t="s">
        <v>3565</v>
      </c>
      <c r="EZ5" t="s">
        <v>3566</v>
      </c>
      <c r="FB5" t="s">
        <v>2395</v>
      </c>
      <c r="FD5" t="s">
        <v>2391</v>
      </c>
      <c r="FF5" t="s">
        <v>3567</v>
      </c>
      <c r="FH5" t="s">
        <v>3568</v>
      </c>
      <c r="FJ5" t="s">
        <v>3569</v>
      </c>
      <c r="FL5" t="s">
        <v>3570</v>
      </c>
      <c r="FN5" t="s">
        <v>158</v>
      </c>
      <c r="FP5" t="s">
        <v>3571</v>
      </c>
      <c r="FR5" t="s">
        <v>3572</v>
      </c>
      <c r="FT5" t="s">
        <v>2926</v>
      </c>
      <c r="FV5" t="s">
        <v>3573</v>
      </c>
      <c r="FX5" t="s">
        <v>3574</v>
      </c>
      <c r="FZ5" t="s">
        <v>3574</v>
      </c>
      <c r="GB5" t="s">
        <v>3575</v>
      </c>
      <c r="GD5" t="s">
        <v>3576</v>
      </c>
      <c r="GF5" t="s">
        <v>3577</v>
      </c>
      <c r="GH5" t="s">
        <v>3578</v>
      </c>
      <c r="GJ5" t="s">
        <v>3579</v>
      </c>
      <c r="GK5" t="s">
        <v>3580</v>
      </c>
      <c r="GL5" t="s">
        <v>3581</v>
      </c>
      <c r="GN5" t="s">
        <v>3582</v>
      </c>
      <c r="GP5" t="s">
        <v>3583</v>
      </c>
      <c r="GR5" t="s">
        <v>3584</v>
      </c>
      <c r="GT5" t="s">
        <v>3585</v>
      </c>
      <c r="GU5" t="s">
        <v>3586</v>
      </c>
      <c r="GW5" t="s">
        <v>3587</v>
      </c>
      <c r="GY5" t="s">
        <v>3588</v>
      </c>
      <c r="GZ5" t="s">
        <v>3589</v>
      </c>
      <c r="HB5" t="s">
        <v>2406</v>
      </c>
      <c r="HD5" t="s">
        <v>3590</v>
      </c>
      <c r="HE5" t="s">
        <v>539</v>
      </c>
      <c r="HH5" t="s">
        <v>3591</v>
      </c>
      <c r="HJ5" t="s">
        <v>3592</v>
      </c>
      <c r="HL5" t="s">
        <v>3593</v>
      </c>
      <c r="HN5" t="s">
        <v>3594</v>
      </c>
      <c r="HP5" t="s">
        <v>3595</v>
      </c>
      <c r="HR5" t="s">
        <v>3596</v>
      </c>
      <c r="HT5" t="s">
        <v>3074</v>
      </c>
      <c r="HV5" t="s">
        <v>225</v>
      </c>
      <c r="HX5" t="s">
        <v>3597</v>
      </c>
      <c r="HZ5" t="s">
        <v>3598</v>
      </c>
      <c r="IB5" t="s">
        <v>3599</v>
      </c>
      <c r="IC5" t="s">
        <v>3600</v>
      </c>
      <c r="ID5" t="s">
        <v>3601</v>
      </c>
      <c r="IF5" t="s">
        <v>3602</v>
      </c>
      <c r="IH5" t="s">
        <v>2525</v>
      </c>
      <c r="IJ5" t="s">
        <v>3603</v>
      </c>
      <c r="IL5" t="s">
        <v>3604</v>
      </c>
      <c r="IO5" t="s">
        <v>3605</v>
      </c>
    </row>
    <row r="6" spans="1:249" ht="29.4" x14ac:dyDescent="0.35">
      <c r="A6" s="30" t="s">
        <v>3606</v>
      </c>
      <c r="B6" s="31" t="s">
        <v>3607</v>
      </c>
      <c r="C6" s="32" t="s">
        <v>3608</v>
      </c>
      <c r="E6" t="s">
        <v>3609</v>
      </c>
      <c r="F6" t="s">
        <v>3610</v>
      </c>
      <c r="H6" t="s">
        <v>3611</v>
      </c>
      <c r="I6">
        <v>2884</v>
      </c>
      <c r="M6" s="33" t="s">
        <v>3606</v>
      </c>
      <c r="N6" s="34" t="s">
        <v>3612</v>
      </c>
      <c r="Q6" t="s">
        <v>71</v>
      </c>
      <c r="R6" t="s">
        <v>3607</v>
      </c>
      <c r="Z6" t="s">
        <v>3613</v>
      </c>
      <c r="AB6" t="s">
        <v>3613</v>
      </c>
      <c r="AC6" t="s">
        <v>3614</v>
      </c>
      <c r="AF6" t="s">
        <v>3615</v>
      </c>
      <c r="AG6" t="s">
        <v>3616</v>
      </c>
      <c r="AH6" t="s">
        <v>3617</v>
      </c>
      <c r="AJ6" t="s">
        <v>3615</v>
      </c>
      <c r="AL6" t="s">
        <v>3615</v>
      </c>
      <c r="AM6" t="s">
        <v>3615</v>
      </c>
      <c r="AO6" s="35" t="s">
        <v>3616</v>
      </c>
      <c r="AQ6" t="s">
        <v>3618</v>
      </c>
      <c r="AS6" t="s">
        <v>3619</v>
      </c>
      <c r="AT6" s="36">
        <v>0</v>
      </c>
      <c r="AU6" s="23">
        <f>VAL_ValueFramework1[[#This Row],[Score]]*$AT$21</f>
        <v>0</v>
      </c>
      <c r="AW6" t="s">
        <v>3620</v>
      </c>
      <c r="AX6">
        <v>0</v>
      </c>
      <c r="AY6">
        <f>VAL_ESI[[#This Row],[Score]]*$AT$23</f>
        <v>0</v>
      </c>
      <c r="BA6" t="s">
        <v>3621</v>
      </c>
      <c r="BC6" s="37" t="s">
        <v>3622</v>
      </c>
      <c r="BD6" s="38">
        <v>8</v>
      </c>
      <c r="BE6" s="39">
        <f>VAL_ValueFramework1[[#This Row],[Score]]*BE18</f>
        <v>0</v>
      </c>
      <c r="BG6" s="40" t="s">
        <v>3623</v>
      </c>
      <c r="BH6" s="41">
        <v>1</v>
      </c>
      <c r="BI6" s="41">
        <v>0</v>
      </c>
      <c r="BK6" t="s">
        <v>3624</v>
      </c>
      <c r="BL6" s="23"/>
      <c r="BM6" s="23"/>
      <c r="BO6" s="42" t="s">
        <v>3625</v>
      </c>
      <c r="BP6" s="43">
        <v>0</v>
      </c>
      <c r="BQ6" s="43">
        <v>0</v>
      </c>
      <c r="BS6" s="42" t="s">
        <v>3626</v>
      </c>
      <c r="BT6" s="43">
        <v>0.32</v>
      </c>
      <c r="BV6" s="42" t="s">
        <v>3627</v>
      </c>
      <c r="BW6" s="43">
        <v>0</v>
      </c>
      <c r="BY6" s="44" t="s">
        <v>3628</v>
      </c>
      <c r="BZ6" s="45">
        <v>1</v>
      </c>
      <c r="CB6" s="46" t="s">
        <v>3629</v>
      </c>
      <c r="CC6" s="40">
        <v>1</v>
      </c>
      <c r="CE6" t="s">
        <v>3629</v>
      </c>
      <c r="CF6" s="42">
        <v>8</v>
      </c>
      <c r="CH6" t="s">
        <v>3629</v>
      </c>
      <c r="CI6" s="42">
        <v>8</v>
      </c>
      <c r="CK6" s="47" t="s">
        <v>3630</v>
      </c>
      <c r="CL6" s="42">
        <v>1</v>
      </c>
      <c r="CN6" t="s">
        <v>3631</v>
      </c>
      <c r="CO6" s="48">
        <v>8</v>
      </c>
      <c r="CQ6" t="s">
        <v>3632</v>
      </c>
      <c r="CS6" s="42" t="s">
        <v>3619</v>
      </c>
      <c r="CU6" t="s">
        <v>3633</v>
      </c>
      <c r="CW6" t="s">
        <v>3634</v>
      </c>
      <c r="CY6" t="s">
        <v>3635</v>
      </c>
      <c r="DA6" t="s">
        <v>3636</v>
      </c>
      <c r="DC6" t="s">
        <v>3637</v>
      </c>
      <c r="DE6" s="49" t="s">
        <v>3638</v>
      </c>
      <c r="DG6" t="s">
        <v>3639</v>
      </c>
      <c r="DI6" t="s">
        <v>3640</v>
      </c>
      <c r="DJ6" t="s">
        <v>3641</v>
      </c>
      <c r="DK6" t="s">
        <v>3642</v>
      </c>
      <c r="DL6" t="s">
        <v>3643</v>
      </c>
      <c r="DN6" t="s">
        <v>3642</v>
      </c>
      <c r="DO6" t="s">
        <v>3643</v>
      </c>
      <c r="DQ6" s="50" t="s">
        <v>3644</v>
      </c>
      <c r="DR6" t="s">
        <v>3645</v>
      </c>
      <c r="DT6" t="s">
        <v>3646</v>
      </c>
      <c r="DV6" t="s">
        <v>3647</v>
      </c>
      <c r="DX6" t="s">
        <v>3648</v>
      </c>
      <c r="DZ6" t="s">
        <v>3642</v>
      </c>
      <c r="EB6" t="s">
        <v>3649</v>
      </c>
      <c r="EE6" t="s">
        <v>3650</v>
      </c>
      <c r="EG6" t="s">
        <v>3651</v>
      </c>
      <c r="EI6" t="s">
        <v>3652</v>
      </c>
      <c r="EK6" t="s">
        <v>3653</v>
      </c>
      <c r="EM6" t="s">
        <v>652</v>
      </c>
      <c r="EO6" t="s">
        <v>3654</v>
      </c>
      <c r="EQ6" t="s">
        <v>3655</v>
      </c>
      <c r="ES6" t="s">
        <v>1786</v>
      </c>
      <c r="EU6" t="s">
        <v>1185</v>
      </c>
      <c r="EW6" t="s">
        <v>3656</v>
      </c>
      <c r="EZ6" t="s">
        <v>3657</v>
      </c>
      <c r="FB6" s="51" t="s">
        <v>3619</v>
      </c>
      <c r="FD6" t="s">
        <v>3658</v>
      </c>
      <c r="FF6" t="s">
        <v>3659</v>
      </c>
      <c r="FH6" t="s">
        <v>3660</v>
      </c>
      <c r="FJ6" t="s">
        <v>3661</v>
      </c>
      <c r="FL6" t="s">
        <v>3015</v>
      </c>
      <c r="FN6" t="s">
        <v>3163</v>
      </c>
      <c r="FP6" t="s">
        <v>3662</v>
      </c>
      <c r="FR6" t="s">
        <v>3663</v>
      </c>
      <c r="FT6" t="s">
        <v>3664</v>
      </c>
      <c r="FV6" t="s">
        <v>3665</v>
      </c>
      <c r="FX6" t="s">
        <v>3665</v>
      </c>
      <c r="FZ6" t="s">
        <v>3665</v>
      </c>
      <c r="GB6" t="s">
        <v>3665</v>
      </c>
      <c r="GD6" t="s">
        <v>3666</v>
      </c>
      <c r="GF6" t="s">
        <v>3667</v>
      </c>
      <c r="GH6" t="s">
        <v>1185</v>
      </c>
      <c r="GJ6" t="s">
        <v>3668</v>
      </c>
      <c r="GK6" t="s">
        <v>3669</v>
      </c>
      <c r="GL6" t="s">
        <v>3015</v>
      </c>
      <c r="GN6" t="s">
        <v>3670</v>
      </c>
      <c r="GP6" t="s">
        <v>3671</v>
      </c>
      <c r="GR6" t="s">
        <v>33</v>
      </c>
      <c r="GT6" s="52">
        <f>50*10^6+1</f>
        <v>50000001</v>
      </c>
      <c r="GU6" t="s">
        <v>3672</v>
      </c>
      <c r="GW6" t="s">
        <v>3673</v>
      </c>
      <c r="GY6">
        <v>3</v>
      </c>
      <c r="GZ6" t="s">
        <v>3666</v>
      </c>
      <c r="HD6" s="53">
        <v>45474</v>
      </c>
      <c r="HE6" t="str">
        <f>TEXT(VAL_Latest_Month_Actual[[#This Row],[Latest Month Actuals Completed]],"[$-en-US]mmm 'yy;@")</f>
        <v>Jul '24</v>
      </c>
      <c r="HH6" t="s">
        <v>3163</v>
      </c>
      <c r="HJ6" t="s">
        <v>3674</v>
      </c>
      <c r="HL6" t="s">
        <v>3675</v>
      </c>
      <c r="HN6" t="s">
        <v>3676</v>
      </c>
      <c r="HP6" t="s">
        <v>3677</v>
      </c>
      <c r="HR6" t="s">
        <v>3678</v>
      </c>
      <c r="HT6" t="s">
        <v>3679</v>
      </c>
      <c r="HV6" t="s">
        <v>3680</v>
      </c>
      <c r="HX6" t="s">
        <v>3681</v>
      </c>
      <c r="HZ6" t="s">
        <v>3171</v>
      </c>
      <c r="IB6" t="s">
        <v>2005</v>
      </c>
      <c r="IC6" t="s">
        <v>3682</v>
      </c>
      <c r="ID6" t="s">
        <v>1185</v>
      </c>
      <c r="IF6" t="s">
        <v>3683</v>
      </c>
      <c r="IH6" t="s">
        <v>607</v>
      </c>
      <c r="IJ6" t="s">
        <v>3684</v>
      </c>
      <c r="IL6" t="s">
        <v>3685</v>
      </c>
      <c r="IO6" t="s">
        <v>3686</v>
      </c>
    </row>
    <row r="7" spans="1:249" x14ac:dyDescent="0.35">
      <c r="A7" s="54" t="s">
        <v>3606</v>
      </c>
      <c r="B7" s="55" t="s">
        <v>3607</v>
      </c>
      <c r="C7" s="56" t="s">
        <v>3687</v>
      </c>
      <c r="E7" t="s">
        <v>3688</v>
      </c>
      <c r="F7" t="s">
        <v>3689</v>
      </c>
      <c r="H7" t="s">
        <v>3690</v>
      </c>
      <c r="I7">
        <v>2885</v>
      </c>
      <c r="M7" s="57" t="s">
        <v>3691</v>
      </c>
      <c r="N7" t="s">
        <v>3692</v>
      </c>
      <c r="Q7" t="s">
        <v>3693</v>
      </c>
      <c r="R7" t="s">
        <v>3694</v>
      </c>
      <c r="T7" t="s">
        <v>3695</v>
      </c>
      <c r="U7" t="s">
        <v>3696</v>
      </c>
      <c r="V7" t="s">
        <v>3697</v>
      </c>
      <c r="W7" t="s">
        <v>3698</v>
      </c>
      <c r="X7" t="s">
        <v>3699</v>
      </c>
      <c r="Z7" t="s">
        <v>3700</v>
      </c>
      <c r="AB7" t="s">
        <v>3700</v>
      </c>
      <c r="AC7" t="s">
        <v>3701</v>
      </c>
      <c r="AF7" t="s">
        <v>3615</v>
      </c>
      <c r="AG7" t="s">
        <v>3616</v>
      </c>
      <c r="AH7" t="s">
        <v>3702</v>
      </c>
      <c r="AJ7" t="s">
        <v>3703</v>
      </c>
      <c r="AL7" t="s">
        <v>3615</v>
      </c>
      <c r="AM7" t="s">
        <v>3704</v>
      </c>
      <c r="AO7" t="s">
        <v>3705</v>
      </c>
      <c r="AQ7" t="s">
        <v>3706</v>
      </c>
      <c r="AS7" t="s">
        <v>3707</v>
      </c>
      <c r="AT7" s="36">
        <v>2</v>
      </c>
      <c r="AU7" s="23">
        <f>VAL_ValueFramework1[[#This Row],[Score]]*$AT$21</f>
        <v>0.4</v>
      </c>
      <c r="AW7" t="s">
        <v>3708</v>
      </c>
      <c r="AX7">
        <v>5</v>
      </c>
      <c r="AY7">
        <f>VAL_ESI[[#This Row],[Score]]*$AT$23</f>
        <v>1</v>
      </c>
      <c r="BA7" t="s">
        <v>3709</v>
      </c>
      <c r="BC7" s="58" t="s">
        <v>3710</v>
      </c>
      <c r="BD7" s="59">
        <v>8</v>
      </c>
      <c r="BE7" s="60">
        <f>VAL_ValueFramework1[[#This Row],[Score]]*BE19</f>
        <v>0</v>
      </c>
      <c r="BG7" s="40" t="s">
        <v>3711</v>
      </c>
      <c r="BH7" s="41">
        <v>2</v>
      </c>
      <c r="BI7" s="41">
        <v>0.1</v>
      </c>
      <c r="BK7" t="s">
        <v>3712</v>
      </c>
      <c r="BL7" s="23"/>
      <c r="BM7" s="23"/>
      <c r="BO7" s="57" t="s">
        <v>3713</v>
      </c>
      <c r="BP7" s="61">
        <v>1</v>
      </c>
      <c r="BQ7" s="61">
        <v>0.4</v>
      </c>
      <c r="BS7" s="57" t="s">
        <v>3714</v>
      </c>
      <c r="BT7" s="62">
        <v>0</v>
      </c>
      <c r="BV7" s="57" t="s">
        <v>3715</v>
      </c>
      <c r="BW7" s="61">
        <v>1</v>
      </c>
      <c r="BY7" s="40" t="s">
        <v>3716</v>
      </c>
      <c r="BZ7" s="41">
        <v>2</v>
      </c>
      <c r="CB7" s="46" t="s">
        <v>3717</v>
      </c>
      <c r="CC7" s="40">
        <v>2</v>
      </c>
      <c r="CE7" t="s">
        <v>3717</v>
      </c>
      <c r="CF7" s="42">
        <v>5</v>
      </c>
      <c r="CH7" t="s">
        <v>3717</v>
      </c>
      <c r="CI7" s="57">
        <v>5</v>
      </c>
      <c r="CK7" s="63" t="s">
        <v>3718</v>
      </c>
      <c r="CL7" s="57">
        <v>2</v>
      </c>
      <c r="CN7" t="s">
        <v>3719</v>
      </c>
      <c r="CO7" s="48">
        <v>5</v>
      </c>
      <c r="CQ7" t="s">
        <v>3720</v>
      </c>
      <c r="CS7" s="57" t="s">
        <v>3721</v>
      </c>
      <c r="CU7" t="s">
        <v>3722</v>
      </c>
      <c r="CW7" t="s">
        <v>3723</v>
      </c>
      <c r="CY7" t="s">
        <v>3724</v>
      </c>
      <c r="DA7" t="s">
        <v>3725</v>
      </c>
      <c r="DC7" t="s">
        <v>3726</v>
      </c>
      <c r="DE7" s="64" t="s">
        <v>3727</v>
      </c>
      <c r="DG7" t="s">
        <v>3728</v>
      </c>
      <c r="DI7" t="s">
        <v>3640</v>
      </c>
      <c r="DJ7" t="s">
        <v>3641</v>
      </c>
      <c r="DK7" t="s">
        <v>3642</v>
      </c>
      <c r="DL7" t="s">
        <v>3729</v>
      </c>
      <c r="DN7" t="s">
        <v>3642</v>
      </c>
      <c r="DO7" t="s">
        <v>3729</v>
      </c>
      <c r="DQ7" s="50" t="s">
        <v>3644</v>
      </c>
      <c r="DR7" t="s">
        <v>3730</v>
      </c>
      <c r="DT7" t="s">
        <v>3731</v>
      </c>
      <c r="DV7" t="s">
        <v>3732</v>
      </c>
      <c r="DX7" t="s">
        <v>3644</v>
      </c>
      <c r="DZ7" t="s">
        <v>3733</v>
      </c>
      <c r="EB7" t="s">
        <v>3643</v>
      </c>
      <c r="EE7" t="s">
        <v>3734</v>
      </c>
      <c r="EG7" t="s">
        <v>3734</v>
      </c>
      <c r="EI7" t="s">
        <v>3735</v>
      </c>
      <c r="EK7" t="s">
        <v>3736</v>
      </c>
      <c r="EM7" t="s">
        <v>1797</v>
      </c>
      <c r="EO7" t="s">
        <v>3737</v>
      </c>
      <c r="EQ7" t="s">
        <v>3738</v>
      </c>
      <c r="ES7" t="s">
        <v>3739</v>
      </c>
      <c r="EU7" t="s">
        <v>3740</v>
      </c>
      <c r="EW7" t="s">
        <v>3741</v>
      </c>
      <c r="EZ7" t="s">
        <v>3742</v>
      </c>
      <c r="FB7" s="51" t="s">
        <v>3743</v>
      </c>
      <c r="FD7" t="s">
        <v>3744</v>
      </c>
      <c r="FF7" t="s">
        <v>3745</v>
      </c>
      <c r="FH7" t="s">
        <v>3746</v>
      </c>
      <c r="FJ7" t="s">
        <v>3747</v>
      </c>
      <c r="FL7" t="s">
        <v>3748</v>
      </c>
      <c r="FN7" t="s">
        <v>3749</v>
      </c>
      <c r="FP7" t="s">
        <v>3750</v>
      </c>
      <c r="FR7" t="s">
        <v>3751</v>
      </c>
      <c r="FT7" t="s">
        <v>3752</v>
      </c>
      <c r="FV7" t="s">
        <v>3753</v>
      </c>
      <c r="FX7" t="s">
        <v>3754</v>
      </c>
      <c r="FZ7" t="s">
        <v>3754</v>
      </c>
      <c r="GB7" t="s">
        <v>3752</v>
      </c>
      <c r="GD7" t="s">
        <v>1783</v>
      </c>
      <c r="GF7" t="s">
        <v>3755</v>
      </c>
      <c r="GH7" t="s">
        <v>3756</v>
      </c>
      <c r="GJ7" t="s">
        <v>3757</v>
      </c>
      <c r="GK7" t="s">
        <v>3668</v>
      </c>
      <c r="GL7" t="s">
        <v>3758</v>
      </c>
      <c r="GN7" t="s">
        <v>3759</v>
      </c>
      <c r="GP7" t="s">
        <v>3760</v>
      </c>
      <c r="GR7" t="s">
        <v>19</v>
      </c>
      <c r="GT7" s="52">
        <v>0</v>
      </c>
      <c r="GU7" t="s">
        <v>3761</v>
      </c>
      <c r="GW7" t="s">
        <v>3762</v>
      </c>
      <c r="GY7">
        <v>5</v>
      </c>
      <c r="GZ7" t="s">
        <v>1783</v>
      </c>
      <c r="HD7" s="53">
        <v>45505</v>
      </c>
      <c r="HE7" t="str">
        <f>TEXT(VAL_Latest_Month_Actual[[#This Row],[Latest Month Actuals Completed]],"[$-en-US]mmm 'yy;@")</f>
        <v>Aug '24</v>
      </c>
      <c r="HH7" t="s">
        <v>3749</v>
      </c>
      <c r="HJ7" t="s">
        <v>3763</v>
      </c>
      <c r="HL7" t="s">
        <v>3764</v>
      </c>
      <c r="HN7" t="s">
        <v>3765</v>
      </c>
      <c r="HP7" t="s">
        <v>3766</v>
      </c>
      <c r="HR7" t="s">
        <v>3712</v>
      </c>
      <c r="HT7" t="s">
        <v>3767</v>
      </c>
      <c r="HV7" t="s">
        <v>3768</v>
      </c>
      <c r="HX7" t="s">
        <v>3769</v>
      </c>
      <c r="HZ7" t="s">
        <v>3770</v>
      </c>
      <c r="IB7" t="s">
        <v>3771</v>
      </c>
      <c r="IC7" t="s">
        <v>3772</v>
      </c>
      <c r="IF7" t="s">
        <v>3773</v>
      </c>
      <c r="IH7" t="s">
        <v>3774</v>
      </c>
      <c r="IJ7" t="s">
        <v>3647</v>
      </c>
      <c r="IL7" t="s">
        <v>3775</v>
      </c>
      <c r="IO7" t="s">
        <v>3776</v>
      </c>
    </row>
    <row r="8" spans="1:249" x14ac:dyDescent="0.35">
      <c r="A8" s="54" t="s">
        <v>3606</v>
      </c>
      <c r="B8" s="55" t="s">
        <v>3607</v>
      </c>
      <c r="C8" s="56" t="s">
        <v>3777</v>
      </c>
      <c r="E8" t="s">
        <v>3778</v>
      </c>
      <c r="F8" t="s">
        <v>3779</v>
      </c>
      <c r="H8" t="s">
        <v>3780</v>
      </c>
      <c r="I8">
        <v>2886</v>
      </c>
      <c r="M8" s="33" t="s">
        <v>3781</v>
      </c>
      <c r="N8" t="s">
        <v>3782</v>
      </c>
      <c r="Q8" t="s">
        <v>3783</v>
      </c>
      <c r="R8" t="s">
        <v>3784</v>
      </c>
      <c r="T8" t="s">
        <v>3785</v>
      </c>
      <c r="U8" t="s">
        <v>3786</v>
      </c>
      <c r="V8" t="s">
        <v>3787</v>
      </c>
      <c r="W8" t="s">
        <v>3698</v>
      </c>
      <c r="X8" t="s">
        <v>3699</v>
      </c>
      <c r="Z8" t="s">
        <v>3788</v>
      </c>
      <c r="AB8" t="s">
        <v>3788</v>
      </c>
      <c r="AC8" t="s">
        <v>3789</v>
      </c>
      <c r="AF8" t="s">
        <v>3615</v>
      </c>
      <c r="AG8" t="s">
        <v>3616</v>
      </c>
      <c r="AH8" t="s">
        <v>3790</v>
      </c>
      <c r="AJ8" t="s">
        <v>3791</v>
      </c>
      <c r="AL8" t="s">
        <v>3703</v>
      </c>
      <c r="AM8" t="s">
        <v>3792</v>
      </c>
      <c r="AO8" s="35" t="s">
        <v>3793</v>
      </c>
      <c r="AQ8" t="s">
        <v>3794</v>
      </c>
      <c r="AS8" t="s">
        <v>3795</v>
      </c>
      <c r="AT8" s="36">
        <v>2</v>
      </c>
      <c r="AU8" s="23">
        <f>VAL_ValueFramework1[[#This Row],[Score]]*$AT$21</f>
        <v>0.4</v>
      </c>
      <c r="AW8" t="s">
        <v>3796</v>
      </c>
      <c r="AX8">
        <v>3</v>
      </c>
      <c r="AY8">
        <f>VAL_ESI[[#This Row],[Score]]*$AT$23</f>
        <v>0.60000000000000009</v>
      </c>
      <c r="BA8" t="s">
        <v>3797</v>
      </c>
      <c r="BC8" s="65" t="s">
        <v>3798</v>
      </c>
      <c r="BD8" s="66">
        <v>8</v>
      </c>
      <c r="BE8" s="67">
        <v>0.2</v>
      </c>
      <c r="BG8" s="40" t="s">
        <v>3799</v>
      </c>
      <c r="BH8" s="41">
        <v>3</v>
      </c>
      <c r="BI8" s="41">
        <v>0.2</v>
      </c>
      <c r="BK8" t="s">
        <v>3800</v>
      </c>
      <c r="BL8" s="23"/>
      <c r="BM8" s="23"/>
      <c r="BO8" s="42" t="s">
        <v>3801</v>
      </c>
      <c r="BP8" s="43">
        <v>2</v>
      </c>
      <c r="BQ8" s="43">
        <v>0.8</v>
      </c>
      <c r="BS8" s="42" t="s">
        <v>3802</v>
      </c>
      <c r="BT8" s="68">
        <v>25</v>
      </c>
      <c r="BV8" s="42" t="s">
        <v>3803</v>
      </c>
      <c r="BW8" s="43">
        <v>2</v>
      </c>
      <c r="BY8" s="44" t="s">
        <v>3804</v>
      </c>
      <c r="BZ8" s="45">
        <v>3</v>
      </c>
      <c r="CB8" s="46" t="s">
        <v>3805</v>
      </c>
      <c r="CC8" s="40">
        <v>3</v>
      </c>
      <c r="CE8" t="s">
        <v>3805</v>
      </c>
      <c r="CF8" s="42">
        <v>3</v>
      </c>
      <c r="CH8" t="s">
        <v>3805</v>
      </c>
      <c r="CI8" s="42">
        <v>3</v>
      </c>
      <c r="CK8" s="47" t="s">
        <v>3806</v>
      </c>
      <c r="CL8" s="42">
        <v>3</v>
      </c>
      <c r="CN8" t="s">
        <v>3807</v>
      </c>
      <c r="CO8" s="48">
        <v>3</v>
      </c>
      <c r="CQ8" t="s">
        <v>3808</v>
      </c>
      <c r="CS8" s="42" t="s">
        <v>3809</v>
      </c>
      <c r="CU8" t="s">
        <v>3810</v>
      </c>
      <c r="CW8" t="s">
        <v>3811</v>
      </c>
      <c r="CY8" t="s">
        <v>3812</v>
      </c>
      <c r="DA8" t="s">
        <v>3813</v>
      </c>
      <c r="DC8" t="s">
        <v>3814</v>
      </c>
      <c r="DE8" s="49" t="s">
        <v>3815</v>
      </c>
      <c r="DG8" t="s">
        <v>3816</v>
      </c>
      <c r="DI8" t="s">
        <v>3640</v>
      </c>
      <c r="DJ8" t="s">
        <v>3641</v>
      </c>
      <c r="DK8" t="s">
        <v>3642</v>
      </c>
      <c r="DL8" t="s">
        <v>3817</v>
      </c>
      <c r="DN8" t="s">
        <v>3642</v>
      </c>
      <c r="DO8" t="s">
        <v>3817</v>
      </c>
      <c r="DQ8" s="50" t="s">
        <v>3644</v>
      </c>
      <c r="DR8" t="s">
        <v>3818</v>
      </c>
      <c r="DT8" t="s">
        <v>3819</v>
      </c>
      <c r="DX8" t="s">
        <v>3820</v>
      </c>
      <c r="DZ8" t="s">
        <v>3648</v>
      </c>
      <c r="EB8" t="s">
        <v>3729</v>
      </c>
      <c r="EE8" t="s">
        <v>3821</v>
      </c>
      <c r="EG8" t="s">
        <v>3822</v>
      </c>
      <c r="EK8" t="s">
        <v>3823</v>
      </c>
      <c r="EM8" t="s">
        <v>3732</v>
      </c>
      <c r="EO8" t="s">
        <v>3824</v>
      </c>
      <c r="EQ8" t="s">
        <v>3825</v>
      </c>
      <c r="ES8" t="s">
        <v>2005</v>
      </c>
      <c r="EU8" t="s">
        <v>3826</v>
      </c>
      <c r="EW8" t="s">
        <v>3827</v>
      </c>
      <c r="EZ8" t="s">
        <v>3828</v>
      </c>
      <c r="FB8" s="51" t="s">
        <v>3829</v>
      </c>
      <c r="FD8" t="s">
        <v>3830</v>
      </c>
      <c r="FF8" t="s">
        <v>3831</v>
      </c>
      <c r="FH8" t="s">
        <v>3832</v>
      </c>
      <c r="FJ8" t="s">
        <v>3833</v>
      </c>
      <c r="FL8" t="s">
        <v>3752</v>
      </c>
      <c r="FN8" t="s">
        <v>3834</v>
      </c>
      <c r="FP8" t="s">
        <v>3835</v>
      </c>
      <c r="FR8" t="s">
        <v>3836</v>
      </c>
      <c r="FV8" t="s">
        <v>3754</v>
      </c>
      <c r="FZ8" t="s">
        <v>3837</v>
      </c>
      <c r="GD8" t="s">
        <v>3838</v>
      </c>
      <c r="GF8" t="s">
        <v>3771</v>
      </c>
      <c r="GH8" t="s">
        <v>3839</v>
      </c>
      <c r="GJ8" t="s">
        <v>3840</v>
      </c>
      <c r="GK8" t="s">
        <v>3668</v>
      </c>
      <c r="GL8" t="s">
        <v>3841</v>
      </c>
      <c r="GN8" t="s">
        <v>3842</v>
      </c>
      <c r="GP8" t="s">
        <v>3843</v>
      </c>
      <c r="GR8" t="s">
        <v>3844</v>
      </c>
      <c r="GT8" s="52">
        <f>25*10^6</f>
        <v>25000000</v>
      </c>
      <c r="GU8" t="s">
        <v>3845</v>
      </c>
      <c r="GW8" t="s">
        <v>3846</v>
      </c>
      <c r="GY8">
        <v>8</v>
      </c>
      <c r="GZ8" t="s">
        <v>3838</v>
      </c>
      <c r="HD8" s="53">
        <v>45536</v>
      </c>
      <c r="HE8" t="str">
        <f>TEXT(VAL_Latest_Month_Actual[[#This Row],[Latest Month Actuals Completed]],"[$-en-US]mmm 'yy;@")</f>
        <v>Sep '24</v>
      </c>
      <c r="HH8" t="s">
        <v>3834</v>
      </c>
      <c r="HJ8" t="s">
        <v>3847</v>
      </c>
      <c r="HL8" t="s">
        <v>3848</v>
      </c>
      <c r="HN8" t="s">
        <v>3849</v>
      </c>
      <c r="HP8" t="s">
        <v>3850</v>
      </c>
      <c r="HR8" t="s">
        <v>3851</v>
      </c>
      <c r="HT8" t="s">
        <v>3852</v>
      </c>
      <c r="HV8" t="s">
        <v>3853</v>
      </c>
      <c r="HX8" t="s">
        <v>652</v>
      </c>
      <c r="HZ8" t="s">
        <v>3854</v>
      </c>
      <c r="IB8" t="s">
        <v>3855</v>
      </c>
      <c r="IC8" t="s">
        <v>3856</v>
      </c>
      <c r="IF8" t="s">
        <v>3857</v>
      </c>
      <c r="IH8" t="s">
        <v>3858</v>
      </c>
      <c r="IJ8" t="s">
        <v>3732</v>
      </c>
      <c r="IL8" t="s">
        <v>3859</v>
      </c>
      <c r="IO8" t="s">
        <v>3860</v>
      </c>
    </row>
    <row r="9" spans="1:249" x14ac:dyDescent="0.35">
      <c r="A9" s="54" t="s">
        <v>3606</v>
      </c>
      <c r="B9" s="55" t="s">
        <v>3694</v>
      </c>
      <c r="C9" s="56" t="s">
        <v>3609</v>
      </c>
      <c r="E9" t="s">
        <v>3861</v>
      </c>
      <c r="F9" t="s">
        <v>3862</v>
      </c>
      <c r="H9" t="s">
        <v>3863</v>
      </c>
      <c r="I9">
        <v>2887</v>
      </c>
      <c r="M9" s="57" t="s">
        <v>3864</v>
      </c>
      <c r="N9" t="s">
        <v>3865</v>
      </c>
      <c r="Q9" t="s">
        <v>3615</v>
      </c>
      <c r="R9" t="s">
        <v>3615</v>
      </c>
      <c r="T9" t="s">
        <v>3866</v>
      </c>
      <c r="U9" t="s">
        <v>3867</v>
      </c>
      <c r="V9" t="s">
        <v>3868</v>
      </c>
      <c r="W9" t="s">
        <v>3869</v>
      </c>
      <c r="Z9" t="s">
        <v>3870</v>
      </c>
      <c r="AB9" t="s">
        <v>3871</v>
      </c>
      <c r="AC9" t="s">
        <v>3872</v>
      </c>
      <c r="AF9" t="s">
        <v>3615</v>
      </c>
      <c r="AG9" t="s">
        <v>3616</v>
      </c>
      <c r="AH9" t="s">
        <v>3873</v>
      </c>
      <c r="AJ9" t="s">
        <v>3874</v>
      </c>
      <c r="AL9" t="s">
        <v>3791</v>
      </c>
      <c r="AM9" t="s">
        <v>3875</v>
      </c>
      <c r="AO9" t="s">
        <v>3876</v>
      </c>
      <c r="AQ9" t="s">
        <v>3877</v>
      </c>
      <c r="AS9" t="s">
        <v>3878</v>
      </c>
      <c r="AT9" s="36">
        <v>3</v>
      </c>
      <c r="AU9" s="23">
        <f>VAL_ValueFramework1[[#This Row],[Score]]*$AT$21</f>
        <v>0.60000000000000009</v>
      </c>
      <c r="AW9" t="s">
        <v>3879</v>
      </c>
      <c r="AX9">
        <v>3</v>
      </c>
      <c r="AY9">
        <f>VAL_ESI[[#This Row],[Score]]*$AT$23</f>
        <v>0.60000000000000009</v>
      </c>
      <c r="BA9" t="s">
        <v>3880</v>
      </c>
      <c r="BG9" s="40" t="s">
        <v>3881</v>
      </c>
      <c r="BH9" s="41">
        <v>5</v>
      </c>
      <c r="BI9" s="41">
        <v>0.3</v>
      </c>
      <c r="BK9" t="s">
        <v>3882</v>
      </c>
      <c r="BL9" s="23"/>
      <c r="BM9" s="23"/>
      <c r="BO9" s="57" t="s">
        <v>3883</v>
      </c>
      <c r="BP9" s="61">
        <v>3</v>
      </c>
      <c r="BQ9" s="61">
        <v>1.2</v>
      </c>
      <c r="BV9" s="57" t="s">
        <v>3884</v>
      </c>
      <c r="BW9" s="61">
        <v>3</v>
      </c>
      <c r="BY9" s="40" t="s">
        <v>3885</v>
      </c>
      <c r="BZ9" s="41">
        <v>5</v>
      </c>
      <c r="CB9" s="46" t="s">
        <v>3886</v>
      </c>
      <c r="CC9" s="40">
        <v>5</v>
      </c>
      <c r="CE9" t="s">
        <v>3886</v>
      </c>
      <c r="CF9" s="57">
        <v>2</v>
      </c>
      <c r="CH9" t="s">
        <v>3886</v>
      </c>
      <c r="CI9" s="57">
        <v>2</v>
      </c>
      <c r="CK9" s="63" t="s">
        <v>3887</v>
      </c>
      <c r="CL9" s="57">
        <v>5</v>
      </c>
      <c r="CN9" t="s">
        <v>3888</v>
      </c>
      <c r="CO9" s="48">
        <v>2</v>
      </c>
      <c r="CS9" s="57" t="s">
        <v>3889</v>
      </c>
      <c r="CU9" t="s">
        <v>3890</v>
      </c>
      <c r="CW9" t="s">
        <v>3891</v>
      </c>
      <c r="DE9" s="64" t="s">
        <v>3892</v>
      </c>
      <c r="DG9" t="s">
        <v>3893</v>
      </c>
      <c r="DI9" t="s">
        <v>3640</v>
      </c>
      <c r="DJ9" t="s">
        <v>3641</v>
      </c>
      <c r="DK9" t="s">
        <v>3642</v>
      </c>
      <c r="DL9" t="s">
        <v>3894</v>
      </c>
      <c r="DN9" t="s">
        <v>3642</v>
      </c>
      <c r="DO9" t="s">
        <v>3894</v>
      </c>
      <c r="DQ9" s="50" t="s">
        <v>3644</v>
      </c>
      <c r="DR9" t="s">
        <v>3895</v>
      </c>
      <c r="DT9" t="s">
        <v>3896</v>
      </c>
      <c r="DX9" t="s">
        <v>3897</v>
      </c>
      <c r="DZ9" t="s">
        <v>3898</v>
      </c>
      <c r="EB9" t="s">
        <v>3899</v>
      </c>
      <c r="EC9" t="s">
        <v>3900</v>
      </c>
      <c r="EE9" t="s">
        <v>3822</v>
      </c>
      <c r="EG9" s="69" t="s">
        <v>3901</v>
      </c>
      <c r="EM9" t="s">
        <v>3902</v>
      </c>
      <c r="EO9" t="s">
        <v>3903</v>
      </c>
      <c r="EQ9" t="s">
        <v>3904</v>
      </c>
      <c r="ES9" t="s">
        <v>3771</v>
      </c>
      <c r="EU9" t="s">
        <v>3905</v>
      </c>
      <c r="FB9" s="51" t="s">
        <v>3906</v>
      </c>
      <c r="FF9" t="s">
        <v>3907</v>
      </c>
      <c r="FH9" t="s">
        <v>3908</v>
      </c>
      <c r="FJ9" t="s">
        <v>3909</v>
      </c>
      <c r="FL9" t="s">
        <v>3910</v>
      </c>
      <c r="FN9" t="s">
        <v>3911</v>
      </c>
      <c r="FP9" t="s">
        <v>3912</v>
      </c>
      <c r="FR9" t="s">
        <v>3619</v>
      </c>
      <c r="GD9" t="s">
        <v>3913</v>
      </c>
      <c r="GF9" t="s">
        <v>2005</v>
      </c>
      <c r="GJ9" t="s">
        <v>3914</v>
      </c>
      <c r="GK9" t="s">
        <v>3668</v>
      </c>
      <c r="GL9" t="s">
        <v>3915</v>
      </c>
      <c r="GN9" t="s">
        <v>3916</v>
      </c>
      <c r="GP9" t="s">
        <v>3917</v>
      </c>
      <c r="GT9" s="52">
        <f>5*10^6</f>
        <v>5000000</v>
      </c>
      <c r="GU9" t="s">
        <v>3918</v>
      </c>
      <c r="GW9" t="s">
        <v>3919</v>
      </c>
      <c r="HD9" s="53">
        <v>45566</v>
      </c>
      <c r="HE9" t="str">
        <f>TEXT(VAL_Latest_Month_Actual[[#This Row],[Latest Month Actuals Completed]],"[$-en-US]mmm 'yy;@")</f>
        <v>Oct '24</v>
      </c>
      <c r="HH9" t="s">
        <v>3911</v>
      </c>
      <c r="HJ9" t="s">
        <v>3920</v>
      </c>
      <c r="HL9" t="s">
        <v>3921</v>
      </c>
      <c r="HN9" t="s">
        <v>3922</v>
      </c>
      <c r="HP9" t="s">
        <v>3923</v>
      </c>
      <c r="HR9" t="s">
        <v>3924</v>
      </c>
      <c r="HT9" t="s">
        <v>3925</v>
      </c>
      <c r="HV9" t="s">
        <v>3926</v>
      </c>
      <c r="HX9" t="s">
        <v>127</v>
      </c>
      <c r="HZ9" t="s">
        <v>3927</v>
      </c>
      <c r="IB9" t="s">
        <v>3928</v>
      </c>
      <c r="IC9" t="s">
        <v>3929</v>
      </c>
      <c r="ID9" t="s">
        <v>3740</v>
      </c>
      <c r="IF9" t="s">
        <v>3930</v>
      </c>
      <c r="IH9" t="s">
        <v>1783</v>
      </c>
      <c r="IL9" t="s">
        <v>3931</v>
      </c>
      <c r="IO9" t="s">
        <v>3932</v>
      </c>
    </row>
    <row r="10" spans="1:249" x14ac:dyDescent="0.35">
      <c r="A10" s="54" t="s">
        <v>3606</v>
      </c>
      <c r="B10" s="55" t="s">
        <v>3694</v>
      </c>
      <c r="C10" s="56" t="s">
        <v>3688</v>
      </c>
      <c r="E10" t="s">
        <v>3933</v>
      </c>
      <c r="F10" t="s">
        <v>3934</v>
      </c>
      <c r="H10" t="s">
        <v>3935</v>
      </c>
      <c r="I10">
        <v>2888</v>
      </c>
      <c r="Q10" t="s">
        <v>3936</v>
      </c>
      <c r="R10" t="s">
        <v>3937</v>
      </c>
      <c r="T10" t="s">
        <v>3938</v>
      </c>
      <c r="U10" t="s">
        <v>3909</v>
      </c>
      <c r="V10" t="s">
        <v>3939</v>
      </c>
      <c r="W10" t="s">
        <v>3869</v>
      </c>
      <c r="Z10" t="s">
        <v>3940</v>
      </c>
      <c r="AB10" t="s">
        <v>3940</v>
      </c>
      <c r="AC10" t="s">
        <v>3941</v>
      </c>
      <c r="AF10" t="s">
        <v>3615</v>
      </c>
      <c r="AG10" t="s">
        <v>3705</v>
      </c>
      <c r="AH10" t="s">
        <v>3942</v>
      </c>
      <c r="AJ10" t="s">
        <v>3943</v>
      </c>
      <c r="AL10" t="s">
        <v>3874</v>
      </c>
      <c r="AM10" t="s">
        <v>3944</v>
      </c>
      <c r="AO10" t="s">
        <v>3945</v>
      </c>
      <c r="AQ10" t="s">
        <v>3946</v>
      </c>
      <c r="AS10" t="s">
        <v>3947</v>
      </c>
      <c r="AT10" s="36">
        <v>5</v>
      </c>
      <c r="AU10" s="23">
        <f>VAL_ValueFramework1[[#This Row],[Score]]*$AT$21</f>
        <v>1</v>
      </c>
      <c r="AW10" t="s">
        <v>3948</v>
      </c>
      <c r="AX10" s="23"/>
      <c r="AY10" s="23"/>
      <c r="BA10" t="s">
        <v>3949</v>
      </c>
      <c r="BG10" s="40" t="s">
        <v>3950</v>
      </c>
      <c r="BH10" s="41">
        <v>8</v>
      </c>
      <c r="BI10" s="41">
        <v>0.8</v>
      </c>
      <c r="BK10" t="s">
        <v>3951</v>
      </c>
      <c r="BL10" s="23"/>
      <c r="BM10" s="23"/>
      <c r="BO10" s="42" t="s">
        <v>3952</v>
      </c>
      <c r="BP10" s="43">
        <v>5</v>
      </c>
      <c r="BQ10" s="43">
        <v>2</v>
      </c>
      <c r="BV10" s="42" t="s">
        <v>3953</v>
      </c>
      <c r="BW10" s="43">
        <v>5</v>
      </c>
      <c r="BY10" s="44" t="s">
        <v>3954</v>
      </c>
      <c r="BZ10" s="45" t="s">
        <v>3955</v>
      </c>
      <c r="CB10" s="46" t="s">
        <v>3956</v>
      </c>
      <c r="CC10" s="40">
        <v>8</v>
      </c>
      <c r="CE10" t="s">
        <v>3956</v>
      </c>
      <c r="CF10" s="42">
        <v>1</v>
      </c>
      <c r="CH10" t="s">
        <v>3956</v>
      </c>
      <c r="CI10" s="42">
        <v>1</v>
      </c>
      <c r="CK10" s="47" t="s">
        <v>3957</v>
      </c>
      <c r="CL10" s="42">
        <v>8</v>
      </c>
      <c r="CN10" t="s">
        <v>3958</v>
      </c>
      <c r="CO10" s="48">
        <v>1</v>
      </c>
      <c r="CS10" s="42" t="s">
        <v>3959</v>
      </c>
      <c r="CU10" t="s">
        <v>3960</v>
      </c>
      <c r="CW10" s="70" t="s">
        <v>3961</v>
      </c>
      <c r="DE10" s="49" t="s">
        <v>3824</v>
      </c>
      <c r="DG10" t="s">
        <v>3962</v>
      </c>
      <c r="DI10" t="s">
        <v>3640</v>
      </c>
      <c r="DJ10" t="s">
        <v>3641</v>
      </c>
      <c r="DK10" t="s">
        <v>3733</v>
      </c>
      <c r="DL10" t="s">
        <v>3733</v>
      </c>
      <c r="DN10" t="s">
        <v>3733</v>
      </c>
      <c r="DO10" t="s">
        <v>3733</v>
      </c>
      <c r="DQ10" s="50" t="s">
        <v>3644</v>
      </c>
      <c r="DR10" t="s">
        <v>3936</v>
      </c>
      <c r="DT10" t="s">
        <v>3963</v>
      </c>
      <c r="DX10" t="s">
        <v>3964</v>
      </c>
      <c r="DZ10" t="s">
        <v>3644</v>
      </c>
      <c r="EB10" t="s">
        <v>3965</v>
      </c>
      <c r="EC10" t="s">
        <v>3966</v>
      </c>
      <c r="EE10" t="s">
        <v>3967</v>
      </c>
      <c r="EG10" t="s">
        <v>3968</v>
      </c>
      <c r="EO10" t="s">
        <v>3663</v>
      </c>
      <c r="EQ10" t="s">
        <v>3969</v>
      </c>
      <c r="ES10" t="s">
        <v>3755</v>
      </c>
      <c r="FB10" s="51" t="s">
        <v>3970</v>
      </c>
      <c r="FF10" t="s">
        <v>3971</v>
      </c>
      <c r="FH10" t="s">
        <v>3972</v>
      </c>
      <c r="FJ10" t="s">
        <v>3973</v>
      </c>
      <c r="FL10" t="s">
        <v>3974</v>
      </c>
      <c r="FN10" t="s">
        <v>3975</v>
      </c>
      <c r="FP10" t="s">
        <v>2142</v>
      </c>
      <c r="GJ10" t="s">
        <v>3976</v>
      </c>
      <c r="GK10" t="s">
        <v>3668</v>
      </c>
      <c r="GL10" t="s">
        <v>3977</v>
      </c>
      <c r="GN10" t="s">
        <v>3978</v>
      </c>
      <c r="GP10" t="s">
        <v>3979</v>
      </c>
      <c r="GT10" s="52">
        <f>15*10^6</f>
        <v>15000000</v>
      </c>
      <c r="GU10" t="s">
        <v>3980</v>
      </c>
      <c r="GW10" t="s">
        <v>3981</v>
      </c>
      <c r="GY10" t="s">
        <v>3982</v>
      </c>
      <c r="HD10" s="53">
        <v>45597</v>
      </c>
      <c r="HE10" t="str">
        <f>TEXT(VAL_Latest_Month_Actual[[#This Row],[Latest Month Actuals Completed]],"[$-en-US]mmm 'yy;@")</f>
        <v>Nov '24</v>
      </c>
      <c r="HH10" t="s">
        <v>3975</v>
      </c>
      <c r="HJ10" t="s">
        <v>3983</v>
      </c>
      <c r="HL10" t="s">
        <v>3984</v>
      </c>
      <c r="HN10" t="s">
        <v>3985</v>
      </c>
      <c r="HP10" t="s">
        <v>3986</v>
      </c>
      <c r="HR10" t="s">
        <v>3987</v>
      </c>
      <c r="HT10" s="71" t="s">
        <v>3988</v>
      </c>
      <c r="HU10" s="71"/>
      <c r="HV10" t="s">
        <v>3989</v>
      </c>
      <c r="HZ10" t="s">
        <v>3990</v>
      </c>
      <c r="IB10" t="s">
        <v>3991</v>
      </c>
      <c r="IC10" t="s">
        <v>3992</v>
      </c>
      <c r="ID10" t="s">
        <v>1185</v>
      </c>
      <c r="IF10" t="s">
        <v>3993</v>
      </c>
      <c r="IH10" t="s">
        <v>3994</v>
      </c>
      <c r="IO10" t="s">
        <v>3995</v>
      </c>
    </row>
    <row r="11" spans="1:249" x14ac:dyDescent="0.35">
      <c r="A11" s="54" t="s">
        <v>3606</v>
      </c>
      <c r="B11" s="55" t="s">
        <v>3694</v>
      </c>
      <c r="C11" s="56" t="s">
        <v>3778</v>
      </c>
      <c r="E11" t="s">
        <v>3996</v>
      </c>
      <c r="F11" t="s">
        <v>3997</v>
      </c>
      <c r="H11" t="s">
        <v>3998</v>
      </c>
      <c r="I11">
        <v>2889</v>
      </c>
      <c r="Q11" t="s">
        <v>3999</v>
      </c>
      <c r="R11" t="s">
        <v>4000</v>
      </c>
      <c r="T11" t="s">
        <v>3692</v>
      </c>
      <c r="U11" t="s">
        <v>4001</v>
      </c>
      <c r="V11" t="s">
        <v>4002</v>
      </c>
      <c r="W11" t="s">
        <v>3698</v>
      </c>
      <c r="Z11" t="s">
        <v>4003</v>
      </c>
      <c r="AB11" t="s">
        <v>4003</v>
      </c>
      <c r="AC11" t="s">
        <v>4004</v>
      </c>
      <c r="AF11" t="s">
        <v>3615</v>
      </c>
      <c r="AG11" t="s">
        <v>3705</v>
      </c>
      <c r="AH11" t="s">
        <v>4005</v>
      </c>
      <c r="AL11" t="s">
        <v>3874</v>
      </c>
      <c r="AM11" t="s">
        <v>4006</v>
      </c>
      <c r="AO11" t="s">
        <v>4007</v>
      </c>
      <c r="AQ11" t="s">
        <v>4008</v>
      </c>
      <c r="AS11" t="s">
        <v>2095</v>
      </c>
      <c r="AT11" s="36">
        <v>3</v>
      </c>
      <c r="AU11" s="23">
        <f>VAL_ValueFramework1[[#This Row],[Score]]*$AT$21</f>
        <v>0.60000000000000009</v>
      </c>
      <c r="AW11" t="s">
        <v>4009</v>
      </c>
      <c r="AX11" s="23">
        <v>3</v>
      </c>
      <c r="AY11" s="23">
        <f>VAL_ESI[[#This Row],[Score]]*$AT$23</f>
        <v>0.60000000000000009</v>
      </c>
      <c r="BA11" t="s">
        <v>3849</v>
      </c>
      <c r="BK11" t="s">
        <v>4010</v>
      </c>
      <c r="BL11" s="23"/>
      <c r="BM11" s="23"/>
      <c r="BO11" s="57" t="s">
        <v>4011</v>
      </c>
      <c r="BP11" s="61">
        <v>8</v>
      </c>
      <c r="BQ11" s="61">
        <v>3.2</v>
      </c>
      <c r="BV11" s="57" t="s">
        <v>4012</v>
      </c>
      <c r="BW11" s="61">
        <v>8</v>
      </c>
      <c r="CS11" s="57" t="s">
        <v>3824</v>
      </c>
      <c r="CU11" t="s">
        <v>607</v>
      </c>
      <c r="CW11" t="s">
        <v>4013</v>
      </c>
      <c r="DE11" s="64" t="s">
        <v>4014</v>
      </c>
      <c r="DG11" t="s">
        <v>4015</v>
      </c>
      <c r="DI11" t="s">
        <v>3640</v>
      </c>
      <c r="DJ11" t="s">
        <v>3641</v>
      </c>
      <c r="DK11" t="s">
        <v>4016</v>
      </c>
      <c r="DL11" t="s">
        <v>4017</v>
      </c>
      <c r="DN11" t="s">
        <v>4016</v>
      </c>
      <c r="DO11" t="s">
        <v>4017</v>
      </c>
      <c r="DQ11" s="50" t="s">
        <v>3644</v>
      </c>
      <c r="DR11" t="s">
        <v>4018</v>
      </c>
      <c r="DT11" t="s">
        <v>4019</v>
      </c>
      <c r="DZ11" t="s">
        <v>4020</v>
      </c>
      <c r="EB11" t="s">
        <v>3817</v>
      </c>
      <c r="EE11" t="s">
        <v>3901</v>
      </c>
      <c r="EG11" s="69" t="s">
        <v>4021</v>
      </c>
      <c r="EO11" t="s">
        <v>4022</v>
      </c>
      <c r="EQ11" s="51" t="s">
        <v>3737</v>
      </c>
      <c r="FB11" s="51" t="s">
        <v>4023</v>
      </c>
      <c r="FH11" t="s">
        <v>4024</v>
      </c>
      <c r="FJ11" t="s">
        <v>4025</v>
      </c>
      <c r="FL11" t="s">
        <v>4026</v>
      </c>
      <c r="FN11" t="s">
        <v>4027</v>
      </c>
      <c r="GJ11" t="s">
        <v>4028</v>
      </c>
      <c r="GK11" t="s">
        <v>3668</v>
      </c>
      <c r="GL11" t="s">
        <v>4029</v>
      </c>
      <c r="GP11" t="s">
        <v>4030</v>
      </c>
      <c r="GT11" s="52">
        <f>50*10^6</f>
        <v>50000000</v>
      </c>
      <c r="GU11" t="s">
        <v>4031</v>
      </c>
      <c r="GW11" t="s">
        <v>4032</v>
      </c>
      <c r="HD11" s="53">
        <v>45627</v>
      </c>
      <c r="HE11" t="str">
        <f>TEXT(VAL_Latest_Month_Actual[[#This Row],[Latest Month Actuals Completed]],"[$-en-US]mmm 'yy;@")</f>
        <v>Dec '24</v>
      </c>
      <c r="HH11" t="s">
        <v>4033</v>
      </c>
      <c r="HJ11" t="s">
        <v>4034</v>
      </c>
      <c r="HP11" t="s">
        <v>3836</v>
      </c>
      <c r="HR11" t="s">
        <v>4035</v>
      </c>
      <c r="IB11" t="s">
        <v>4036</v>
      </c>
      <c r="IC11" t="s">
        <v>4037</v>
      </c>
      <c r="ID11" t="s">
        <v>3905</v>
      </c>
      <c r="IF11" t="s">
        <v>4038</v>
      </c>
      <c r="IO11" t="s">
        <v>4039</v>
      </c>
    </row>
    <row r="12" spans="1:249" ht="14.4" x14ac:dyDescent="0.3">
      <c r="A12" s="54" t="s">
        <v>3606</v>
      </c>
      <c r="B12" s="55" t="s">
        <v>3694</v>
      </c>
      <c r="C12" s="56" t="s">
        <v>3861</v>
      </c>
      <c r="E12" t="s">
        <v>4040</v>
      </c>
      <c r="F12" t="s">
        <v>4041</v>
      </c>
      <c r="H12" t="s">
        <v>4042</v>
      </c>
      <c r="I12">
        <v>2890</v>
      </c>
      <c r="Q12" t="s">
        <v>3781</v>
      </c>
      <c r="R12" t="s">
        <v>3781</v>
      </c>
      <c r="T12" t="s">
        <v>4043</v>
      </c>
      <c r="U12" t="s">
        <v>4044</v>
      </c>
      <c r="V12" t="s">
        <v>4045</v>
      </c>
      <c r="W12" t="s">
        <v>3869</v>
      </c>
      <c r="Z12" t="s">
        <v>4046</v>
      </c>
      <c r="AB12" s="51" t="s">
        <v>4047</v>
      </c>
      <c r="AC12" s="51" t="s">
        <v>4048</v>
      </c>
      <c r="AD12" s="51"/>
      <c r="AF12" t="s">
        <v>3615</v>
      </c>
      <c r="AG12" t="s">
        <v>3793</v>
      </c>
      <c r="AH12" t="s">
        <v>3618</v>
      </c>
      <c r="AL12" t="s">
        <v>3874</v>
      </c>
      <c r="AM12" t="s">
        <v>4049</v>
      </c>
      <c r="AO12" t="s">
        <v>4050</v>
      </c>
      <c r="AQ12" t="s">
        <v>3617</v>
      </c>
      <c r="AS12" s="72" t="s">
        <v>4051</v>
      </c>
      <c r="AU12" s="23">
        <f>VAL_ValueFramework1[[#This Row],[Score]]*$AT$21</f>
        <v>0</v>
      </c>
      <c r="AW12" t="s">
        <v>4052</v>
      </c>
      <c r="AX12" s="23"/>
      <c r="AY12" s="23"/>
      <c r="BA12" t="s">
        <v>607</v>
      </c>
      <c r="BK12" t="s">
        <v>4035</v>
      </c>
      <c r="BL12" s="23"/>
      <c r="BM12" s="23"/>
      <c r="CS12" s="42" t="s">
        <v>4014</v>
      </c>
      <c r="DE12" s="64" t="s">
        <v>3619</v>
      </c>
      <c r="DI12" t="s">
        <v>3640</v>
      </c>
      <c r="DJ12" t="s">
        <v>3641</v>
      </c>
      <c r="DK12" t="s">
        <v>4016</v>
      </c>
      <c r="DL12" t="s">
        <v>4053</v>
      </c>
      <c r="DN12" t="s">
        <v>4016</v>
      </c>
      <c r="DO12" t="s">
        <v>4053</v>
      </c>
      <c r="DQ12" s="50" t="s">
        <v>3644</v>
      </c>
      <c r="DR12" t="s">
        <v>4054</v>
      </c>
      <c r="DT12" t="s">
        <v>4055</v>
      </c>
      <c r="DZ12" t="s">
        <v>4056</v>
      </c>
      <c r="EB12" t="s">
        <v>3894</v>
      </c>
      <c r="EE12" t="s">
        <v>3968</v>
      </c>
      <c r="EG12" s="51" t="s">
        <v>4057</v>
      </c>
      <c r="EO12" t="s">
        <v>4058</v>
      </c>
      <c r="EQ12" t="s">
        <v>4059</v>
      </c>
      <c r="FB12" s="51" t="s">
        <v>4060</v>
      </c>
      <c r="FH12" t="s">
        <v>4061</v>
      </c>
      <c r="FJ12" t="s">
        <v>4062</v>
      </c>
      <c r="FL12" t="s">
        <v>3771</v>
      </c>
      <c r="FN12" t="s">
        <v>4063</v>
      </c>
      <c r="GP12" t="s">
        <v>4064</v>
      </c>
      <c r="GT12" s="52">
        <f>20*10^6</f>
        <v>20000000</v>
      </c>
      <c r="GU12" t="s">
        <v>4065</v>
      </c>
      <c r="GW12" t="s">
        <v>4066</v>
      </c>
      <c r="HD12" s="53">
        <v>45658</v>
      </c>
      <c r="HE12" t="str">
        <f>TEXT(VAL_Latest_Month_Actual[[#This Row],[Latest Month Actuals Completed]],"[$-en-US]mmm 'yy;@")</f>
        <v>Jan '25</v>
      </c>
      <c r="HH12" t="s">
        <v>4067</v>
      </c>
      <c r="HJ12" t="s">
        <v>4068</v>
      </c>
      <c r="HN12" s="73" t="s">
        <v>4069</v>
      </c>
      <c r="HP12" t="s">
        <v>3624</v>
      </c>
      <c r="HR12" t="s">
        <v>3882</v>
      </c>
      <c r="IB12" t="s">
        <v>4070</v>
      </c>
      <c r="IC12" t="s">
        <v>4071</v>
      </c>
      <c r="ID12" t="s">
        <v>3905</v>
      </c>
      <c r="IF12" t="s">
        <v>4072</v>
      </c>
      <c r="IO12" t="s">
        <v>3936</v>
      </c>
    </row>
    <row r="13" spans="1:249" ht="14.4" x14ac:dyDescent="0.3">
      <c r="A13" s="54" t="s">
        <v>3606</v>
      </c>
      <c r="B13" s="55" t="s">
        <v>3694</v>
      </c>
      <c r="C13" s="56" t="s">
        <v>3933</v>
      </c>
      <c r="E13" t="s">
        <v>4073</v>
      </c>
      <c r="F13" t="s">
        <v>4074</v>
      </c>
      <c r="H13" t="s">
        <v>4075</v>
      </c>
      <c r="I13">
        <v>2891</v>
      </c>
      <c r="Q13" t="s">
        <v>3639</v>
      </c>
      <c r="R13" t="s">
        <v>3639</v>
      </c>
      <c r="T13" t="s">
        <v>4076</v>
      </c>
      <c r="U13" t="s">
        <v>4077</v>
      </c>
      <c r="V13" t="s">
        <v>4077</v>
      </c>
      <c r="W13" t="s">
        <v>3698</v>
      </c>
      <c r="Z13" t="s">
        <v>4078</v>
      </c>
      <c r="AB13" t="s">
        <v>4046</v>
      </c>
      <c r="AC13" t="s">
        <v>4079</v>
      </c>
      <c r="AF13" t="s">
        <v>3615</v>
      </c>
      <c r="AG13" t="s">
        <v>3793</v>
      </c>
      <c r="AH13" t="s">
        <v>3706</v>
      </c>
      <c r="AL13" t="s">
        <v>3874</v>
      </c>
      <c r="AM13" t="s">
        <v>4080</v>
      </c>
      <c r="AO13" t="s">
        <v>4081</v>
      </c>
      <c r="AQ13" t="s">
        <v>3702</v>
      </c>
      <c r="AS13" t="s">
        <v>4082</v>
      </c>
      <c r="AU13" s="23">
        <f>VAL_ValueFramework1[[#This Row],[Score]]*$AT$21</f>
        <v>0</v>
      </c>
      <c r="AW13" t="s">
        <v>4083</v>
      </c>
      <c r="AX13" s="23"/>
      <c r="AY13" s="23"/>
      <c r="BK13" t="s">
        <v>4084</v>
      </c>
      <c r="BL13" s="23"/>
      <c r="BM13" s="23"/>
      <c r="CS13" s="57" t="s">
        <v>4085</v>
      </c>
      <c r="DE13" s="49" t="s">
        <v>4086</v>
      </c>
      <c r="DI13" t="s">
        <v>3640</v>
      </c>
      <c r="DJ13" t="s">
        <v>3641</v>
      </c>
      <c r="DK13" t="s">
        <v>4016</v>
      </c>
      <c r="DL13" t="s">
        <v>4087</v>
      </c>
      <c r="DN13" t="s">
        <v>4016</v>
      </c>
      <c r="DO13" t="s">
        <v>4087</v>
      </c>
      <c r="DQ13" s="50" t="s">
        <v>3644</v>
      </c>
      <c r="DR13" t="s">
        <v>4088</v>
      </c>
      <c r="DT13" t="s">
        <v>4089</v>
      </c>
      <c r="DZ13" t="s">
        <v>4090</v>
      </c>
      <c r="EB13" t="s">
        <v>3733</v>
      </c>
      <c r="EE13" t="s">
        <v>4091</v>
      </c>
      <c r="EG13" t="s">
        <v>4092</v>
      </c>
      <c r="EO13" t="s">
        <v>4093</v>
      </c>
      <c r="EQ13" s="51" t="s">
        <v>3663</v>
      </c>
      <c r="FB13" s="51" t="s">
        <v>4094</v>
      </c>
      <c r="FJ13" t="s">
        <v>4095</v>
      </c>
      <c r="FN13" t="s">
        <v>4096</v>
      </c>
      <c r="GP13" t="s">
        <v>4097</v>
      </c>
      <c r="GT13" s="52">
        <f>45*10^6</f>
        <v>45000000</v>
      </c>
      <c r="GU13" t="s">
        <v>4098</v>
      </c>
      <c r="GW13" t="s">
        <v>4099</v>
      </c>
      <c r="HD13" s="53">
        <v>45689</v>
      </c>
      <c r="HE13" t="str">
        <f>TEXT(VAL_Latest_Month_Actual[[#This Row],[Latest Month Actuals Completed]],"[$-en-US]mmm 'yy;@")</f>
        <v>Feb '25</v>
      </c>
      <c r="HH13" t="s">
        <v>4100</v>
      </c>
      <c r="HJ13" t="s">
        <v>4101</v>
      </c>
      <c r="HN13" t="s">
        <v>4102</v>
      </c>
      <c r="HP13" t="s">
        <v>4103</v>
      </c>
      <c r="HR13" t="s">
        <v>4051</v>
      </c>
      <c r="IB13" t="s">
        <v>4104</v>
      </c>
      <c r="IC13" t="s">
        <v>4105</v>
      </c>
      <c r="ID13" t="s">
        <v>3826</v>
      </c>
      <c r="IF13" t="s">
        <v>4106</v>
      </c>
      <c r="IO13" s="69" t="s">
        <v>4107</v>
      </c>
    </row>
    <row r="14" spans="1:249" ht="14.4" x14ac:dyDescent="0.3">
      <c r="A14" s="54" t="s">
        <v>3606</v>
      </c>
      <c r="B14" s="55" t="s">
        <v>3694</v>
      </c>
      <c r="C14" s="56" t="s">
        <v>3996</v>
      </c>
      <c r="E14" t="s">
        <v>4108</v>
      </c>
      <c r="F14" t="s">
        <v>4109</v>
      </c>
      <c r="H14" t="s">
        <v>4110</v>
      </c>
      <c r="I14">
        <v>2892</v>
      </c>
      <c r="Q14" t="s">
        <v>4111</v>
      </c>
      <c r="R14" t="s">
        <v>4111</v>
      </c>
      <c r="T14" t="s">
        <v>3692</v>
      </c>
      <c r="U14" t="s">
        <v>4112</v>
      </c>
      <c r="V14" t="s">
        <v>4113</v>
      </c>
      <c r="W14" t="s">
        <v>3698</v>
      </c>
      <c r="Z14" t="s">
        <v>4114</v>
      </c>
      <c r="AB14" t="s">
        <v>4078</v>
      </c>
      <c r="AC14" t="s">
        <v>4115</v>
      </c>
      <c r="AF14" t="s">
        <v>3615</v>
      </c>
      <c r="AG14" t="s">
        <v>3793</v>
      </c>
      <c r="AH14" t="s">
        <v>3794</v>
      </c>
      <c r="AL14" t="s">
        <v>3874</v>
      </c>
      <c r="AM14" t="s">
        <v>4116</v>
      </c>
      <c r="AO14" t="s">
        <v>4117</v>
      </c>
      <c r="AQ14" t="s">
        <v>3790</v>
      </c>
      <c r="AW14" t="s">
        <v>4111</v>
      </c>
      <c r="AX14" s="23"/>
      <c r="AY14" s="23"/>
      <c r="BK14" t="s">
        <v>3987</v>
      </c>
      <c r="BL14" s="23"/>
      <c r="BM14" s="23"/>
      <c r="CS14" s="42" t="s">
        <v>4118</v>
      </c>
      <c r="DE14" s="49" t="s">
        <v>4085</v>
      </c>
      <c r="DI14" t="s">
        <v>3640</v>
      </c>
      <c r="DJ14" t="s">
        <v>3641</v>
      </c>
      <c r="DK14" t="s">
        <v>4016</v>
      </c>
      <c r="DL14" t="s">
        <v>4119</v>
      </c>
      <c r="DN14" t="s">
        <v>4016</v>
      </c>
      <c r="DO14" t="s">
        <v>4119</v>
      </c>
      <c r="DQ14" s="50" t="s">
        <v>3644</v>
      </c>
      <c r="DR14" t="s">
        <v>4120</v>
      </c>
      <c r="DT14" t="s">
        <v>4121</v>
      </c>
      <c r="DZ14" t="s">
        <v>4122</v>
      </c>
      <c r="EB14" t="s">
        <v>4017</v>
      </c>
      <c r="EE14" t="s">
        <v>4123</v>
      </c>
      <c r="EG14" t="s">
        <v>4124</v>
      </c>
      <c r="EQ14" s="51" t="s">
        <v>4022</v>
      </c>
      <c r="FB14" s="51" t="s">
        <v>4125</v>
      </c>
      <c r="FJ14" t="s">
        <v>4126</v>
      </c>
      <c r="FN14" t="s">
        <v>4127</v>
      </c>
      <c r="GP14" t="s">
        <v>4128</v>
      </c>
      <c r="GT14" s="52">
        <f>35*10^6</f>
        <v>35000000</v>
      </c>
      <c r="GU14" t="s">
        <v>4129</v>
      </c>
      <c r="GW14" t="s">
        <v>4130</v>
      </c>
      <c r="HD14" s="53">
        <v>45717</v>
      </c>
      <c r="HE14" t="str">
        <f>TEXT(VAL_Latest_Month_Actual[[#This Row],[Latest Month Actuals Completed]],"[$-en-US]mmm 'yy;@")</f>
        <v>Mar '25</v>
      </c>
      <c r="HH14" t="s">
        <v>4131</v>
      </c>
      <c r="HJ14" t="s">
        <v>4132</v>
      </c>
      <c r="HP14" t="s">
        <v>4133</v>
      </c>
      <c r="HR14" t="s">
        <v>4084</v>
      </c>
      <c r="IF14" t="s">
        <v>4134</v>
      </c>
      <c r="IO14" s="69" t="s">
        <v>4135</v>
      </c>
    </row>
    <row r="15" spans="1:249" ht="14.4" x14ac:dyDescent="0.3">
      <c r="A15" s="54" t="s">
        <v>3606</v>
      </c>
      <c r="B15" s="55" t="s">
        <v>3694</v>
      </c>
      <c r="C15" s="56" t="s">
        <v>4040</v>
      </c>
      <c r="E15" t="s">
        <v>3613</v>
      </c>
      <c r="F15" t="s">
        <v>4136</v>
      </c>
      <c r="H15" t="s">
        <v>4137</v>
      </c>
      <c r="I15">
        <v>2893</v>
      </c>
      <c r="Q15" t="s">
        <v>4138</v>
      </c>
      <c r="R15" t="s">
        <v>4139</v>
      </c>
      <c r="T15" t="s">
        <v>3695</v>
      </c>
      <c r="U15" t="s">
        <v>4140</v>
      </c>
      <c r="V15" t="s">
        <v>4141</v>
      </c>
      <c r="W15" t="s">
        <v>3698</v>
      </c>
      <c r="Z15" t="s">
        <v>4142</v>
      </c>
      <c r="AB15" t="s">
        <v>4143</v>
      </c>
      <c r="AF15" t="s">
        <v>3615</v>
      </c>
      <c r="AG15" t="s">
        <v>3793</v>
      </c>
      <c r="AH15" t="s">
        <v>3877</v>
      </c>
      <c r="AL15" t="s">
        <v>3943</v>
      </c>
      <c r="AM15" t="s">
        <v>4144</v>
      </c>
      <c r="AO15" t="s">
        <v>4145</v>
      </c>
      <c r="AQ15" t="s">
        <v>3873</v>
      </c>
      <c r="AW15" t="s">
        <v>4146</v>
      </c>
      <c r="AX15" s="23">
        <v>8</v>
      </c>
      <c r="AY15" s="23">
        <f>VAL_ESI[[#This Row],[Score]]*$AT$23</f>
        <v>1.6</v>
      </c>
      <c r="BK15" t="s">
        <v>4051</v>
      </c>
      <c r="BL15" s="23"/>
      <c r="BM15" s="23"/>
      <c r="CS15" s="57" t="s">
        <v>4147</v>
      </c>
      <c r="DE15" s="64" t="s">
        <v>4148</v>
      </c>
      <c r="DI15" t="s">
        <v>3640</v>
      </c>
      <c r="DJ15" t="s">
        <v>3641</v>
      </c>
      <c r="DK15" t="s">
        <v>4016</v>
      </c>
      <c r="DL15" t="s">
        <v>4149</v>
      </c>
      <c r="DN15" t="s">
        <v>4016</v>
      </c>
      <c r="DO15" t="s">
        <v>4149</v>
      </c>
      <c r="DQ15" s="50" t="s">
        <v>3644</v>
      </c>
      <c r="DR15" t="s">
        <v>4150</v>
      </c>
      <c r="DT15" t="s">
        <v>4151</v>
      </c>
      <c r="DZ15" t="s">
        <v>4152</v>
      </c>
      <c r="EB15" t="s">
        <v>4053</v>
      </c>
      <c r="EQ15" t="s">
        <v>4153</v>
      </c>
      <c r="FB15" s="51" t="s">
        <v>4154</v>
      </c>
      <c r="FJ15" t="s">
        <v>4155</v>
      </c>
      <c r="FN15" t="s">
        <v>4156</v>
      </c>
      <c r="GT15" s="52">
        <f>30*10^6</f>
        <v>30000000</v>
      </c>
      <c r="GU15" t="s">
        <v>4157</v>
      </c>
      <c r="GW15" t="s">
        <v>4158</v>
      </c>
      <c r="HD15" s="53">
        <v>45748</v>
      </c>
      <c r="HE15" t="str">
        <f>TEXT(VAL_Latest_Month_Actual[[#This Row],[Latest Month Actuals Completed]],"[$-en-US]mmm 'yy;@")</f>
        <v>Apr '25</v>
      </c>
      <c r="HH15" t="s">
        <v>4159</v>
      </c>
      <c r="HJ15" t="s">
        <v>4160</v>
      </c>
      <c r="IF15" t="s">
        <v>4161</v>
      </c>
      <c r="IO15" t="s">
        <v>4162</v>
      </c>
    </row>
    <row r="16" spans="1:249" ht="14.4" x14ac:dyDescent="0.3">
      <c r="A16" s="54" t="s">
        <v>3606</v>
      </c>
      <c r="B16" s="55" t="s">
        <v>3694</v>
      </c>
      <c r="C16" s="56" t="s">
        <v>4073</v>
      </c>
      <c r="E16" t="s">
        <v>3700</v>
      </c>
      <c r="F16" t="s">
        <v>4163</v>
      </c>
      <c r="H16" t="s">
        <v>4164</v>
      </c>
      <c r="I16">
        <v>2894</v>
      </c>
      <c r="Q16" t="s">
        <v>4165</v>
      </c>
      <c r="R16" t="s">
        <v>4166</v>
      </c>
      <c r="T16" t="s">
        <v>3692</v>
      </c>
      <c r="U16" t="s">
        <v>4167</v>
      </c>
      <c r="V16" t="s">
        <v>4168</v>
      </c>
      <c r="W16" t="s">
        <v>3698</v>
      </c>
      <c r="Z16" t="s">
        <v>4169</v>
      </c>
      <c r="AB16" t="s">
        <v>4114</v>
      </c>
      <c r="AC16" t="s">
        <v>4170</v>
      </c>
      <c r="AF16" t="s">
        <v>3615</v>
      </c>
      <c r="AG16" t="s">
        <v>3793</v>
      </c>
      <c r="AH16" t="s">
        <v>3946</v>
      </c>
      <c r="AL16" t="s">
        <v>3943</v>
      </c>
      <c r="AM16" t="s">
        <v>4038</v>
      </c>
      <c r="AO16" t="s">
        <v>4171</v>
      </c>
      <c r="AQ16" t="s">
        <v>3942</v>
      </c>
      <c r="AW16" t="s">
        <v>4172</v>
      </c>
      <c r="AX16" s="23">
        <v>5</v>
      </c>
      <c r="AY16" s="23">
        <f>VAL_ESI[[#This Row],[Score]]*$AT$23</f>
        <v>1</v>
      </c>
      <c r="CS16" s="42" t="s">
        <v>4173</v>
      </c>
      <c r="DE16" s="64" t="s">
        <v>4118</v>
      </c>
      <c r="DI16" t="s">
        <v>3640</v>
      </c>
      <c r="DJ16" t="s">
        <v>3641</v>
      </c>
      <c r="DK16" t="s">
        <v>4016</v>
      </c>
      <c r="DL16" t="s">
        <v>4174</v>
      </c>
      <c r="DN16" t="s">
        <v>4016</v>
      </c>
      <c r="DO16" t="s">
        <v>4174</v>
      </c>
      <c r="DT16" t="s">
        <v>4175</v>
      </c>
      <c r="DZ16" t="s">
        <v>4176</v>
      </c>
      <c r="EB16" t="s">
        <v>4087</v>
      </c>
      <c r="EQ16" t="s">
        <v>4177</v>
      </c>
      <c r="FB16" s="51" t="s">
        <v>4178</v>
      </c>
      <c r="FJ16" t="s">
        <v>4179</v>
      </c>
      <c r="FN16" t="s">
        <v>4180</v>
      </c>
      <c r="GT16" s="52">
        <f>40*10^6</f>
        <v>40000000</v>
      </c>
      <c r="GU16" t="s">
        <v>4181</v>
      </c>
      <c r="HD16" s="53">
        <v>45778</v>
      </c>
      <c r="HE16" t="str">
        <f>TEXT(VAL_Latest_Month_Actual[[#This Row],[Latest Month Actuals Completed]],"[$-en-US]mmm 'yy;@")</f>
        <v>May '25</v>
      </c>
      <c r="HH16" t="s">
        <v>4027</v>
      </c>
      <c r="HJ16" t="s">
        <v>4182</v>
      </c>
      <c r="IF16" t="s">
        <v>4183</v>
      </c>
      <c r="IO16" t="s">
        <v>3966</v>
      </c>
    </row>
    <row r="17" spans="1:249" ht="15.6" x14ac:dyDescent="0.35">
      <c r="A17" s="54" t="s">
        <v>3606</v>
      </c>
      <c r="B17" s="55" t="s">
        <v>3694</v>
      </c>
      <c r="C17" s="56" t="s">
        <v>4108</v>
      </c>
      <c r="E17" t="s">
        <v>3788</v>
      </c>
      <c r="F17" t="s">
        <v>4184</v>
      </c>
      <c r="H17" t="s">
        <v>4185</v>
      </c>
      <c r="I17">
        <v>2895</v>
      </c>
      <c r="Q17" t="s">
        <v>3783</v>
      </c>
      <c r="R17" t="s">
        <v>4186</v>
      </c>
      <c r="T17" t="s">
        <v>4187</v>
      </c>
      <c r="U17" t="s">
        <v>4188</v>
      </c>
      <c r="V17" t="s">
        <v>3787</v>
      </c>
      <c r="W17" t="s">
        <v>3698</v>
      </c>
      <c r="X17" t="s">
        <v>3699</v>
      </c>
      <c r="Z17" t="s">
        <v>4189</v>
      </c>
      <c r="AB17" t="s">
        <v>4142</v>
      </c>
      <c r="AC17" t="s">
        <v>4190</v>
      </c>
      <c r="AF17" t="s">
        <v>3615</v>
      </c>
      <c r="AG17" t="s">
        <v>3793</v>
      </c>
      <c r="AH17" t="s">
        <v>4008</v>
      </c>
      <c r="AL17" t="s">
        <v>3943</v>
      </c>
      <c r="AM17" t="s">
        <v>4191</v>
      </c>
      <c r="AO17" s="35" t="s">
        <v>4192</v>
      </c>
      <c r="AQ17" t="s">
        <v>4005</v>
      </c>
      <c r="AW17" t="s">
        <v>4193</v>
      </c>
      <c r="AX17" s="23">
        <v>8</v>
      </c>
      <c r="AY17" s="23">
        <f>VAL_ESI[[#This Row],[Score]]*$AT$23</f>
        <v>1.6</v>
      </c>
      <c r="BC17" s="74"/>
      <c r="BD17" s="74"/>
      <c r="BE17" s="74"/>
      <c r="CN17" s="75"/>
      <c r="CS17" s="57" t="s">
        <v>4194</v>
      </c>
      <c r="DE17" s="49" t="s">
        <v>4195</v>
      </c>
      <c r="DI17" t="s">
        <v>3640</v>
      </c>
      <c r="DJ17" t="s">
        <v>3641</v>
      </c>
      <c r="DK17" t="s">
        <v>4016</v>
      </c>
      <c r="DL17" t="s">
        <v>4196</v>
      </c>
      <c r="DN17" t="s">
        <v>4016</v>
      </c>
      <c r="DO17" t="s">
        <v>4196</v>
      </c>
      <c r="DT17" t="s">
        <v>4197</v>
      </c>
      <c r="DZ17" t="s">
        <v>4198</v>
      </c>
      <c r="EB17" t="s">
        <v>4119</v>
      </c>
      <c r="EQ17" t="s">
        <v>4199</v>
      </c>
      <c r="FB17" s="51" t="s">
        <v>4200</v>
      </c>
      <c r="FJ17" t="s">
        <v>4201</v>
      </c>
      <c r="GT17" s="52">
        <f>10*10^6</f>
        <v>10000000</v>
      </c>
      <c r="GU17" t="s">
        <v>4202</v>
      </c>
      <c r="HD17" s="53">
        <v>45809</v>
      </c>
      <c r="HE17" t="str">
        <f>TEXT(VAL_Latest_Month_Actual[[#This Row],[Latest Month Actuals Completed]],"[$-en-US]mmm 'yy;@")</f>
        <v>Jun '25</v>
      </c>
      <c r="HH17" t="s">
        <v>4063</v>
      </c>
      <c r="HJ17" t="s">
        <v>4203</v>
      </c>
      <c r="IF17" t="s">
        <v>4204</v>
      </c>
      <c r="IO17" t="s">
        <v>4205</v>
      </c>
    </row>
    <row r="18" spans="1:249" ht="15.6" x14ac:dyDescent="0.35">
      <c r="A18" s="54" t="s">
        <v>3606</v>
      </c>
      <c r="B18" s="55" t="s">
        <v>3784</v>
      </c>
      <c r="C18" s="56" t="s">
        <v>3613</v>
      </c>
      <c r="E18" t="s">
        <v>3871</v>
      </c>
      <c r="F18" t="s">
        <v>4206</v>
      </c>
      <c r="H18" t="s">
        <v>4207</v>
      </c>
      <c r="I18">
        <v>2896</v>
      </c>
      <c r="Q18" t="s">
        <v>4146</v>
      </c>
      <c r="R18" t="s">
        <v>4146</v>
      </c>
      <c r="T18" t="s">
        <v>4208</v>
      </c>
      <c r="U18" t="s">
        <v>4209</v>
      </c>
      <c r="V18" t="s">
        <v>4210</v>
      </c>
      <c r="W18" t="s">
        <v>3698</v>
      </c>
      <c r="Z18" s="76" t="s">
        <v>4211</v>
      </c>
      <c r="AB18" t="s">
        <v>4169</v>
      </c>
      <c r="AC18" t="s">
        <v>4212</v>
      </c>
      <c r="AF18" t="s">
        <v>3615</v>
      </c>
      <c r="AG18" t="s">
        <v>3876</v>
      </c>
      <c r="AH18" t="s">
        <v>4213</v>
      </c>
      <c r="AL18" t="s">
        <v>3943</v>
      </c>
      <c r="AM18" t="s">
        <v>4214</v>
      </c>
      <c r="AO18" t="s">
        <v>4215</v>
      </c>
      <c r="AQ18" t="s">
        <v>4216</v>
      </c>
      <c r="AS18" s="77" t="s">
        <v>4217</v>
      </c>
      <c r="AW18" t="s">
        <v>4218</v>
      </c>
      <c r="AX18" s="23">
        <v>8</v>
      </c>
      <c r="AY18" s="23">
        <f>VAL_ESI[[#This Row],[Score]]*$AT$23</f>
        <v>1.6</v>
      </c>
      <c r="BC18" s="78"/>
      <c r="BD18" s="78"/>
      <c r="BE18" s="78"/>
      <c r="CN18" s="75"/>
      <c r="CS18" s="42" t="s">
        <v>4219</v>
      </c>
      <c r="DE18" s="64" t="s">
        <v>4220</v>
      </c>
      <c r="DI18" t="s">
        <v>3640</v>
      </c>
      <c r="DJ18" t="s">
        <v>3641</v>
      </c>
      <c r="DK18" t="s">
        <v>4016</v>
      </c>
      <c r="DL18" t="s">
        <v>4221</v>
      </c>
      <c r="DN18" t="s">
        <v>4016</v>
      </c>
      <c r="DO18" t="s">
        <v>4221</v>
      </c>
      <c r="DT18" t="s">
        <v>4222</v>
      </c>
      <c r="DZ18" t="s">
        <v>4223</v>
      </c>
      <c r="EB18" t="s">
        <v>4149</v>
      </c>
      <c r="EQ18" t="s">
        <v>4224</v>
      </c>
      <c r="FB18" s="51" t="s">
        <v>4225</v>
      </c>
      <c r="FJ18" t="s">
        <v>4226</v>
      </c>
      <c r="GT18" s="52">
        <v>-1</v>
      </c>
      <c r="GU18" t="s">
        <v>4227</v>
      </c>
      <c r="HD18" s="53">
        <v>45839</v>
      </c>
      <c r="HE18" t="str">
        <f>TEXT(VAL_Latest_Month_Actual[[#This Row],[Latest Month Actuals Completed]],"[$-en-US]mmm 'yy;@")</f>
        <v>Jul '25</v>
      </c>
      <c r="HH18" t="s">
        <v>4228</v>
      </c>
      <c r="HJ18" t="s">
        <v>4229</v>
      </c>
      <c r="IF18" t="s">
        <v>4230</v>
      </c>
      <c r="IO18" t="s">
        <v>4231</v>
      </c>
    </row>
    <row r="19" spans="1:249" ht="15.6" x14ac:dyDescent="0.35">
      <c r="A19" s="54" t="s">
        <v>3606</v>
      </c>
      <c r="B19" s="55" t="s">
        <v>3784</v>
      </c>
      <c r="C19" s="56" t="s">
        <v>3700</v>
      </c>
      <c r="E19" t="s">
        <v>3940</v>
      </c>
      <c r="F19" t="s">
        <v>4232</v>
      </c>
      <c r="H19" t="s">
        <v>4233</v>
      </c>
      <c r="I19">
        <v>2897</v>
      </c>
      <c r="Q19" t="s">
        <v>4234</v>
      </c>
      <c r="R19" t="s">
        <v>4235</v>
      </c>
      <c r="T19" t="s">
        <v>3692</v>
      </c>
      <c r="U19" t="s">
        <v>4236</v>
      </c>
      <c r="V19" t="s">
        <v>4237</v>
      </c>
      <c r="W19" t="s">
        <v>3869</v>
      </c>
      <c r="Z19" t="s">
        <v>4238</v>
      </c>
      <c r="AB19" t="s">
        <v>4189</v>
      </c>
      <c r="AC19" t="s">
        <v>4239</v>
      </c>
      <c r="AF19" t="s">
        <v>3615</v>
      </c>
      <c r="AG19" t="s">
        <v>3876</v>
      </c>
      <c r="AH19" t="s">
        <v>4216</v>
      </c>
      <c r="AL19" t="s">
        <v>3943</v>
      </c>
      <c r="AM19" t="s">
        <v>4111</v>
      </c>
      <c r="AO19" t="s">
        <v>4240</v>
      </c>
      <c r="AQ19" t="s">
        <v>4241</v>
      </c>
      <c r="AW19" t="s">
        <v>4242</v>
      </c>
      <c r="AX19" s="23">
        <v>8</v>
      </c>
      <c r="AY19" s="23"/>
      <c r="BC19" s="78"/>
      <c r="BD19" s="78"/>
      <c r="BE19" s="78"/>
      <c r="CN19" s="75"/>
      <c r="CS19" s="57" t="s">
        <v>3849</v>
      </c>
      <c r="DE19" s="49" t="s">
        <v>4194</v>
      </c>
      <c r="DI19" t="s">
        <v>3640</v>
      </c>
      <c r="DJ19" t="s">
        <v>3641</v>
      </c>
      <c r="DK19" t="s">
        <v>4016</v>
      </c>
      <c r="DL19" t="s">
        <v>4243</v>
      </c>
      <c r="DN19" t="s">
        <v>4016</v>
      </c>
      <c r="DO19" t="s">
        <v>4243</v>
      </c>
      <c r="DT19" t="s">
        <v>4244</v>
      </c>
      <c r="DZ19" t="s">
        <v>4245</v>
      </c>
      <c r="EB19" t="s">
        <v>4174</v>
      </c>
      <c r="FJ19" t="s">
        <v>4246</v>
      </c>
      <c r="HD19" s="53">
        <v>45870</v>
      </c>
      <c r="HE19" t="str">
        <f>TEXT(VAL_Latest_Month_Actual[[#This Row],[Latest Month Actuals Completed]],"[$-en-US]mmm 'yy;@")</f>
        <v>Aug '25</v>
      </c>
      <c r="HH19" t="s">
        <v>4247</v>
      </c>
      <c r="HJ19" t="s">
        <v>4248</v>
      </c>
      <c r="HP19" s="73" t="s">
        <v>4069</v>
      </c>
      <c r="IF19" t="s">
        <v>4249</v>
      </c>
      <c r="IO19" t="s">
        <v>4250</v>
      </c>
    </row>
    <row r="20" spans="1:249" ht="15.6" x14ac:dyDescent="0.35">
      <c r="A20" s="54" t="s">
        <v>3606</v>
      </c>
      <c r="B20" s="55" t="s">
        <v>3784</v>
      </c>
      <c r="C20" s="56" t="s">
        <v>3788</v>
      </c>
      <c r="E20" t="s">
        <v>4003</v>
      </c>
      <c r="F20" t="s">
        <v>4251</v>
      </c>
      <c r="H20" t="s">
        <v>4252</v>
      </c>
      <c r="I20">
        <v>2939</v>
      </c>
      <c r="Q20" t="s">
        <v>4253</v>
      </c>
      <c r="R20" t="s">
        <v>4253</v>
      </c>
      <c r="T20" t="s">
        <v>4254</v>
      </c>
      <c r="U20" t="s">
        <v>4255</v>
      </c>
      <c r="V20" t="s">
        <v>4256</v>
      </c>
      <c r="W20" t="s">
        <v>3698</v>
      </c>
      <c r="Z20" t="s">
        <v>4257</v>
      </c>
      <c r="AB20" t="s">
        <v>4211</v>
      </c>
      <c r="AF20" t="s">
        <v>3615</v>
      </c>
      <c r="AG20" t="s">
        <v>3876</v>
      </c>
      <c r="AH20" t="s">
        <v>4241</v>
      </c>
      <c r="AL20" t="s">
        <v>3943</v>
      </c>
      <c r="AM20" t="s">
        <v>4258</v>
      </c>
      <c r="AO20" t="s">
        <v>4259</v>
      </c>
      <c r="AQ20" t="s">
        <v>4213</v>
      </c>
      <c r="AS20" s="79" t="s">
        <v>4260</v>
      </c>
      <c r="AT20" s="80" t="s">
        <v>4261</v>
      </c>
      <c r="AU20" s="74"/>
      <c r="AX20" s="23"/>
      <c r="AY20" s="23"/>
      <c r="BA20" s="79" t="s">
        <v>119</v>
      </c>
      <c r="BB20" s="80" t="s">
        <v>4261</v>
      </c>
      <c r="BC20" s="78"/>
      <c r="BD20" s="78"/>
      <c r="BE20" s="78"/>
      <c r="CN20" s="75"/>
      <c r="DI20" t="s">
        <v>3640</v>
      </c>
      <c r="DJ20" t="s">
        <v>3641</v>
      </c>
      <c r="DK20" t="s">
        <v>4016</v>
      </c>
      <c r="DL20" t="s">
        <v>4262</v>
      </c>
      <c r="DN20" t="s">
        <v>4016</v>
      </c>
      <c r="DO20" t="s">
        <v>4262</v>
      </c>
      <c r="DT20" t="s">
        <v>4263</v>
      </c>
      <c r="DZ20" t="s">
        <v>4264</v>
      </c>
      <c r="EB20" t="s">
        <v>4196</v>
      </c>
      <c r="FJ20" t="s">
        <v>4265</v>
      </c>
      <c r="HD20" s="53">
        <v>45901</v>
      </c>
      <c r="HE20" t="str">
        <f>TEXT(VAL_Latest_Month_Actual[[#This Row],[Latest Month Actuals Completed]],"[$-en-US]mmm 'yy;@")</f>
        <v>Sep '25</v>
      </c>
      <c r="HH20" t="s">
        <v>4096</v>
      </c>
      <c r="HJ20" t="s">
        <v>4266</v>
      </c>
      <c r="HP20" s="69" t="s">
        <v>3624</v>
      </c>
      <c r="IF20" t="s">
        <v>4267</v>
      </c>
      <c r="IO20" t="s">
        <v>4268</v>
      </c>
    </row>
    <row r="21" spans="1:249" ht="15.6" x14ac:dyDescent="0.35">
      <c r="A21" s="54" t="s">
        <v>3606</v>
      </c>
      <c r="B21" s="55" t="s">
        <v>3784</v>
      </c>
      <c r="C21" s="56" t="s">
        <v>3871</v>
      </c>
      <c r="E21" t="s">
        <v>4047</v>
      </c>
      <c r="F21" t="s">
        <v>4269</v>
      </c>
      <c r="H21" t="s">
        <v>4270</v>
      </c>
      <c r="I21">
        <v>2940</v>
      </c>
      <c r="Q21" t="s">
        <v>4271</v>
      </c>
      <c r="R21" t="s">
        <v>3707</v>
      </c>
      <c r="T21" t="s">
        <v>3692</v>
      </c>
      <c r="U21" t="s">
        <v>4272</v>
      </c>
      <c r="V21" t="s">
        <v>4273</v>
      </c>
      <c r="W21" t="s">
        <v>3869</v>
      </c>
      <c r="Z21" t="s">
        <v>4274</v>
      </c>
      <c r="AB21" t="s">
        <v>4238</v>
      </c>
      <c r="AC21" t="s">
        <v>4275</v>
      </c>
      <c r="AF21" t="s">
        <v>3615</v>
      </c>
      <c r="AG21" t="s">
        <v>3876</v>
      </c>
      <c r="AH21" t="s">
        <v>4276</v>
      </c>
      <c r="AL21" t="s">
        <v>3943</v>
      </c>
      <c r="AM21" t="s">
        <v>4277</v>
      </c>
      <c r="AO21" s="35" t="s">
        <v>4278</v>
      </c>
      <c r="AQ21" t="s">
        <v>4276</v>
      </c>
      <c r="AS21" s="81" t="s">
        <v>4279</v>
      </c>
      <c r="AT21" s="38">
        <v>0.2</v>
      </c>
      <c r="AU21" s="78"/>
      <c r="AY21" s="78"/>
      <c r="BA21" s="81" t="s">
        <v>4280</v>
      </c>
      <c r="BB21" s="38">
        <v>0.1</v>
      </c>
      <c r="BC21" s="78"/>
      <c r="BD21" s="78"/>
      <c r="BE21" s="78"/>
      <c r="CN21" s="75"/>
      <c r="DI21" t="s">
        <v>3640</v>
      </c>
      <c r="DJ21" t="s">
        <v>3641</v>
      </c>
      <c r="DK21" t="s">
        <v>4016</v>
      </c>
      <c r="DL21" t="s">
        <v>4281</v>
      </c>
      <c r="DN21" t="s">
        <v>4016</v>
      </c>
      <c r="DO21" t="s">
        <v>4281</v>
      </c>
      <c r="DZ21" t="s">
        <v>3554</v>
      </c>
      <c r="EB21" t="s">
        <v>4221</v>
      </c>
      <c r="FJ21" t="s">
        <v>4282</v>
      </c>
      <c r="GY21" s="82"/>
      <c r="HD21" s="53">
        <v>45931</v>
      </c>
      <c r="HE21" t="str">
        <f>TEXT(VAL_Latest_Month_Actual[[#This Row],[Latest Month Actuals Completed]],"[$-en-US]mmm 'yy;@")</f>
        <v>Oct '25</v>
      </c>
      <c r="HH21" t="s">
        <v>4127</v>
      </c>
      <c r="HJ21" t="s">
        <v>4283</v>
      </c>
      <c r="HP21" s="69" t="s">
        <v>4284</v>
      </c>
      <c r="IF21" t="s">
        <v>4285</v>
      </c>
      <c r="IO21" t="s">
        <v>4286</v>
      </c>
    </row>
    <row r="22" spans="1:249" ht="15.6" x14ac:dyDescent="0.35">
      <c r="A22" s="54" t="s">
        <v>3606</v>
      </c>
      <c r="B22" s="55" t="s">
        <v>3784</v>
      </c>
      <c r="C22" s="56" t="s">
        <v>3940</v>
      </c>
      <c r="E22" t="s">
        <v>4287</v>
      </c>
      <c r="F22" t="s">
        <v>4288</v>
      </c>
      <c r="H22" t="s">
        <v>4289</v>
      </c>
      <c r="I22">
        <v>3777</v>
      </c>
      <c r="Q22" t="s">
        <v>4290</v>
      </c>
      <c r="R22" t="s">
        <v>4290</v>
      </c>
      <c r="T22" t="s">
        <v>4291</v>
      </c>
      <c r="U22" t="s">
        <v>4179</v>
      </c>
      <c r="V22" t="s">
        <v>3868</v>
      </c>
      <c r="W22" t="s">
        <v>3698</v>
      </c>
      <c r="Z22" t="s">
        <v>4292</v>
      </c>
      <c r="AB22" t="s">
        <v>4257</v>
      </c>
      <c r="AC22" t="s">
        <v>4293</v>
      </c>
      <c r="AF22" t="s">
        <v>3615</v>
      </c>
      <c r="AG22" t="s">
        <v>3876</v>
      </c>
      <c r="AH22" t="s">
        <v>4294</v>
      </c>
      <c r="AL22" t="s">
        <v>3943</v>
      </c>
      <c r="AM22" t="s">
        <v>4295</v>
      </c>
      <c r="AO22" t="s">
        <v>4296</v>
      </c>
      <c r="AQ22" t="s">
        <v>4294</v>
      </c>
      <c r="AS22" s="83" t="s">
        <v>3530</v>
      </c>
      <c r="AT22" s="59">
        <v>0.1</v>
      </c>
      <c r="AU22" s="78"/>
      <c r="AW22" s="79" t="s">
        <v>15</v>
      </c>
      <c r="AX22" s="80" t="s">
        <v>4261</v>
      </c>
      <c r="AY22" s="78"/>
      <c r="BA22" s="83" t="s">
        <v>3530</v>
      </c>
      <c r="BB22" s="59">
        <v>0.15</v>
      </c>
      <c r="BC22" s="78"/>
      <c r="BD22" s="78"/>
      <c r="BE22" s="78"/>
      <c r="CS22" t="s">
        <v>4297</v>
      </c>
      <c r="DI22" t="s">
        <v>3640</v>
      </c>
      <c r="DJ22" t="s">
        <v>3641</v>
      </c>
      <c r="DK22" t="s">
        <v>4016</v>
      </c>
      <c r="DL22" t="s">
        <v>4298</v>
      </c>
      <c r="DN22" t="s">
        <v>4016</v>
      </c>
      <c r="DO22" t="s">
        <v>4298</v>
      </c>
      <c r="DZ22" t="s">
        <v>4299</v>
      </c>
      <c r="EB22" t="s">
        <v>4243</v>
      </c>
      <c r="FJ22" t="s">
        <v>4300</v>
      </c>
      <c r="HD22" s="53">
        <v>45962</v>
      </c>
      <c r="HE22" t="str">
        <f>TEXT(VAL_Latest_Month_Actual[[#This Row],[Latest Month Actuals Completed]],"[$-en-US]mmm 'yy;@")</f>
        <v>Nov '25</v>
      </c>
      <c r="HH22" t="s">
        <v>4156</v>
      </c>
      <c r="HJ22" t="s">
        <v>4301</v>
      </c>
      <c r="HP22" s="69" t="s">
        <v>4103</v>
      </c>
      <c r="IF22" t="s">
        <v>4302</v>
      </c>
    </row>
    <row r="23" spans="1:249" ht="15.6" x14ac:dyDescent="0.35">
      <c r="A23" s="54" t="s">
        <v>3606</v>
      </c>
      <c r="B23" s="55" t="s">
        <v>3784</v>
      </c>
      <c r="C23" s="56" t="s">
        <v>4003</v>
      </c>
      <c r="E23" t="s">
        <v>4303</v>
      </c>
      <c r="F23" t="s">
        <v>4304</v>
      </c>
      <c r="H23" t="s">
        <v>4305</v>
      </c>
      <c r="I23">
        <v>3778</v>
      </c>
      <c r="Q23" t="s">
        <v>4306</v>
      </c>
      <c r="R23" t="s">
        <v>4307</v>
      </c>
      <c r="T23" t="s">
        <v>4308</v>
      </c>
      <c r="U23" t="s">
        <v>4001</v>
      </c>
      <c r="V23" t="s">
        <v>4113</v>
      </c>
      <c r="W23" t="s">
        <v>3698</v>
      </c>
      <c r="Z23" t="s">
        <v>4309</v>
      </c>
      <c r="AB23" t="s">
        <v>4274</v>
      </c>
      <c r="AC23" t="s">
        <v>4310</v>
      </c>
      <c r="AF23" t="s">
        <v>3615</v>
      </c>
      <c r="AG23" t="s">
        <v>3876</v>
      </c>
      <c r="AH23" t="s">
        <v>4311</v>
      </c>
      <c r="AL23" t="s">
        <v>3943</v>
      </c>
      <c r="AM23" t="s">
        <v>4312</v>
      </c>
      <c r="AO23" s="35" t="s">
        <v>4313</v>
      </c>
      <c r="AQ23" t="s">
        <v>4311</v>
      </c>
      <c r="AS23" s="81" t="s">
        <v>3529</v>
      </c>
      <c r="AT23" s="38">
        <v>0.2</v>
      </c>
      <c r="AU23" s="78"/>
      <c r="AW23" s="81" t="s">
        <v>4280</v>
      </c>
      <c r="AX23" s="38">
        <v>0.2</v>
      </c>
      <c r="AY23" s="78"/>
      <c r="BA23" s="81" t="s">
        <v>3529</v>
      </c>
      <c r="BB23" s="38">
        <v>0.2</v>
      </c>
      <c r="BC23" s="78"/>
      <c r="BD23" s="78"/>
      <c r="BE23" s="78"/>
      <c r="DI23" t="s">
        <v>3640</v>
      </c>
      <c r="DJ23" t="s">
        <v>3641</v>
      </c>
      <c r="DK23" t="s">
        <v>4016</v>
      </c>
      <c r="DL23" t="s">
        <v>4314</v>
      </c>
      <c r="DN23" t="s">
        <v>4016</v>
      </c>
      <c r="DO23" t="s">
        <v>4314</v>
      </c>
      <c r="EB23" t="s">
        <v>4262</v>
      </c>
      <c r="FJ23" t="s">
        <v>4315</v>
      </c>
      <c r="HD23" s="53">
        <v>45992</v>
      </c>
      <c r="HE23" t="str">
        <f>TEXT(VAL_Latest_Month_Actual[[#This Row],[Latest Month Actuals Completed]],"[$-en-US]mmm 'yy;@")</f>
        <v>Dec '25</v>
      </c>
      <c r="HH23" t="s">
        <v>4180</v>
      </c>
      <c r="HJ23" t="s">
        <v>4316</v>
      </c>
      <c r="IF23" t="s">
        <v>4317</v>
      </c>
    </row>
    <row r="24" spans="1:249" ht="15.6" x14ac:dyDescent="0.35">
      <c r="A24" s="54" t="s">
        <v>3606</v>
      </c>
      <c r="B24" s="55" t="s">
        <v>3784</v>
      </c>
      <c r="C24" s="56" t="s">
        <v>4047</v>
      </c>
      <c r="E24" t="s">
        <v>4318</v>
      </c>
      <c r="F24" t="s">
        <v>4319</v>
      </c>
      <c r="H24" t="s">
        <v>4320</v>
      </c>
      <c r="I24">
        <v>3951</v>
      </c>
      <c r="Z24" t="s">
        <v>4321</v>
      </c>
      <c r="AB24" t="s">
        <v>4292</v>
      </c>
      <c r="AC24" t="s">
        <v>4322</v>
      </c>
      <c r="AF24" t="s">
        <v>3615</v>
      </c>
      <c r="AG24" t="s">
        <v>3876</v>
      </c>
      <c r="AH24" t="s">
        <v>4323</v>
      </c>
      <c r="AO24" s="35" t="s">
        <v>4324</v>
      </c>
      <c r="AQ24" t="s">
        <v>4323</v>
      </c>
      <c r="AS24" s="83" t="s">
        <v>3531</v>
      </c>
      <c r="AT24" s="59">
        <v>0</v>
      </c>
      <c r="AU24" s="78"/>
      <c r="AW24" s="83" t="s">
        <v>3530</v>
      </c>
      <c r="AX24" s="59">
        <v>0.15</v>
      </c>
      <c r="AY24" s="78"/>
      <c r="BA24" s="83" t="s">
        <v>3531</v>
      </c>
      <c r="BB24" s="59">
        <v>0</v>
      </c>
      <c r="BC24" s="78"/>
      <c r="BD24" s="78"/>
      <c r="BE24" s="78"/>
      <c r="DI24" t="s">
        <v>3640</v>
      </c>
      <c r="DJ24" t="s">
        <v>3641</v>
      </c>
      <c r="DK24" t="s">
        <v>3898</v>
      </c>
      <c r="DL24" t="s">
        <v>3898</v>
      </c>
      <c r="DN24" t="s">
        <v>3898</v>
      </c>
      <c r="DO24" t="s">
        <v>3898</v>
      </c>
      <c r="EB24" t="s">
        <v>4281</v>
      </c>
      <c r="FJ24" t="s">
        <v>4325</v>
      </c>
      <c r="HD24" s="53">
        <v>46023</v>
      </c>
      <c r="HE24" t="str">
        <f>TEXT(VAL_Latest_Month_Actual[[#This Row],[Latest Month Actuals Completed]],"[$-en-US]mmm 'yy;@")</f>
        <v>Jan '26</v>
      </c>
      <c r="HH24" t="s">
        <v>4326</v>
      </c>
      <c r="HJ24" t="s">
        <v>4327</v>
      </c>
      <c r="IF24" t="s">
        <v>4328</v>
      </c>
    </row>
    <row r="25" spans="1:249" ht="15.6" x14ac:dyDescent="0.35">
      <c r="A25" s="54" t="s">
        <v>3606</v>
      </c>
      <c r="B25" s="55" t="s">
        <v>4186</v>
      </c>
      <c r="C25" s="56" t="s">
        <v>4287</v>
      </c>
      <c r="E25" t="s">
        <v>4329</v>
      </c>
      <c r="F25" t="s">
        <v>4330</v>
      </c>
      <c r="H25" t="s">
        <v>4331</v>
      </c>
      <c r="I25">
        <v>3952</v>
      </c>
      <c r="Z25" t="s">
        <v>4332</v>
      </c>
      <c r="AB25" t="s">
        <v>4309</v>
      </c>
      <c r="AC25" t="s">
        <v>4333</v>
      </c>
      <c r="AF25" t="s">
        <v>3615</v>
      </c>
      <c r="AG25" t="s">
        <v>3945</v>
      </c>
      <c r="AH25" t="s">
        <v>4334</v>
      </c>
      <c r="AO25" t="s">
        <v>4335</v>
      </c>
      <c r="AQ25" t="s">
        <v>4334</v>
      </c>
      <c r="AS25" s="81" t="s">
        <v>3532</v>
      </c>
      <c r="AT25" s="38">
        <v>0.25</v>
      </c>
      <c r="AU25" s="78"/>
      <c r="AW25" s="81" t="s">
        <v>3529</v>
      </c>
      <c r="AX25" s="38">
        <v>0.15</v>
      </c>
      <c r="AY25" s="78"/>
      <c r="BA25" s="81" t="s">
        <v>4336</v>
      </c>
      <c r="BB25" s="38">
        <f>35%</f>
        <v>0.35</v>
      </c>
      <c r="BC25" s="78"/>
      <c r="BD25" s="78"/>
      <c r="BE25" s="78"/>
      <c r="DI25" t="s">
        <v>4337</v>
      </c>
      <c r="DJ25" t="s">
        <v>3644</v>
      </c>
      <c r="DK25" t="s">
        <v>3644</v>
      </c>
      <c r="DL25" t="s">
        <v>3645</v>
      </c>
      <c r="DN25" t="s">
        <v>4020</v>
      </c>
      <c r="DO25" t="s">
        <v>4338</v>
      </c>
      <c r="EB25" t="s">
        <v>4339</v>
      </c>
      <c r="FJ25" t="s">
        <v>4340</v>
      </c>
      <c r="HD25" s="53">
        <v>46054</v>
      </c>
      <c r="HE25" t="str">
        <f>TEXT(VAL_Latest_Month_Actual[[#This Row],[Latest Month Actuals Completed]],"[$-en-US]mmm 'yy;@")</f>
        <v>Feb '26</v>
      </c>
      <c r="HH25" t="s">
        <v>4341</v>
      </c>
      <c r="HJ25" t="s">
        <v>4342</v>
      </c>
      <c r="IF25" t="s">
        <v>4343</v>
      </c>
      <c r="IO25" t="s">
        <v>1095</v>
      </c>
    </row>
    <row r="26" spans="1:249" ht="15.6" x14ac:dyDescent="0.35">
      <c r="A26" s="54" t="s">
        <v>3606</v>
      </c>
      <c r="B26" s="55" t="s">
        <v>4186</v>
      </c>
      <c r="C26" s="56" t="s">
        <v>4303</v>
      </c>
      <c r="E26" t="s">
        <v>4344</v>
      </c>
      <c r="F26" t="s">
        <v>4345</v>
      </c>
      <c r="H26" t="s">
        <v>4346</v>
      </c>
      <c r="I26">
        <v>3953</v>
      </c>
      <c r="Z26" t="s">
        <v>4347</v>
      </c>
      <c r="AB26" t="s">
        <v>4321</v>
      </c>
      <c r="AC26" t="s">
        <v>4348</v>
      </c>
      <c r="AF26" t="s">
        <v>3615</v>
      </c>
      <c r="AG26" t="s">
        <v>3945</v>
      </c>
      <c r="AH26" t="s">
        <v>4349</v>
      </c>
      <c r="AO26" s="35" t="s">
        <v>4350</v>
      </c>
      <c r="AQ26" t="s">
        <v>4349</v>
      </c>
      <c r="AS26" s="83" t="s">
        <v>4351</v>
      </c>
      <c r="AT26" s="59">
        <v>0.25</v>
      </c>
      <c r="AU26" s="78"/>
      <c r="AW26" s="83" t="s">
        <v>3531</v>
      </c>
      <c r="AX26" s="59">
        <v>0</v>
      </c>
      <c r="AY26" s="78"/>
      <c r="BA26" s="83" t="s">
        <v>4352</v>
      </c>
      <c r="BB26" s="59">
        <v>0.1</v>
      </c>
      <c r="BC26" s="78"/>
      <c r="BD26" s="78"/>
      <c r="BE26" s="78"/>
      <c r="DI26" t="s">
        <v>4337</v>
      </c>
      <c r="DJ26" t="s">
        <v>3644</v>
      </c>
      <c r="DK26" t="s">
        <v>3644</v>
      </c>
      <c r="DL26" t="s">
        <v>3644</v>
      </c>
      <c r="DN26" t="s">
        <v>4056</v>
      </c>
      <c r="DO26" t="s">
        <v>4353</v>
      </c>
      <c r="EB26" t="s">
        <v>4354</v>
      </c>
      <c r="EC26" t="s">
        <v>4314</v>
      </c>
      <c r="FJ26" t="s">
        <v>4355</v>
      </c>
      <c r="HD26" s="53">
        <v>46082</v>
      </c>
      <c r="HE26" t="str">
        <f>TEXT(VAL_Latest_Month_Actual[[#This Row],[Latest Month Actuals Completed]],"[$-en-US]mmm 'yy;@")</f>
        <v>Mar '26</v>
      </c>
      <c r="HH26" t="s">
        <v>4356</v>
      </c>
      <c r="HJ26" t="s">
        <v>4357</v>
      </c>
      <c r="IF26" t="s">
        <v>4358</v>
      </c>
    </row>
    <row r="27" spans="1:249" ht="15.6" x14ac:dyDescent="0.35">
      <c r="A27" s="54" t="s">
        <v>3864</v>
      </c>
      <c r="B27" s="55" t="s">
        <v>3615</v>
      </c>
      <c r="C27" s="56" t="s">
        <v>4046</v>
      </c>
      <c r="E27" t="s">
        <v>4359</v>
      </c>
      <c r="F27" t="s">
        <v>4360</v>
      </c>
      <c r="H27" t="s">
        <v>4361</v>
      </c>
      <c r="I27">
        <v>3954</v>
      </c>
      <c r="Z27" t="s">
        <v>4362</v>
      </c>
      <c r="AB27" t="s">
        <v>4332</v>
      </c>
      <c r="AC27" t="s">
        <v>4363</v>
      </c>
      <c r="AF27" t="s">
        <v>3615</v>
      </c>
      <c r="AG27" t="s">
        <v>3945</v>
      </c>
      <c r="AH27" t="s">
        <v>4364</v>
      </c>
      <c r="AO27" s="35" t="s">
        <v>4365</v>
      </c>
      <c r="AQ27" t="s">
        <v>4364</v>
      </c>
      <c r="AS27" s="79" t="s">
        <v>4366</v>
      </c>
      <c r="AT27" s="80">
        <f>SUM(AT21:AT26)</f>
        <v>1</v>
      </c>
      <c r="AW27" s="81" t="s">
        <v>4367</v>
      </c>
      <c r="AX27" s="38">
        <v>0.4</v>
      </c>
      <c r="AY27" s="78"/>
      <c r="BA27" s="83" t="s">
        <v>404</v>
      </c>
      <c r="BB27" s="59">
        <v>0</v>
      </c>
      <c r="BC27" s="78"/>
      <c r="BD27" s="78"/>
      <c r="BE27" s="78"/>
      <c r="DI27" t="s">
        <v>4337</v>
      </c>
      <c r="DJ27" t="s">
        <v>3644</v>
      </c>
      <c r="DK27" t="s">
        <v>3644</v>
      </c>
      <c r="DL27" t="s">
        <v>3730</v>
      </c>
      <c r="DN27" t="s">
        <v>4056</v>
      </c>
      <c r="DO27" t="s">
        <v>4368</v>
      </c>
      <c r="EB27" t="s">
        <v>3898</v>
      </c>
      <c r="FJ27" t="s">
        <v>4369</v>
      </c>
      <c r="HD27" s="53">
        <v>46113</v>
      </c>
      <c r="HE27" t="str">
        <f>TEXT(VAL_Latest_Month_Actual[[#This Row],[Latest Month Actuals Completed]],"[$-en-US]mmm 'yy;@")</f>
        <v>Apr '26</v>
      </c>
      <c r="HH27" t="s">
        <v>4370</v>
      </c>
      <c r="HJ27" t="s">
        <v>4371</v>
      </c>
      <c r="IF27" t="s">
        <v>4372</v>
      </c>
    </row>
    <row r="28" spans="1:249" ht="15.6" x14ac:dyDescent="0.35">
      <c r="A28" s="54" t="s">
        <v>3864</v>
      </c>
      <c r="B28" s="55" t="s">
        <v>3615</v>
      </c>
      <c r="C28" s="56" t="s">
        <v>4143</v>
      </c>
      <c r="E28" t="s">
        <v>4373</v>
      </c>
      <c r="F28" t="s">
        <v>4374</v>
      </c>
      <c r="H28" t="s">
        <v>4375</v>
      </c>
      <c r="I28">
        <v>3955</v>
      </c>
      <c r="Z28" t="s">
        <v>4376</v>
      </c>
      <c r="AB28" t="s">
        <v>4347</v>
      </c>
      <c r="AC28" t="s">
        <v>4377</v>
      </c>
      <c r="AF28" t="s">
        <v>3615</v>
      </c>
      <c r="AG28" t="s">
        <v>3945</v>
      </c>
      <c r="AH28" t="s">
        <v>4378</v>
      </c>
      <c r="AO28" t="s">
        <v>4379</v>
      </c>
      <c r="AQ28" t="s">
        <v>4378</v>
      </c>
      <c r="AW28" s="83" t="s">
        <v>4352</v>
      </c>
      <c r="AX28" s="59">
        <v>0.1</v>
      </c>
      <c r="AY28" s="78"/>
      <c r="BA28" s="81" t="s">
        <v>3238</v>
      </c>
      <c r="BB28" s="38">
        <v>0.1</v>
      </c>
      <c r="BC28" s="78"/>
      <c r="BD28" s="78"/>
      <c r="BE28" s="78"/>
      <c r="DI28" t="s">
        <v>4337</v>
      </c>
      <c r="DJ28" t="s">
        <v>3644</v>
      </c>
      <c r="DK28" t="s">
        <v>3644</v>
      </c>
      <c r="DL28" t="s">
        <v>3818</v>
      </c>
      <c r="DN28" t="s">
        <v>4056</v>
      </c>
      <c r="DO28" t="s">
        <v>4166</v>
      </c>
      <c r="EB28" t="s">
        <v>3645</v>
      </c>
      <c r="FJ28" t="s">
        <v>4380</v>
      </c>
      <c r="HD28" s="53">
        <v>46143</v>
      </c>
      <c r="HE28" t="str">
        <f>TEXT(VAL_Latest_Month_Actual[[#This Row],[Latest Month Actuals Completed]],"[$-en-US]mmm 'yy;@")</f>
        <v>May '26</v>
      </c>
      <c r="HJ28" t="s">
        <v>4381</v>
      </c>
      <c r="IF28" t="s">
        <v>4382</v>
      </c>
    </row>
    <row r="29" spans="1:249" ht="15.6" x14ac:dyDescent="0.35">
      <c r="A29" s="54" t="s">
        <v>3864</v>
      </c>
      <c r="B29" s="55" t="s">
        <v>3615</v>
      </c>
      <c r="C29" s="56" t="s">
        <v>4078</v>
      </c>
      <c r="E29" t="s">
        <v>4383</v>
      </c>
      <c r="F29" t="s">
        <v>4384</v>
      </c>
      <c r="H29" t="s">
        <v>4385</v>
      </c>
      <c r="I29">
        <v>3956</v>
      </c>
      <c r="Z29" t="s">
        <v>4386</v>
      </c>
      <c r="AB29" t="s">
        <v>4362</v>
      </c>
      <c r="AC29" t="s">
        <v>4387</v>
      </c>
      <c r="AF29" t="s">
        <v>3615</v>
      </c>
      <c r="AG29" t="s">
        <v>3945</v>
      </c>
      <c r="AH29" t="s">
        <v>4388</v>
      </c>
      <c r="AO29" s="35" t="s">
        <v>1032</v>
      </c>
      <c r="AQ29" t="s">
        <v>4388</v>
      </c>
      <c r="AW29" s="81" t="s">
        <v>404</v>
      </c>
      <c r="AX29" s="38">
        <v>0</v>
      </c>
      <c r="AY29" s="78"/>
      <c r="BA29" s="79" t="s">
        <v>4366</v>
      </c>
      <c r="BB29" s="80">
        <f>SUM(BB21:BB28)</f>
        <v>1</v>
      </c>
      <c r="BC29" s="78"/>
      <c r="BD29" s="78"/>
      <c r="BE29" s="78"/>
      <c r="DI29" t="s">
        <v>4337</v>
      </c>
      <c r="DJ29" t="s">
        <v>3644</v>
      </c>
      <c r="DK29" t="s">
        <v>3644</v>
      </c>
      <c r="DL29" t="s">
        <v>3895</v>
      </c>
      <c r="DN29" t="s">
        <v>4056</v>
      </c>
      <c r="DO29" t="s">
        <v>4235</v>
      </c>
      <c r="EB29" t="s">
        <v>3644</v>
      </c>
      <c r="FJ29" t="s">
        <v>4389</v>
      </c>
      <c r="HD29" s="53">
        <v>46174</v>
      </c>
      <c r="HE29" t="str">
        <f>TEXT(VAL_Latest_Month_Actual[[#This Row],[Latest Month Actuals Completed]],"[$-en-US]mmm 'yy;@")</f>
        <v>Jun '26</v>
      </c>
      <c r="HJ29" t="s">
        <v>4390</v>
      </c>
      <c r="IF29" t="s">
        <v>4391</v>
      </c>
    </row>
    <row r="30" spans="1:249" ht="15.6" x14ac:dyDescent="0.35">
      <c r="A30" s="54" t="s">
        <v>3864</v>
      </c>
      <c r="B30" s="55" t="s">
        <v>3615</v>
      </c>
      <c r="C30" s="56" t="s">
        <v>4114</v>
      </c>
      <c r="E30" t="s">
        <v>4392</v>
      </c>
      <c r="F30" t="s">
        <v>4393</v>
      </c>
      <c r="H30" t="s">
        <v>4394</v>
      </c>
      <c r="I30">
        <v>3957</v>
      </c>
      <c r="Z30" t="s">
        <v>4395</v>
      </c>
      <c r="AB30" t="s">
        <v>4376</v>
      </c>
      <c r="AC30" t="s">
        <v>4396</v>
      </c>
      <c r="AF30" t="s">
        <v>3615</v>
      </c>
      <c r="AG30" t="s">
        <v>3945</v>
      </c>
      <c r="AH30" t="s">
        <v>4397</v>
      </c>
      <c r="AQ30" t="s">
        <v>4397</v>
      </c>
      <c r="AW30" s="79" t="s">
        <v>4366</v>
      </c>
      <c r="AX30" s="80">
        <f>SUM(AX23:AX29)</f>
        <v>1</v>
      </c>
      <c r="AY30" s="78"/>
      <c r="BA30" s="81" t="s">
        <v>2007</v>
      </c>
      <c r="BB30" s="38">
        <f>30%</f>
        <v>0.3</v>
      </c>
      <c r="BC30" s="78"/>
      <c r="BD30" s="78"/>
      <c r="BE30" s="78"/>
      <c r="DI30" t="s">
        <v>4337</v>
      </c>
      <c r="DJ30" t="s">
        <v>3644</v>
      </c>
      <c r="DK30" t="s">
        <v>3644</v>
      </c>
      <c r="DL30" t="s">
        <v>3936</v>
      </c>
      <c r="DN30" t="s">
        <v>4056</v>
      </c>
      <c r="DO30" t="s">
        <v>4398</v>
      </c>
      <c r="EB30" t="s">
        <v>3730</v>
      </c>
      <c r="FJ30" t="s">
        <v>4399</v>
      </c>
      <c r="HD30" s="53">
        <v>46204</v>
      </c>
      <c r="HE30" t="str">
        <f>TEXT(VAL_Latest_Month_Actual[[#This Row],[Latest Month Actuals Completed]],"[$-en-US]mmm 'yy;@")</f>
        <v>Jul '26</v>
      </c>
      <c r="HJ30" t="s">
        <v>4400</v>
      </c>
      <c r="IF30" t="s">
        <v>4401</v>
      </c>
    </row>
    <row r="31" spans="1:249" ht="14.4" x14ac:dyDescent="0.3">
      <c r="A31" s="54" t="s">
        <v>3864</v>
      </c>
      <c r="B31" s="55" t="s">
        <v>3615</v>
      </c>
      <c r="C31" s="56" t="s">
        <v>4142</v>
      </c>
      <c r="E31" t="s">
        <v>4402</v>
      </c>
      <c r="F31" t="s">
        <v>4403</v>
      </c>
      <c r="H31" t="s">
        <v>4404</v>
      </c>
      <c r="I31">
        <v>3958</v>
      </c>
      <c r="Z31" t="s">
        <v>4405</v>
      </c>
      <c r="AB31" t="s">
        <v>4386</v>
      </c>
      <c r="AC31" t="s">
        <v>4406</v>
      </c>
      <c r="AF31" t="s">
        <v>3615</v>
      </c>
      <c r="AG31" t="s">
        <v>3945</v>
      </c>
      <c r="AH31" t="s">
        <v>4407</v>
      </c>
      <c r="AQ31" t="s">
        <v>4407</v>
      </c>
      <c r="AW31" s="83" t="s">
        <v>2007</v>
      </c>
      <c r="AX31" s="59">
        <f>50%</f>
        <v>0.5</v>
      </c>
      <c r="BA31" s="83" t="s">
        <v>661</v>
      </c>
      <c r="BB31" s="59">
        <v>0</v>
      </c>
      <c r="DI31" t="s">
        <v>4337</v>
      </c>
      <c r="DJ31" t="s">
        <v>3644</v>
      </c>
      <c r="DK31" t="s">
        <v>3644</v>
      </c>
      <c r="DL31" t="s">
        <v>4018</v>
      </c>
      <c r="DN31" t="s">
        <v>4090</v>
      </c>
      <c r="DO31" t="s">
        <v>4408</v>
      </c>
      <c r="EB31" t="s">
        <v>3818</v>
      </c>
      <c r="FJ31" t="s">
        <v>4409</v>
      </c>
      <c r="HD31" s="53">
        <v>46235</v>
      </c>
      <c r="HE31" t="str">
        <f>TEXT(VAL_Latest_Month_Actual[[#This Row],[Latest Month Actuals Completed]],"[$-en-US]mmm 'yy;@")</f>
        <v>Aug '26</v>
      </c>
      <c r="HJ31" t="s">
        <v>4410</v>
      </c>
      <c r="IF31" t="s">
        <v>4411</v>
      </c>
    </row>
    <row r="32" spans="1:249" ht="14.4" x14ac:dyDescent="0.3">
      <c r="A32" s="54" t="s">
        <v>3864</v>
      </c>
      <c r="B32" s="55" t="s">
        <v>3615</v>
      </c>
      <c r="C32" s="56" t="s">
        <v>4169</v>
      </c>
      <c r="E32" t="s">
        <v>4412</v>
      </c>
      <c r="F32" t="s">
        <v>4413</v>
      </c>
      <c r="H32" t="s">
        <v>4414</v>
      </c>
      <c r="I32">
        <v>3959</v>
      </c>
      <c r="Z32" t="s">
        <v>4415</v>
      </c>
      <c r="AB32" t="s">
        <v>4395</v>
      </c>
      <c r="AC32" t="s">
        <v>4416</v>
      </c>
      <c r="AF32" t="s">
        <v>3615</v>
      </c>
      <c r="AG32" t="s">
        <v>3945</v>
      </c>
      <c r="AH32" t="s">
        <v>4417</v>
      </c>
      <c r="AQ32" t="s">
        <v>4417</v>
      </c>
      <c r="AW32" s="81" t="s">
        <v>661</v>
      </c>
      <c r="AX32" s="38">
        <f>50%</f>
        <v>0.5</v>
      </c>
      <c r="BA32" s="81" t="s">
        <v>4418</v>
      </c>
      <c r="BB32" s="38">
        <v>0.7</v>
      </c>
      <c r="DI32" t="s">
        <v>4337</v>
      </c>
      <c r="DJ32" t="s">
        <v>3644</v>
      </c>
      <c r="DK32" t="s">
        <v>3644</v>
      </c>
      <c r="DL32" t="s">
        <v>4054</v>
      </c>
      <c r="DN32" t="s">
        <v>4090</v>
      </c>
      <c r="DO32" t="s">
        <v>4419</v>
      </c>
      <c r="EB32" t="s">
        <v>3895</v>
      </c>
      <c r="FJ32" t="s">
        <v>4420</v>
      </c>
      <c r="HD32" s="53">
        <v>46266</v>
      </c>
      <c r="HE32" t="str">
        <f>TEXT(VAL_Latest_Month_Actual[[#This Row],[Latest Month Actuals Completed]],"[$-en-US]mmm 'yy;@")</f>
        <v>Sep '26</v>
      </c>
      <c r="HJ32" t="s">
        <v>4421</v>
      </c>
      <c r="IF32" t="s">
        <v>4422</v>
      </c>
    </row>
    <row r="33" spans="1:240" ht="14.4" x14ac:dyDescent="0.3">
      <c r="A33" s="54" t="s">
        <v>3864</v>
      </c>
      <c r="B33" s="55" t="s">
        <v>3615</v>
      </c>
      <c r="C33" s="56" t="s">
        <v>4189</v>
      </c>
      <c r="E33" t="s">
        <v>4423</v>
      </c>
      <c r="F33" t="s">
        <v>4424</v>
      </c>
      <c r="H33" t="s">
        <v>4425</v>
      </c>
      <c r="I33">
        <v>3960</v>
      </c>
      <c r="Z33" t="s">
        <v>4318</v>
      </c>
      <c r="AB33" t="s">
        <v>4405</v>
      </c>
      <c r="AC33" t="s">
        <v>4426</v>
      </c>
      <c r="AF33" t="s">
        <v>3615</v>
      </c>
      <c r="AG33" t="s">
        <v>4007</v>
      </c>
      <c r="AH33" t="s">
        <v>4427</v>
      </c>
      <c r="AQ33" t="s">
        <v>4428</v>
      </c>
      <c r="AW33" s="79" t="s">
        <v>4366</v>
      </c>
      <c r="AX33" s="80">
        <f>SUM(AX31:AX32)</f>
        <v>1</v>
      </c>
      <c r="BA33" s="79" t="s">
        <v>4366</v>
      </c>
      <c r="BB33" s="80">
        <f>SUM(BB30:BB32)</f>
        <v>1</v>
      </c>
      <c r="DI33" t="s">
        <v>4337</v>
      </c>
      <c r="DJ33" t="s">
        <v>3644</v>
      </c>
      <c r="DK33" t="s">
        <v>3644</v>
      </c>
      <c r="DL33" t="s">
        <v>4088</v>
      </c>
      <c r="DN33" t="s">
        <v>4122</v>
      </c>
      <c r="DO33" t="s">
        <v>4429</v>
      </c>
      <c r="EB33" t="s">
        <v>3936</v>
      </c>
      <c r="FJ33" t="s">
        <v>4430</v>
      </c>
      <c r="HD33" s="53">
        <v>46296</v>
      </c>
      <c r="HE33" t="str">
        <f>TEXT(VAL_Latest_Month_Actual[[#This Row],[Latest Month Actuals Completed]],"[$-en-US]mmm 'yy;@")</f>
        <v>Oct '26</v>
      </c>
      <c r="HJ33" t="s">
        <v>4431</v>
      </c>
      <c r="IF33" t="s">
        <v>4432</v>
      </c>
    </row>
    <row r="34" spans="1:240" ht="14.4" x14ac:dyDescent="0.3">
      <c r="A34" s="54" t="s">
        <v>3864</v>
      </c>
      <c r="B34" s="55" t="s">
        <v>3615</v>
      </c>
      <c r="C34" s="56" t="s">
        <v>4211</v>
      </c>
      <c r="E34" t="s">
        <v>4433</v>
      </c>
      <c r="F34" t="s">
        <v>4434</v>
      </c>
      <c r="H34" t="s">
        <v>4435</v>
      </c>
      <c r="I34">
        <v>3961</v>
      </c>
      <c r="Z34" t="s">
        <v>4329</v>
      </c>
      <c r="AB34" t="s">
        <v>4415</v>
      </c>
      <c r="AC34" t="s">
        <v>4044</v>
      </c>
      <c r="AF34" t="s">
        <v>3615</v>
      </c>
      <c r="AG34" t="s">
        <v>4007</v>
      </c>
      <c r="AH34" t="s">
        <v>4436</v>
      </c>
      <c r="AQ34" t="s">
        <v>4437</v>
      </c>
      <c r="DI34" t="s">
        <v>4337</v>
      </c>
      <c r="DJ34" t="s">
        <v>3644</v>
      </c>
      <c r="DK34" t="s">
        <v>3644</v>
      </c>
      <c r="DL34" t="s">
        <v>4120</v>
      </c>
      <c r="DN34" t="s">
        <v>4122</v>
      </c>
      <c r="DO34" t="s">
        <v>4438</v>
      </c>
      <c r="EB34" t="s">
        <v>4018</v>
      </c>
      <c r="FJ34" t="s">
        <v>4439</v>
      </c>
      <c r="HD34" s="53">
        <v>46327</v>
      </c>
      <c r="HE34" t="str">
        <f>TEXT(VAL_Latest_Month_Actual[[#This Row],[Latest Month Actuals Completed]],"[$-en-US]mmm 'yy;@")</f>
        <v>Nov '26</v>
      </c>
      <c r="HJ34" t="s">
        <v>4440</v>
      </c>
      <c r="IF34" t="s">
        <v>4441</v>
      </c>
    </row>
    <row r="35" spans="1:240" ht="14.4" x14ac:dyDescent="0.3">
      <c r="A35" s="54" t="s">
        <v>3864</v>
      </c>
      <c r="B35" s="55" t="s">
        <v>3615</v>
      </c>
      <c r="C35" s="56" t="s">
        <v>4238</v>
      </c>
      <c r="E35" t="s">
        <v>4442</v>
      </c>
      <c r="F35" t="s">
        <v>4443</v>
      </c>
      <c r="H35" t="s">
        <v>4444</v>
      </c>
      <c r="I35">
        <v>3962</v>
      </c>
      <c r="Z35" t="s">
        <v>4445</v>
      </c>
      <c r="AB35" t="s">
        <v>4318</v>
      </c>
      <c r="AC35" t="s">
        <v>4446</v>
      </c>
      <c r="AF35" t="s">
        <v>3615</v>
      </c>
      <c r="AG35" t="s">
        <v>4007</v>
      </c>
      <c r="AH35" t="s">
        <v>4447</v>
      </c>
      <c r="AQ35" t="s">
        <v>4448</v>
      </c>
      <c r="DI35" t="s">
        <v>4337</v>
      </c>
      <c r="DJ35" t="s">
        <v>3644</v>
      </c>
      <c r="DK35" t="s">
        <v>3644</v>
      </c>
      <c r="DL35" t="s">
        <v>4150</v>
      </c>
      <c r="DN35" t="s">
        <v>4122</v>
      </c>
      <c r="DO35" t="s">
        <v>4449</v>
      </c>
      <c r="EB35" t="s">
        <v>4054</v>
      </c>
      <c r="FJ35" t="s">
        <v>4450</v>
      </c>
      <c r="HD35" s="53">
        <v>46357</v>
      </c>
      <c r="HE35" t="str">
        <f>TEXT(VAL_Latest_Month_Actual[[#This Row],[Latest Month Actuals Completed]],"[$-en-US]mmm 'yy;@")</f>
        <v>Dec '26</v>
      </c>
      <c r="HJ35" t="s">
        <v>4451</v>
      </c>
      <c r="IF35" t="s">
        <v>4452</v>
      </c>
    </row>
    <row r="36" spans="1:240" ht="14.4" x14ac:dyDescent="0.3">
      <c r="A36" s="54" t="s">
        <v>3864</v>
      </c>
      <c r="B36" s="55" t="s">
        <v>3615</v>
      </c>
      <c r="C36" s="56" t="s">
        <v>4257</v>
      </c>
      <c r="E36" t="s">
        <v>4453</v>
      </c>
      <c r="F36" t="s">
        <v>4454</v>
      </c>
      <c r="H36" t="s">
        <v>4455</v>
      </c>
      <c r="I36">
        <v>3963</v>
      </c>
      <c r="Z36" t="s">
        <v>4344</v>
      </c>
      <c r="AB36" t="s">
        <v>4329</v>
      </c>
      <c r="AC36" t="s">
        <v>4456</v>
      </c>
      <c r="AF36" t="s">
        <v>3615</v>
      </c>
      <c r="AG36" t="s">
        <v>4007</v>
      </c>
      <c r="AH36" t="s">
        <v>4457</v>
      </c>
      <c r="AQ36" t="s">
        <v>4458</v>
      </c>
      <c r="DI36" t="s">
        <v>3640</v>
      </c>
      <c r="DJ36" t="s">
        <v>3641</v>
      </c>
      <c r="DK36" t="s">
        <v>4020</v>
      </c>
      <c r="DL36" t="s">
        <v>4338</v>
      </c>
      <c r="DN36" t="s">
        <v>4152</v>
      </c>
      <c r="DO36" t="s">
        <v>4459</v>
      </c>
      <c r="EB36" t="s">
        <v>4088</v>
      </c>
      <c r="FJ36" t="s">
        <v>4460</v>
      </c>
      <c r="HD36" s="53">
        <v>46388</v>
      </c>
      <c r="HE36" t="str">
        <f>TEXT(VAL_Latest_Month_Actual[[#This Row],[Latest Month Actuals Completed]],"[$-en-US]mmm 'yy;@")</f>
        <v>Jan '27</v>
      </c>
      <c r="HJ36" t="s">
        <v>4461</v>
      </c>
      <c r="IF36" t="s">
        <v>4462</v>
      </c>
    </row>
    <row r="37" spans="1:240" ht="14.4" x14ac:dyDescent="0.3">
      <c r="A37" s="54" t="s">
        <v>3864</v>
      </c>
      <c r="B37" s="55" t="s">
        <v>3615</v>
      </c>
      <c r="C37" s="56" t="s">
        <v>4274</v>
      </c>
      <c r="E37" t="s">
        <v>4463</v>
      </c>
      <c r="F37" t="s">
        <v>4464</v>
      </c>
      <c r="H37" t="s">
        <v>4465</v>
      </c>
      <c r="I37">
        <v>3964</v>
      </c>
      <c r="Z37" t="s">
        <v>4359</v>
      </c>
      <c r="AB37" t="s">
        <v>4344</v>
      </c>
      <c r="AC37" t="s">
        <v>4466</v>
      </c>
      <c r="AF37" t="s">
        <v>3615</v>
      </c>
      <c r="AG37" t="s">
        <v>4007</v>
      </c>
      <c r="AH37" t="s">
        <v>4467</v>
      </c>
      <c r="AQ37" t="s">
        <v>4468</v>
      </c>
      <c r="DI37" t="s">
        <v>3640</v>
      </c>
      <c r="DJ37" t="s">
        <v>3641</v>
      </c>
      <c r="DK37" t="s">
        <v>4056</v>
      </c>
      <c r="DL37" t="s">
        <v>4353</v>
      </c>
      <c r="DN37" t="s">
        <v>4152</v>
      </c>
      <c r="DO37" t="s">
        <v>4354</v>
      </c>
      <c r="EB37" t="s">
        <v>4231</v>
      </c>
      <c r="EC37" t="s">
        <v>4120</v>
      </c>
      <c r="FJ37" t="s">
        <v>4469</v>
      </c>
      <c r="HD37" s="53">
        <v>46419</v>
      </c>
      <c r="HE37" t="str">
        <f>TEXT(VAL_Latest_Month_Actual[[#This Row],[Latest Month Actuals Completed]],"[$-en-US]mmm 'yy;@")</f>
        <v>Feb '27</v>
      </c>
      <c r="HJ37" t="s">
        <v>4470</v>
      </c>
      <c r="IF37" t="s">
        <v>4471</v>
      </c>
    </row>
    <row r="38" spans="1:240" ht="14.4" x14ac:dyDescent="0.3">
      <c r="A38" s="54" t="s">
        <v>3864</v>
      </c>
      <c r="B38" s="55" t="s">
        <v>3615</v>
      </c>
      <c r="C38" s="56" t="s">
        <v>4292</v>
      </c>
      <c r="E38" t="s">
        <v>4472</v>
      </c>
      <c r="F38" t="s">
        <v>4473</v>
      </c>
      <c r="Z38" t="s">
        <v>4373</v>
      </c>
      <c r="AB38" t="s">
        <v>4359</v>
      </c>
      <c r="AC38" t="s">
        <v>4474</v>
      </c>
      <c r="AF38" t="s">
        <v>3615</v>
      </c>
      <c r="AG38" t="s">
        <v>4007</v>
      </c>
      <c r="AH38" t="s">
        <v>4475</v>
      </c>
      <c r="AQ38" t="s">
        <v>4476</v>
      </c>
      <c r="DI38" t="s">
        <v>3640</v>
      </c>
      <c r="DJ38" t="s">
        <v>3641</v>
      </c>
      <c r="DK38" t="s">
        <v>4056</v>
      </c>
      <c r="DL38" t="s">
        <v>4368</v>
      </c>
      <c r="DN38" t="s">
        <v>4176</v>
      </c>
      <c r="DO38" t="s">
        <v>4477</v>
      </c>
      <c r="EB38" t="s">
        <v>4150</v>
      </c>
      <c r="FJ38" t="s">
        <v>4478</v>
      </c>
      <c r="HJ38" t="s">
        <v>4479</v>
      </c>
      <c r="IF38" t="s">
        <v>4480</v>
      </c>
    </row>
    <row r="39" spans="1:240" ht="14.4" x14ac:dyDescent="0.3">
      <c r="A39" s="54" t="s">
        <v>3864</v>
      </c>
      <c r="B39" s="55" t="s">
        <v>3615</v>
      </c>
      <c r="C39" s="56" t="s">
        <v>4309</v>
      </c>
      <c r="E39" t="s">
        <v>4481</v>
      </c>
      <c r="F39" t="s">
        <v>4482</v>
      </c>
      <c r="Z39" t="s">
        <v>4383</v>
      </c>
      <c r="AB39" t="s">
        <v>4373</v>
      </c>
      <c r="AC39" t="s">
        <v>4483</v>
      </c>
      <c r="AF39" t="s">
        <v>3615</v>
      </c>
      <c r="AG39" t="s">
        <v>4007</v>
      </c>
      <c r="AH39" t="s">
        <v>4484</v>
      </c>
      <c r="AQ39" t="s">
        <v>4485</v>
      </c>
      <c r="DI39" t="s">
        <v>3640</v>
      </c>
      <c r="DJ39" t="s">
        <v>3641</v>
      </c>
      <c r="DK39" t="s">
        <v>4056</v>
      </c>
      <c r="DL39" t="s">
        <v>4166</v>
      </c>
      <c r="DN39" t="s">
        <v>4176</v>
      </c>
      <c r="DO39" t="s">
        <v>4486</v>
      </c>
      <c r="EB39" t="s">
        <v>4338</v>
      </c>
      <c r="FJ39" t="s">
        <v>4487</v>
      </c>
      <c r="HJ39" t="s">
        <v>4488</v>
      </c>
      <c r="IF39" t="s">
        <v>4489</v>
      </c>
    </row>
    <row r="40" spans="1:240" ht="14.4" x14ac:dyDescent="0.3">
      <c r="A40" s="54" t="s">
        <v>3864</v>
      </c>
      <c r="B40" s="55" t="s">
        <v>3615</v>
      </c>
      <c r="C40" s="56" t="s">
        <v>4321</v>
      </c>
      <c r="E40" t="s">
        <v>4490</v>
      </c>
      <c r="F40" t="s">
        <v>4491</v>
      </c>
      <c r="Z40" t="s">
        <v>4392</v>
      </c>
      <c r="AB40" t="s">
        <v>4383</v>
      </c>
      <c r="AC40" t="s">
        <v>4492</v>
      </c>
      <c r="AF40" t="s">
        <v>3615</v>
      </c>
      <c r="AG40" t="s">
        <v>4050</v>
      </c>
      <c r="AH40" t="s">
        <v>4428</v>
      </c>
      <c r="AQ40" t="s">
        <v>4493</v>
      </c>
      <c r="DI40" t="s">
        <v>3640</v>
      </c>
      <c r="DJ40" t="s">
        <v>3641</v>
      </c>
      <c r="DK40" t="s">
        <v>4056</v>
      </c>
      <c r="DL40" t="s">
        <v>4235</v>
      </c>
      <c r="DN40" t="s">
        <v>4176</v>
      </c>
      <c r="DO40" t="s">
        <v>4494</v>
      </c>
      <c r="EB40" t="s">
        <v>4353</v>
      </c>
      <c r="FJ40" t="s">
        <v>4495</v>
      </c>
      <c r="HJ40" t="s">
        <v>4496</v>
      </c>
    </row>
    <row r="41" spans="1:240" ht="14.4" x14ac:dyDescent="0.3">
      <c r="A41" s="54" t="s">
        <v>3864</v>
      </c>
      <c r="B41" s="55" t="s">
        <v>3615</v>
      </c>
      <c r="C41" s="56" t="s">
        <v>4332</v>
      </c>
      <c r="E41" t="s">
        <v>4497</v>
      </c>
      <c r="F41" t="s">
        <v>4498</v>
      </c>
      <c r="Z41" t="s">
        <v>4499</v>
      </c>
      <c r="AB41" t="s">
        <v>4392</v>
      </c>
      <c r="AC41" t="s">
        <v>4500</v>
      </c>
      <c r="AF41" t="s">
        <v>3615</v>
      </c>
      <c r="AG41" t="s">
        <v>4050</v>
      </c>
      <c r="AH41" t="s">
        <v>4448</v>
      </c>
      <c r="AQ41" t="s">
        <v>4501</v>
      </c>
      <c r="DI41" t="s">
        <v>3640</v>
      </c>
      <c r="DJ41" t="s">
        <v>3641</v>
      </c>
      <c r="DK41" t="s">
        <v>4056</v>
      </c>
      <c r="DL41" t="s">
        <v>4398</v>
      </c>
      <c r="DN41" t="s">
        <v>4176</v>
      </c>
      <c r="DO41" t="s">
        <v>4502</v>
      </c>
      <c r="EB41" t="s">
        <v>4368</v>
      </c>
      <c r="FJ41" t="s">
        <v>4503</v>
      </c>
      <c r="HJ41" t="s">
        <v>4504</v>
      </c>
    </row>
    <row r="42" spans="1:240" ht="14.4" x14ac:dyDescent="0.3">
      <c r="A42" s="54" t="s">
        <v>3781</v>
      </c>
      <c r="B42" s="55" t="s">
        <v>3937</v>
      </c>
      <c r="C42" s="56" t="s">
        <v>4505</v>
      </c>
      <c r="E42" t="s">
        <v>4506</v>
      </c>
      <c r="F42" t="s">
        <v>4507</v>
      </c>
      <c r="Z42" t="s">
        <v>4402</v>
      </c>
      <c r="AB42" t="s">
        <v>4402</v>
      </c>
      <c r="AC42" t="s">
        <v>4508</v>
      </c>
      <c r="AF42" t="s">
        <v>3615</v>
      </c>
      <c r="AG42" t="s">
        <v>4050</v>
      </c>
      <c r="AH42" t="s">
        <v>4437</v>
      </c>
      <c r="AQ42" t="s">
        <v>4427</v>
      </c>
      <c r="DI42" t="s">
        <v>3640</v>
      </c>
      <c r="DJ42" t="s">
        <v>3641</v>
      </c>
      <c r="DK42" t="s">
        <v>4090</v>
      </c>
      <c r="DL42" t="s">
        <v>4408</v>
      </c>
      <c r="DN42" t="s">
        <v>4176</v>
      </c>
      <c r="DO42" t="s">
        <v>4509</v>
      </c>
      <c r="EB42" t="s">
        <v>4166</v>
      </c>
      <c r="FJ42" t="s">
        <v>4510</v>
      </c>
      <c r="HJ42" t="s">
        <v>4511</v>
      </c>
    </row>
    <row r="43" spans="1:240" ht="14.4" x14ac:dyDescent="0.3">
      <c r="A43" s="54" t="s">
        <v>3781</v>
      </c>
      <c r="B43" s="55" t="s">
        <v>3937</v>
      </c>
      <c r="C43" s="56" t="s">
        <v>4512</v>
      </c>
      <c r="E43" t="s">
        <v>4513</v>
      </c>
      <c r="F43" t="s">
        <v>4514</v>
      </c>
      <c r="Z43" t="s">
        <v>4412</v>
      </c>
      <c r="AB43" t="s">
        <v>4412</v>
      </c>
      <c r="AC43" t="s">
        <v>4515</v>
      </c>
      <c r="AF43" t="s">
        <v>3615</v>
      </c>
      <c r="AG43" t="s">
        <v>4050</v>
      </c>
      <c r="AH43" t="s">
        <v>4458</v>
      </c>
      <c r="AQ43" t="s">
        <v>4436</v>
      </c>
      <c r="DI43" t="s">
        <v>3640</v>
      </c>
      <c r="DJ43" t="s">
        <v>3641</v>
      </c>
      <c r="DK43" t="s">
        <v>4090</v>
      </c>
      <c r="DL43" t="s">
        <v>4419</v>
      </c>
      <c r="DN43" t="s">
        <v>4176</v>
      </c>
      <c r="DO43" t="s">
        <v>4516</v>
      </c>
      <c r="EB43" t="s">
        <v>4235</v>
      </c>
      <c r="FJ43" t="s">
        <v>4517</v>
      </c>
      <c r="HJ43" t="s">
        <v>4518</v>
      </c>
    </row>
    <row r="44" spans="1:240" ht="14.4" x14ac:dyDescent="0.3">
      <c r="A44" s="54" t="s">
        <v>3781</v>
      </c>
      <c r="B44" s="55" t="s">
        <v>3937</v>
      </c>
      <c r="C44" s="56" t="s">
        <v>4519</v>
      </c>
      <c r="E44" t="s">
        <v>4520</v>
      </c>
      <c r="F44" t="s">
        <v>4521</v>
      </c>
      <c r="Z44" t="s">
        <v>4423</v>
      </c>
      <c r="AB44" t="s">
        <v>4423</v>
      </c>
      <c r="AC44" t="s">
        <v>4522</v>
      </c>
      <c r="AF44" t="s">
        <v>3615</v>
      </c>
      <c r="AG44" t="s">
        <v>4050</v>
      </c>
      <c r="AH44" t="s">
        <v>4468</v>
      </c>
      <c r="AQ44" t="s">
        <v>4447</v>
      </c>
      <c r="DI44" t="s">
        <v>3640</v>
      </c>
      <c r="DJ44" t="s">
        <v>3641</v>
      </c>
      <c r="DK44" t="s">
        <v>4122</v>
      </c>
      <c r="DL44" t="s">
        <v>4429</v>
      </c>
      <c r="DN44" t="s">
        <v>4176</v>
      </c>
      <c r="DO44" t="s">
        <v>4523</v>
      </c>
      <c r="EB44" t="s">
        <v>4398</v>
      </c>
      <c r="FJ44" t="s">
        <v>4524</v>
      </c>
      <c r="HJ44" t="s">
        <v>4525</v>
      </c>
    </row>
    <row r="45" spans="1:240" ht="14.4" x14ac:dyDescent="0.3">
      <c r="A45" s="54" t="s">
        <v>3781</v>
      </c>
      <c r="B45" s="55" t="s">
        <v>3937</v>
      </c>
      <c r="C45" s="56" t="s">
        <v>4526</v>
      </c>
      <c r="E45" t="s">
        <v>4527</v>
      </c>
      <c r="F45" t="s">
        <v>4528</v>
      </c>
      <c r="Z45" t="s">
        <v>4433</v>
      </c>
      <c r="AB45" t="s">
        <v>4433</v>
      </c>
      <c r="AC45" t="s">
        <v>4529</v>
      </c>
      <c r="AF45" t="s">
        <v>3615</v>
      </c>
      <c r="AG45" t="s">
        <v>4050</v>
      </c>
      <c r="AH45" t="s">
        <v>4476</v>
      </c>
      <c r="AQ45" t="s">
        <v>4457</v>
      </c>
      <c r="DI45" t="s">
        <v>3640</v>
      </c>
      <c r="DJ45" t="s">
        <v>3641</v>
      </c>
      <c r="DK45" t="s">
        <v>4122</v>
      </c>
      <c r="DL45" t="s">
        <v>4438</v>
      </c>
      <c r="DN45" t="s">
        <v>4198</v>
      </c>
      <c r="DO45" t="s">
        <v>4530</v>
      </c>
      <c r="EB45" t="s">
        <v>4408</v>
      </c>
      <c r="FJ45" t="s">
        <v>4531</v>
      </c>
      <c r="HJ45" t="s">
        <v>4532</v>
      </c>
    </row>
    <row r="46" spans="1:240" ht="14.4" x14ac:dyDescent="0.3">
      <c r="A46" s="54" t="s">
        <v>3781</v>
      </c>
      <c r="B46" s="55" t="s">
        <v>3937</v>
      </c>
      <c r="C46" s="56" t="s">
        <v>4533</v>
      </c>
      <c r="E46" t="s">
        <v>4534</v>
      </c>
      <c r="F46" t="s">
        <v>4535</v>
      </c>
      <c r="Z46" t="s">
        <v>4442</v>
      </c>
      <c r="AB46" t="s">
        <v>4442</v>
      </c>
      <c r="AC46" t="s">
        <v>4536</v>
      </c>
      <c r="AF46" t="s">
        <v>3615</v>
      </c>
      <c r="AG46" t="s">
        <v>4050</v>
      </c>
      <c r="AH46" t="s">
        <v>4485</v>
      </c>
      <c r="AQ46" t="s">
        <v>4467</v>
      </c>
      <c r="DI46" t="s">
        <v>3640</v>
      </c>
      <c r="DJ46" t="s">
        <v>3641</v>
      </c>
      <c r="DK46" t="s">
        <v>4122</v>
      </c>
      <c r="DL46" t="s">
        <v>4449</v>
      </c>
      <c r="DN46" t="s">
        <v>4198</v>
      </c>
      <c r="DO46" t="s">
        <v>4537</v>
      </c>
      <c r="EB46" t="s">
        <v>4419</v>
      </c>
      <c r="FJ46" t="s">
        <v>4538</v>
      </c>
      <c r="HJ46" t="s">
        <v>4539</v>
      </c>
    </row>
    <row r="47" spans="1:240" ht="14.4" x14ac:dyDescent="0.3">
      <c r="A47" s="54" t="s">
        <v>3691</v>
      </c>
      <c r="B47" s="55" t="s">
        <v>4000</v>
      </c>
      <c r="C47" s="56" t="s">
        <v>4540</v>
      </c>
      <c r="E47" t="s">
        <v>4541</v>
      </c>
      <c r="F47" t="s">
        <v>4542</v>
      </c>
      <c r="Z47" s="76" t="s">
        <v>4453</v>
      </c>
      <c r="AB47" t="s">
        <v>4453</v>
      </c>
      <c r="AC47" t="s">
        <v>4543</v>
      </c>
      <c r="AF47" t="s">
        <v>3615</v>
      </c>
      <c r="AG47" t="s">
        <v>4050</v>
      </c>
      <c r="AH47" t="s">
        <v>4493</v>
      </c>
      <c r="AQ47" t="s">
        <v>4475</v>
      </c>
      <c r="DI47" t="s">
        <v>3640</v>
      </c>
      <c r="DJ47" t="s">
        <v>3641</v>
      </c>
      <c r="DK47" t="s">
        <v>4152</v>
      </c>
      <c r="DL47" t="s">
        <v>4459</v>
      </c>
      <c r="DN47" t="s">
        <v>4198</v>
      </c>
      <c r="DO47" t="s">
        <v>4544</v>
      </c>
      <c r="EB47" t="s">
        <v>4429</v>
      </c>
      <c r="FJ47" t="s">
        <v>4545</v>
      </c>
      <c r="HJ47" t="s">
        <v>4546</v>
      </c>
    </row>
    <row r="48" spans="1:240" ht="14.4" x14ac:dyDescent="0.3">
      <c r="A48" s="54" t="s">
        <v>3691</v>
      </c>
      <c r="B48" s="55" t="s">
        <v>4000</v>
      </c>
      <c r="C48" s="56" t="s">
        <v>4547</v>
      </c>
      <c r="E48" t="s">
        <v>4548</v>
      </c>
      <c r="F48" t="s">
        <v>4549</v>
      </c>
      <c r="Z48" s="69" t="s">
        <v>4550</v>
      </c>
      <c r="AB48" t="s">
        <v>4463</v>
      </c>
      <c r="AC48" t="s">
        <v>4551</v>
      </c>
      <c r="AF48" t="s">
        <v>3615</v>
      </c>
      <c r="AG48" t="s">
        <v>4050</v>
      </c>
      <c r="AH48" t="s">
        <v>4501</v>
      </c>
      <c r="AQ48" t="s">
        <v>4484</v>
      </c>
      <c r="DI48" t="s">
        <v>3640</v>
      </c>
      <c r="DJ48" t="s">
        <v>3641</v>
      </c>
      <c r="DK48" t="s">
        <v>4152</v>
      </c>
      <c r="DL48" t="s">
        <v>4354</v>
      </c>
      <c r="DN48" t="s">
        <v>4198</v>
      </c>
      <c r="DO48" t="s">
        <v>4552</v>
      </c>
      <c r="EB48" t="s">
        <v>4438</v>
      </c>
      <c r="FJ48" t="s">
        <v>4553</v>
      </c>
      <c r="HJ48" t="s">
        <v>4554</v>
      </c>
    </row>
    <row r="49" spans="1:218" ht="14.4" x14ac:dyDescent="0.3">
      <c r="A49" s="54" t="s">
        <v>3691</v>
      </c>
      <c r="B49" s="55" t="s">
        <v>4000</v>
      </c>
      <c r="C49" s="56" t="s">
        <v>4555</v>
      </c>
      <c r="E49" t="s">
        <v>4556</v>
      </c>
      <c r="F49" t="s">
        <v>4557</v>
      </c>
      <c r="Z49" t="s">
        <v>4463</v>
      </c>
      <c r="AB49" t="s">
        <v>4472</v>
      </c>
      <c r="AC49" t="s">
        <v>4558</v>
      </c>
      <c r="AF49" t="s">
        <v>3615</v>
      </c>
      <c r="AG49" t="s">
        <v>4081</v>
      </c>
      <c r="AH49" t="s">
        <v>4559</v>
      </c>
      <c r="AQ49" t="s">
        <v>4560</v>
      </c>
      <c r="DI49" t="s">
        <v>3640</v>
      </c>
      <c r="DJ49" t="s">
        <v>3641</v>
      </c>
      <c r="DK49" t="s">
        <v>4176</v>
      </c>
      <c r="DL49" t="s">
        <v>4477</v>
      </c>
      <c r="DN49" t="s">
        <v>4223</v>
      </c>
      <c r="DO49" t="s">
        <v>4561</v>
      </c>
      <c r="EB49" t="s">
        <v>4449</v>
      </c>
      <c r="FJ49" t="s">
        <v>4562</v>
      </c>
      <c r="HJ49" t="s">
        <v>4563</v>
      </c>
    </row>
    <row r="50" spans="1:218" ht="14.4" x14ac:dyDescent="0.3">
      <c r="A50" s="54" t="s">
        <v>3691</v>
      </c>
      <c r="B50" s="55" t="s">
        <v>4000</v>
      </c>
      <c r="C50" s="56" t="s">
        <v>4564</v>
      </c>
      <c r="E50" t="s">
        <v>4565</v>
      </c>
      <c r="F50" s="70">
        <v>5993</v>
      </c>
      <c r="Z50" t="s">
        <v>4472</v>
      </c>
      <c r="AB50" t="s">
        <v>4556</v>
      </c>
      <c r="AC50" t="s">
        <v>4566</v>
      </c>
      <c r="AF50" t="s">
        <v>3615</v>
      </c>
      <c r="AG50" t="s">
        <v>4081</v>
      </c>
      <c r="AH50" t="s">
        <v>4560</v>
      </c>
      <c r="AQ50" t="s">
        <v>4559</v>
      </c>
      <c r="DI50" t="s">
        <v>3640</v>
      </c>
      <c r="DJ50" t="s">
        <v>3641</v>
      </c>
      <c r="DK50" t="s">
        <v>4176</v>
      </c>
      <c r="DL50" t="s">
        <v>4486</v>
      </c>
      <c r="DN50" t="s">
        <v>4223</v>
      </c>
      <c r="DO50" t="s">
        <v>4567</v>
      </c>
      <c r="EB50" t="s">
        <v>4459</v>
      </c>
      <c r="FJ50" t="s">
        <v>4568</v>
      </c>
      <c r="HJ50" t="s">
        <v>4569</v>
      </c>
    </row>
    <row r="51" spans="1:218" ht="14.4" x14ac:dyDescent="0.3">
      <c r="A51" s="54" t="s">
        <v>3691</v>
      </c>
      <c r="B51" s="55" t="s">
        <v>4000</v>
      </c>
      <c r="C51" s="56" t="s">
        <v>4570</v>
      </c>
      <c r="E51" t="s">
        <v>4571</v>
      </c>
      <c r="F51" t="s">
        <v>4572</v>
      </c>
      <c r="Z51" t="s">
        <v>4556</v>
      </c>
      <c r="AB51" t="s">
        <v>4565</v>
      </c>
      <c r="AF51" t="s">
        <v>3615</v>
      </c>
      <c r="AG51" t="s">
        <v>4081</v>
      </c>
      <c r="AH51" t="s">
        <v>4573</v>
      </c>
      <c r="AQ51" t="s">
        <v>4573</v>
      </c>
      <c r="DI51" t="s">
        <v>3640</v>
      </c>
      <c r="DJ51" t="s">
        <v>3641</v>
      </c>
      <c r="DK51" t="s">
        <v>4176</v>
      </c>
      <c r="DL51" t="s">
        <v>4494</v>
      </c>
      <c r="DN51" t="s">
        <v>4223</v>
      </c>
      <c r="DO51" t="s">
        <v>3649</v>
      </c>
      <c r="EB51" t="s">
        <v>4354</v>
      </c>
      <c r="FJ51" t="s">
        <v>4574</v>
      </c>
      <c r="HJ51" t="s">
        <v>4575</v>
      </c>
    </row>
    <row r="52" spans="1:218" ht="14.4" x14ac:dyDescent="0.3">
      <c r="A52" s="54" t="s">
        <v>3781</v>
      </c>
      <c r="B52" s="55" t="s">
        <v>3781</v>
      </c>
      <c r="C52" s="56" t="s">
        <v>4347</v>
      </c>
      <c r="E52" t="s">
        <v>4576</v>
      </c>
      <c r="F52" t="s">
        <v>4577</v>
      </c>
      <c r="Z52" t="s">
        <v>4571</v>
      </c>
      <c r="AB52" s="84" t="s">
        <v>4571</v>
      </c>
      <c r="AC52" t="s">
        <v>4578</v>
      </c>
      <c r="AF52" t="s">
        <v>3703</v>
      </c>
      <c r="AG52" t="s">
        <v>4117</v>
      </c>
      <c r="AH52" t="s">
        <v>4579</v>
      </c>
      <c r="AQ52" t="s">
        <v>4580</v>
      </c>
      <c r="DI52" t="s">
        <v>3640</v>
      </c>
      <c r="DJ52" t="s">
        <v>3641</v>
      </c>
      <c r="DK52" t="s">
        <v>4176</v>
      </c>
      <c r="DL52" t="s">
        <v>4502</v>
      </c>
      <c r="DN52" t="s">
        <v>4223</v>
      </c>
      <c r="DO52" t="s">
        <v>4581</v>
      </c>
      <c r="EB52" t="s">
        <v>4477</v>
      </c>
      <c r="FJ52" t="s">
        <v>4582</v>
      </c>
      <c r="HJ52" t="s">
        <v>4583</v>
      </c>
    </row>
    <row r="53" spans="1:218" ht="14.4" x14ac:dyDescent="0.3">
      <c r="A53" s="54" t="s">
        <v>3781</v>
      </c>
      <c r="B53" s="55" t="s">
        <v>3781</v>
      </c>
      <c r="C53" s="56" t="s">
        <v>4362</v>
      </c>
      <c r="E53" t="s">
        <v>4584</v>
      </c>
      <c r="F53" t="s">
        <v>4585</v>
      </c>
      <c r="Z53" t="s">
        <v>4576</v>
      </c>
      <c r="AB53" t="s">
        <v>4576</v>
      </c>
      <c r="AC53" t="s">
        <v>4586</v>
      </c>
      <c r="AF53" t="s">
        <v>3703</v>
      </c>
      <c r="AG53" t="s">
        <v>4117</v>
      </c>
      <c r="AH53" t="s">
        <v>4580</v>
      </c>
      <c r="AQ53" t="s">
        <v>4587</v>
      </c>
      <c r="DI53" t="s">
        <v>3640</v>
      </c>
      <c r="DJ53" t="s">
        <v>3641</v>
      </c>
      <c r="DK53" t="s">
        <v>4176</v>
      </c>
      <c r="DL53" t="s">
        <v>4509</v>
      </c>
      <c r="DN53" t="s">
        <v>4223</v>
      </c>
      <c r="DO53" t="s">
        <v>4588</v>
      </c>
      <c r="EB53" t="s">
        <v>4486</v>
      </c>
      <c r="FJ53" t="s">
        <v>4589</v>
      </c>
      <c r="HJ53" t="s">
        <v>4590</v>
      </c>
    </row>
    <row r="54" spans="1:218" ht="14.4" x14ac:dyDescent="0.3">
      <c r="A54" s="54" t="s">
        <v>3781</v>
      </c>
      <c r="B54" s="55" t="s">
        <v>3781</v>
      </c>
      <c r="C54" s="56" t="s">
        <v>4376</v>
      </c>
      <c r="E54" t="s">
        <v>4046</v>
      </c>
      <c r="F54" t="s">
        <v>4591</v>
      </c>
      <c r="Z54" t="s">
        <v>4584</v>
      </c>
      <c r="AB54" s="84" t="s">
        <v>4584</v>
      </c>
      <c r="AC54" t="s">
        <v>4592</v>
      </c>
      <c r="AF54" t="s">
        <v>3703</v>
      </c>
      <c r="AG54" t="s">
        <v>4117</v>
      </c>
      <c r="AH54" t="s">
        <v>4587</v>
      </c>
      <c r="AQ54" t="s">
        <v>4579</v>
      </c>
      <c r="DI54" t="s">
        <v>3640</v>
      </c>
      <c r="DJ54" t="s">
        <v>3641</v>
      </c>
      <c r="DK54" t="s">
        <v>4176</v>
      </c>
      <c r="DL54" t="s">
        <v>4176</v>
      </c>
      <c r="DN54" t="s">
        <v>4223</v>
      </c>
      <c r="DO54" t="s">
        <v>4593</v>
      </c>
      <c r="EB54" t="s">
        <v>4494</v>
      </c>
      <c r="FJ54" t="s">
        <v>4594</v>
      </c>
      <c r="HJ54" t="s">
        <v>4595</v>
      </c>
    </row>
    <row r="55" spans="1:218" ht="14.4" x14ac:dyDescent="0.3">
      <c r="A55" s="54" t="s">
        <v>3781</v>
      </c>
      <c r="B55" s="55" t="s">
        <v>3781</v>
      </c>
      <c r="C55" s="56" t="s">
        <v>4386</v>
      </c>
      <c r="E55" t="s">
        <v>4078</v>
      </c>
      <c r="F55" t="s">
        <v>4596</v>
      </c>
      <c r="Z55" t="s">
        <v>3609</v>
      </c>
      <c r="AB55" t="s">
        <v>3609</v>
      </c>
      <c r="AC55" t="s">
        <v>4597</v>
      </c>
      <c r="AF55" t="s">
        <v>3791</v>
      </c>
      <c r="AG55" t="s">
        <v>4145</v>
      </c>
      <c r="AH55" t="s">
        <v>4598</v>
      </c>
      <c r="AQ55" t="s">
        <v>4598</v>
      </c>
      <c r="DI55" t="s">
        <v>3640</v>
      </c>
      <c r="DJ55" t="s">
        <v>3641</v>
      </c>
      <c r="DK55" t="s">
        <v>4176</v>
      </c>
      <c r="DL55" t="s">
        <v>4516</v>
      </c>
      <c r="DN55" t="s">
        <v>4223</v>
      </c>
      <c r="DO55" t="s">
        <v>4599</v>
      </c>
      <c r="EB55" t="s">
        <v>4502</v>
      </c>
      <c r="FJ55" t="s">
        <v>4600</v>
      </c>
      <c r="HJ55" t="s">
        <v>4601</v>
      </c>
    </row>
    <row r="56" spans="1:218" ht="14.4" x14ac:dyDescent="0.3">
      <c r="A56" s="54" t="s">
        <v>3781</v>
      </c>
      <c r="B56" s="55" t="s">
        <v>3781</v>
      </c>
      <c r="C56" s="56" t="s">
        <v>4395</v>
      </c>
      <c r="E56" t="s">
        <v>4143</v>
      </c>
      <c r="F56" t="s">
        <v>4602</v>
      </c>
      <c r="Z56" t="s">
        <v>3688</v>
      </c>
      <c r="AB56" t="s">
        <v>3688</v>
      </c>
      <c r="AC56" t="s">
        <v>4603</v>
      </c>
      <c r="AF56" t="s">
        <v>3791</v>
      </c>
      <c r="AG56" t="s">
        <v>4145</v>
      </c>
      <c r="AH56" t="s">
        <v>4604</v>
      </c>
      <c r="AQ56" t="s">
        <v>4604</v>
      </c>
      <c r="DI56" t="s">
        <v>3640</v>
      </c>
      <c r="DJ56" t="s">
        <v>3641</v>
      </c>
      <c r="DK56" t="s">
        <v>4176</v>
      </c>
      <c r="DL56" t="s">
        <v>4523</v>
      </c>
      <c r="DN56" t="s">
        <v>4223</v>
      </c>
      <c r="DO56" t="s">
        <v>4605</v>
      </c>
      <c r="EB56" t="s">
        <v>4509</v>
      </c>
      <c r="FJ56" t="s">
        <v>4606</v>
      </c>
      <c r="HJ56" t="s">
        <v>4607</v>
      </c>
    </row>
    <row r="57" spans="1:218" ht="14.4" x14ac:dyDescent="0.3">
      <c r="A57" s="54" t="s">
        <v>3781</v>
      </c>
      <c r="B57" s="55" t="s">
        <v>3781</v>
      </c>
      <c r="C57" s="56" t="s">
        <v>4405</v>
      </c>
      <c r="E57" t="s">
        <v>4114</v>
      </c>
      <c r="F57" t="s">
        <v>4608</v>
      </c>
      <c r="AB57" t="s">
        <v>3778</v>
      </c>
      <c r="AC57" t="s">
        <v>4609</v>
      </c>
      <c r="AF57" t="s">
        <v>3791</v>
      </c>
      <c r="AG57" t="s">
        <v>4145</v>
      </c>
      <c r="AH57" t="s">
        <v>4610</v>
      </c>
      <c r="AQ57" t="s">
        <v>4610</v>
      </c>
      <c r="DI57" t="s">
        <v>3640</v>
      </c>
      <c r="DJ57" t="s">
        <v>3641</v>
      </c>
      <c r="DK57" t="s">
        <v>4198</v>
      </c>
      <c r="DL57" t="s">
        <v>4530</v>
      </c>
      <c r="DN57" t="s">
        <v>4223</v>
      </c>
      <c r="DO57" t="s">
        <v>4611</v>
      </c>
      <c r="EB57" t="s">
        <v>4176</v>
      </c>
      <c r="FJ57" t="s">
        <v>4612</v>
      </c>
      <c r="HJ57" t="s">
        <v>4613</v>
      </c>
    </row>
    <row r="58" spans="1:218" ht="14.4" x14ac:dyDescent="0.3">
      <c r="A58" s="54" t="s">
        <v>3781</v>
      </c>
      <c r="B58" s="55" t="s">
        <v>3781</v>
      </c>
      <c r="C58" s="56" t="s">
        <v>4415</v>
      </c>
      <c r="E58" t="s">
        <v>4142</v>
      </c>
      <c r="F58" t="s">
        <v>4614</v>
      </c>
      <c r="Z58" t="s">
        <v>3778</v>
      </c>
      <c r="AB58" t="s">
        <v>3861</v>
      </c>
      <c r="AC58" t="s">
        <v>4615</v>
      </c>
      <c r="AF58" t="s">
        <v>3791</v>
      </c>
      <c r="AG58" t="s">
        <v>4145</v>
      </c>
      <c r="AH58" t="s">
        <v>4616</v>
      </c>
      <c r="AQ58" t="s">
        <v>4616</v>
      </c>
      <c r="DI58" t="s">
        <v>3640</v>
      </c>
      <c r="DJ58" t="s">
        <v>3641</v>
      </c>
      <c r="DK58" t="s">
        <v>4198</v>
      </c>
      <c r="DL58" t="s">
        <v>4537</v>
      </c>
      <c r="DN58" t="s">
        <v>4223</v>
      </c>
      <c r="DO58" t="s">
        <v>4617</v>
      </c>
      <c r="EB58" t="s">
        <v>4516</v>
      </c>
      <c r="FJ58" t="s">
        <v>4618</v>
      </c>
      <c r="HJ58" t="s">
        <v>4619</v>
      </c>
    </row>
    <row r="59" spans="1:218" ht="14.4" x14ac:dyDescent="0.3">
      <c r="A59" s="54" t="s">
        <v>3606</v>
      </c>
      <c r="B59" s="55" t="s">
        <v>3639</v>
      </c>
      <c r="C59" s="56" t="s">
        <v>4318</v>
      </c>
      <c r="E59" t="s">
        <v>4169</v>
      </c>
      <c r="F59" t="s">
        <v>4620</v>
      </c>
      <c r="Z59" t="s">
        <v>3861</v>
      </c>
      <c r="AB59" t="s">
        <v>3933</v>
      </c>
      <c r="AC59" t="s">
        <v>4621</v>
      </c>
      <c r="AF59" t="s">
        <v>3791</v>
      </c>
      <c r="AG59" t="s">
        <v>4145</v>
      </c>
      <c r="AH59" t="s">
        <v>4622</v>
      </c>
      <c r="AQ59" t="s">
        <v>4622</v>
      </c>
      <c r="DI59" t="s">
        <v>3640</v>
      </c>
      <c r="DJ59" t="s">
        <v>3641</v>
      </c>
      <c r="DK59" t="s">
        <v>4198</v>
      </c>
      <c r="DL59" t="s">
        <v>4544</v>
      </c>
      <c r="DN59" t="s">
        <v>4223</v>
      </c>
      <c r="DO59" t="s">
        <v>3900</v>
      </c>
      <c r="EB59" t="s">
        <v>4523</v>
      </c>
      <c r="FJ59" t="s">
        <v>4239</v>
      </c>
      <c r="HJ59" t="s">
        <v>4623</v>
      </c>
    </row>
    <row r="60" spans="1:218" ht="14.4" x14ac:dyDescent="0.3">
      <c r="A60" s="54" t="s">
        <v>3606</v>
      </c>
      <c r="B60" s="55" t="s">
        <v>3639</v>
      </c>
      <c r="C60" s="56" t="s">
        <v>4329</v>
      </c>
      <c r="E60" t="s">
        <v>4189</v>
      </c>
      <c r="F60" t="s">
        <v>4624</v>
      </c>
      <c r="Z60" t="s">
        <v>3933</v>
      </c>
      <c r="AB60" t="s">
        <v>3996</v>
      </c>
      <c r="AC60" t="s">
        <v>4625</v>
      </c>
      <c r="AF60" t="s">
        <v>3791</v>
      </c>
      <c r="AG60" t="s">
        <v>4145</v>
      </c>
      <c r="AH60" t="s">
        <v>4626</v>
      </c>
      <c r="AQ60" t="s">
        <v>4626</v>
      </c>
      <c r="DI60" t="s">
        <v>3640</v>
      </c>
      <c r="DJ60" t="s">
        <v>3641</v>
      </c>
      <c r="DK60" t="s">
        <v>4198</v>
      </c>
      <c r="DL60" t="s">
        <v>4552</v>
      </c>
      <c r="DN60" t="s">
        <v>4223</v>
      </c>
      <c r="DO60" t="s">
        <v>4627</v>
      </c>
      <c r="EB60" t="s">
        <v>4530</v>
      </c>
      <c r="FJ60" t="s">
        <v>4377</v>
      </c>
      <c r="HJ60" t="s">
        <v>4628</v>
      </c>
    </row>
    <row r="61" spans="1:218" ht="14.4" x14ac:dyDescent="0.3">
      <c r="A61" s="54" t="s">
        <v>3606</v>
      </c>
      <c r="B61" s="55" t="s">
        <v>3639</v>
      </c>
      <c r="C61" s="56" t="s">
        <v>4344</v>
      </c>
      <c r="E61" t="s">
        <v>4211</v>
      </c>
      <c r="F61" t="s">
        <v>4629</v>
      </c>
      <c r="Z61" t="s">
        <v>3996</v>
      </c>
      <c r="AB61" t="s">
        <v>4040</v>
      </c>
      <c r="AC61" t="s">
        <v>4630</v>
      </c>
      <c r="AF61" t="s">
        <v>3791</v>
      </c>
      <c r="AG61" t="s">
        <v>4171</v>
      </c>
      <c r="AH61" t="s">
        <v>4631</v>
      </c>
      <c r="AQ61" t="s">
        <v>4631</v>
      </c>
      <c r="DI61" t="s">
        <v>3640</v>
      </c>
      <c r="DJ61" t="s">
        <v>3641</v>
      </c>
      <c r="DK61" t="s">
        <v>4223</v>
      </c>
      <c r="DL61" t="s">
        <v>4561</v>
      </c>
      <c r="DN61" t="s">
        <v>4223</v>
      </c>
      <c r="DO61" t="s">
        <v>4632</v>
      </c>
      <c r="EB61" t="s">
        <v>4537</v>
      </c>
      <c r="FJ61" t="s">
        <v>4633</v>
      </c>
      <c r="HJ61" t="s">
        <v>4634</v>
      </c>
    </row>
    <row r="62" spans="1:218" ht="14.4" x14ac:dyDescent="0.3">
      <c r="A62" s="54" t="s">
        <v>3606</v>
      </c>
      <c r="B62" s="55" t="s">
        <v>3639</v>
      </c>
      <c r="C62" s="56" t="s">
        <v>4359</v>
      </c>
      <c r="E62" t="s">
        <v>4238</v>
      </c>
      <c r="F62" t="s">
        <v>4635</v>
      </c>
      <c r="AB62" t="s">
        <v>4073</v>
      </c>
      <c r="AC62" t="s">
        <v>4625</v>
      </c>
      <c r="AF62" t="s">
        <v>3791</v>
      </c>
      <c r="AG62" t="s">
        <v>4171</v>
      </c>
      <c r="AH62" t="s">
        <v>4636</v>
      </c>
      <c r="AQ62" t="s">
        <v>4636</v>
      </c>
      <c r="DI62" t="s">
        <v>3640</v>
      </c>
      <c r="DJ62" t="s">
        <v>3641</v>
      </c>
      <c r="DK62" t="s">
        <v>4223</v>
      </c>
      <c r="DL62" t="s">
        <v>4567</v>
      </c>
      <c r="DN62" t="s">
        <v>4223</v>
      </c>
      <c r="DO62" t="s">
        <v>4637</v>
      </c>
      <c r="EB62" t="s">
        <v>4544</v>
      </c>
      <c r="FJ62" t="s">
        <v>4466</v>
      </c>
      <c r="HJ62" t="s">
        <v>4638</v>
      </c>
    </row>
    <row r="63" spans="1:218" ht="14.4" x14ac:dyDescent="0.3">
      <c r="A63" s="54" t="s">
        <v>3606</v>
      </c>
      <c r="B63" s="55" t="s">
        <v>3639</v>
      </c>
      <c r="C63" s="56" t="s">
        <v>4373</v>
      </c>
      <c r="E63" t="s">
        <v>4257</v>
      </c>
      <c r="F63" t="s">
        <v>4639</v>
      </c>
      <c r="AB63" t="s">
        <v>4108</v>
      </c>
      <c r="AC63" t="s">
        <v>4640</v>
      </c>
      <c r="AF63" t="s">
        <v>3874</v>
      </c>
      <c r="AG63" t="s">
        <v>4192</v>
      </c>
      <c r="AH63" t="s">
        <v>4641</v>
      </c>
      <c r="AQ63" t="s">
        <v>4641</v>
      </c>
      <c r="DI63" t="s">
        <v>3640</v>
      </c>
      <c r="DJ63" t="s">
        <v>3641</v>
      </c>
      <c r="DK63" t="s">
        <v>4223</v>
      </c>
      <c r="DL63" t="s">
        <v>3649</v>
      </c>
      <c r="DN63" t="s">
        <v>4223</v>
      </c>
      <c r="DO63" t="s">
        <v>4642</v>
      </c>
      <c r="EB63" t="s">
        <v>4643</v>
      </c>
      <c r="EC63" t="s">
        <v>4398</v>
      </c>
      <c r="FJ63" t="s">
        <v>4644</v>
      </c>
      <c r="HJ63" t="s">
        <v>4645</v>
      </c>
    </row>
    <row r="64" spans="1:218" ht="14.4" x14ac:dyDescent="0.3">
      <c r="A64" s="54" t="s">
        <v>3606</v>
      </c>
      <c r="B64" s="55" t="s">
        <v>3639</v>
      </c>
      <c r="C64" s="56" t="s">
        <v>4383</v>
      </c>
      <c r="E64" t="s">
        <v>4274</v>
      </c>
      <c r="F64" t="s">
        <v>4646</v>
      </c>
      <c r="Z64" t="s">
        <v>4073</v>
      </c>
      <c r="AB64" t="s">
        <v>4481</v>
      </c>
      <c r="AC64" t="s">
        <v>4647</v>
      </c>
      <c r="AF64" t="s">
        <v>3874</v>
      </c>
      <c r="AG64" t="s">
        <v>4192</v>
      </c>
      <c r="AH64" t="s">
        <v>4648</v>
      </c>
      <c r="AQ64" t="s">
        <v>4648</v>
      </c>
      <c r="DI64" t="s">
        <v>3640</v>
      </c>
      <c r="DJ64" t="s">
        <v>3641</v>
      </c>
      <c r="DK64" t="s">
        <v>4223</v>
      </c>
      <c r="DL64" t="s">
        <v>4581</v>
      </c>
      <c r="DN64" t="s">
        <v>4223</v>
      </c>
      <c r="DO64" t="s">
        <v>4649</v>
      </c>
      <c r="EB64" t="s">
        <v>4552</v>
      </c>
      <c r="FJ64" t="s">
        <v>4650</v>
      </c>
      <c r="HJ64" t="s">
        <v>4651</v>
      </c>
    </row>
    <row r="65" spans="1:218" ht="14.4" x14ac:dyDescent="0.3">
      <c r="A65" s="54" t="s">
        <v>3606</v>
      </c>
      <c r="B65" s="55" t="s">
        <v>3639</v>
      </c>
      <c r="C65" s="56" t="s">
        <v>4392</v>
      </c>
      <c r="E65" t="s">
        <v>4292</v>
      </c>
      <c r="F65" t="s">
        <v>4652</v>
      </c>
      <c r="Z65" t="s">
        <v>4108</v>
      </c>
      <c r="AB65" t="s">
        <v>4490</v>
      </c>
      <c r="AC65" t="s">
        <v>4653</v>
      </c>
      <c r="AF65" t="s">
        <v>3874</v>
      </c>
      <c r="AG65" t="s">
        <v>4192</v>
      </c>
      <c r="AH65" t="s">
        <v>4654</v>
      </c>
      <c r="AQ65" t="s">
        <v>4654</v>
      </c>
      <c r="DI65" t="s">
        <v>3640</v>
      </c>
      <c r="DJ65" t="s">
        <v>3641</v>
      </c>
      <c r="DK65" t="s">
        <v>4223</v>
      </c>
      <c r="DL65" t="s">
        <v>4588</v>
      </c>
      <c r="DN65" t="s">
        <v>4223</v>
      </c>
      <c r="DO65" t="s">
        <v>4655</v>
      </c>
      <c r="EB65" t="s">
        <v>4656</v>
      </c>
      <c r="FJ65" t="s">
        <v>4657</v>
      </c>
      <c r="HJ65" t="s">
        <v>4658</v>
      </c>
    </row>
    <row r="66" spans="1:218" ht="14.4" x14ac:dyDescent="0.3">
      <c r="A66" s="54" t="s">
        <v>3606</v>
      </c>
      <c r="B66" s="55" t="s">
        <v>3639</v>
      </c>
      <c r="C66" s="56" t="s">
        <v>4402</v>
      </c>
      <c r="E66" t="s">
        <v>4309</v>
      </c>
      <c r="F66" t="s">
        <v>4659</v>
      </c>
      <c r="Z66" t="s">
        <v>4481</v>
      </c>
      <c r="AB66" t="s">
        <v>4497</v>
      </c>
      <c r="AC66" t="s">
        <v>4660</v>
      </c>
      <c r="AF66" t="s">
        <v>3874</v>
      </c>
      <c r="AG66" t="s">
        <v>4192</v>
      </c>
      <c r="AH66" t="s">
        <v>4661</v>
      </c>
      <c r="AQ66" t="s">
        <v>4661</v>
      </c>
      <c r="DI66" t="s">
        <v>3640</v>
      </c>
      <c r="DJ66" t="s">
        <v>3641</v>
      </c>
      <c r="DK66" t="s">
        <v>4223</v>
      </c>
      <c r="DL66" t="s">
        <v>4593</v>
      </c>
      <c r="DN66" t="s">
        <v>4223</v>
      </c>
      <c r="DO66" t="s">
        <v>4662</v>
      </c>
      <c r="EB66" t="s">
        <v>4663</v>
      </c>
      <c r="EC66" t="s">
        <v>4530</v>
      </c>
      <c r="FJ66" t="s">
        <v>4664</v>
      </c>
      <c r="HJ66" t="s">
        <v>4665</v>
      </c>
    </row>
    <row r="67" spans="1:218" ht="14.4" x14ac:dyDescent="0.3">
      <c r="A67" s="54" t="s">
        <v>3606</v>
      </c>
      <c r="B67" s="55" t="s">
        <v>3639</v>
      </c>
      <c r="C67" s="56" t="s">
        <v>4412</v>
      </c>
      <c r="E67" t="s">
        <v>4321</v>
      </c>
      <c r="F67" t="s">
        <v>4666</v>
      </c>
      <c r="Z67" t="s">
        <v>4490</v>
      </c>
      <c r="AB67" t="s">
        <v>4506</v>
      </c>
      <c r="AC67" t="s">
        <v>4667</v>
      </c>
      <c r="AF67" t="s">
        <v>3874</v>
      </c>
      <c r="AG67" t="s">
        <v>4192</v>
      </c>
      <c r="AH67" t="s">
        <v>4668</v>
      </c>
      <c r="AQ67" t="s">
        <v>4668</v>
      </c>
      <c r="DI67" t="s">
        <v>3640</v>
      </c>
      <c r="DJ67" t="s">
        <v>3641</v>
      </c>
      <c r="DK67" t="s">
        <v>4223</v>
      </c>
      <c r="DL67" t="s">
        <v>4599</v>
      </c>
      <c r="DN67" t="s">
        <v>4223</v>
      </c>
      <c r="DO67" t="s">
        <v>3966</v>
      </c>
      <c r="EB67" t="s">
        <v>4669</v>
      </c>
      <c r="EC67" t="s">
        <v>4530</v>
      </c>
      <c r="FJ67" t="s">
        <v>4670</v>
      </c>
      <c r="HJ67" t="s">
        <v>4671</v>
      </c>
    </row>
    <row r="68" spans="1:218" ht="14.4" x14ac:dyDescent="0.3">
      <c r="A68" s="54" t="s">
        <v>3606</v>
      </c>
      <c r="B68" s="55" t="s">
        <v>3639</v>
      </c>
      <c r="C68" s="56" t="s">
        <v>4423</v>
      </c>
      <c r="E68" t="s">
        <v>4332</v>
      </c>
      <c r="F68" t="s">
        <v>4672</v>
      </c>
      <c r="Z68" t="s">
        <v>4506</v>
      </c>
      <c r="AB68" t="s">
        <v>4513</v>
      </c>
      <c r="AC68" t="s">
        <v>3789</v>
      </c>
      <c r="AF68" t="s">
        <v>3874</v>
      </c>
      <c r="AG68" t="s">
        <v>4192</v>
      </c>
      <c r="AH68" t="s">
        <v>4673</v>
      </c>
      <c r="AQ68" t="s">
        <v>4673</v>
      </c>
      <c r="DI68" t="s">
        <v>3640</v>
      </c>
      <c r="DJ68" t="s">
        <v>3641</v>
      </c>
      <c r="DK68" t="s">
        <v>4223</v>
      </c>
      <c r="DL68" t="s">
        <v>4605</v>
      </c>
      <c r="DN68" t="s">
        <v>4223</v>
      </c>
      <c r="DO68" t="s">
        <v>4674</v>
      </c>
      <c r="EB68" t="s">
        <v>4561</v>
      </c>
      <c r="FJ68" t="s">
        <v>4675</v>
      </c>
      <c r="HJ68" t="s">
        <v>4676</v>
      </c>
    </row>
    <row r="69" spans="1:218" ht="14.4" x14ac:dyDescent="0.3">
      <c r="A69" s="54" t="s">
        <v>3606</v>
      </c>
      <c r="B69" s="55" t="s">
        <v>3639</v>
      </c>
      <c r="C69" s="56" t="s">
        <v>4433</v>
      </c>
      <c r="E69" t="s">
        <v>4677</v>
      </c>
      <c r="F69" t="s">
        <v>4678</v>
      </c>
      <c r="Z69" t="s">
        <v>4679</v>
      </c>
      <c r="AB69" t="s">
        <v>4520</v>
      </c>
      <c r="AC69" t="s">
        <v>4680</v>
      </c>
      <c r="AF69" t="s">
        <v>3874</v>
      </c>
      <c r="AG69" t="s">
        <v>4192</v>
      </c>
      <c r="AH69" t="s">
        <v>4681</v>
      </c>
      <c r="AQ69" t="s">
        <v>4681</v>
      </c>
      <c r="DI69" t="s">
        <v>3640</v>
      </c>
      <c r="DJ69" t="s">
        <v>3641</v>
      </c>
      <c r="DK69" t="s">
        <v>4223</v>
      </c>
      <c r="DL69" t="s">
        <v>4611</v>
      </c>
      <c r="DN69" t="s">
        <v>4223</v>
      </c>
      <c r="DO69" t="s">
        <v>4682</v>
      </c>
      <c r="EB69" t="s">
        <v>4567</v>
      </c>
      <c r="FJ69" t="s">
        <v>4683</v>
      </c>
      <c r="HJ69" t="s">
        <v>4684</v>
      </c>
    </row>
    <row r="70" spans="1:218" ht="14.4" x14ac:dyDescent="0.3">
      <c r="A70" s="54" t="s">
        <v>3606</v>
      </c>
      <c r="B70" s="55" t="s">
        <v>3639</v>
      </c>
      <c r="C70" s="56" t="s">
        <v>4442</v>
      </c>
      <c r="E70" t="s">
        <v>4685</v>
      </c>
      <c r="F70" t="s">
        <v>4686</v>
      </c>
      <c r="Z70" t="s">
        <v>4520</v>
      </c>
      <c r="AB70" t="s">
        <v>4527</v>
      </c>
      <c r="AC70" t="s">
        <v>4687</v>
      </c>
      <c r="AF70" t="s">
        <v>3874</v>
      </c>
      <c r="AG70" t="s">
        <v>4215</v>
      </c>
      <c r="AH70" t="s">
        <v>4688</v>
      </c>
      <c r="AQ70" t="s">
        <v>4688</v>
      </c>
      <c r="DI70" t="s">
        <v>3640</v>
      </c>
      <c r="DJ70" t="s">
        <v>3641</v>
      </c>
      <c r="DK70" t="s">
        <v>4223</v>
      </c>
      <c r="DL70" t="s">
        <v>4617</v>
      </c>
      <c r="DN70" t="s">
        <v>4223</v>
      </c>
      <c r="DO70" t="s">
        <v>4231</v>
      </c>
      <c r="EB70" t="s">
        <v>4581</v>
      </c>
      <c r="FJ70" t="s">
        <v>3866</v>
      </c>
      <c r="HJ70" t="s">
        <v>4689</v>
      </c>
    </row>
    <row r="71" spans="1:218" ht="14.4" x14ac:dyDescent="0.3">
      <c r="A71" s="54" t="s">
        <v>3606</v>
      </c>
      <c r="B71" s="55" t="s">
        <v>3639</v>
      </c>
      <c r="C71" s="56" t="s">
        <v>4453</v>
      </c>
      <c r="E71" t="s">
        <v>4690</v>
      </c>
      <c r="F71" t="s">
        <v>4691</v>
      </c>
      <c r="Z71" t="s">
        <v>4692</v>
      </c>
      <c r="AB71" s="84" t="s">
        <v>4534</v>
      </c>
      <c r="AF71" t="s">
        <v>3874</v>
      </c>
      <c r="AG71" t="s">
        <v>4215</v>
      </c>
      <c r="AH71" t="s">
        <v>4693</v>
      </c>
      <c r="AQ71" t="s">
        <v>4693</v>
      </c>
      <c r="DI71" t="s">
        <v>3640</v>
      </c>
      <c r="DJ71" t="s">
        <v>3641</v>
      </c>
      <c r="DK71" t="s">
        <v>4223</v>
      </c>
      <c r="DL71" t="s">
        <v>3900</v>
      </c>
      <c r="DN71" t="s">
        <v>4223</v>
      </c>
      <c r="DO71" t="s">
        <v>4656</v>
      </c>
      <c r="EB71" t="s">
        <v>4588</v>
      </c>
      <c r="FJ71" t="s">
        <v>4694</v>
      </c>
      <c r="HJ71" t="s">
        <v>4695</v>
      </c>
    </row>
    <row r="72" spans="1:218" ht="14.4" x14ac:dyDescent="0.3">
      <c r="A72" s="54" t="s">
        <v>3606</v>
      </c>
      <c r="B72" s="55" t="s">
        <v>3639</v>
      </c>
      <c r="C72" s="56" t="s">
        <v>4463</v>
      </c>
      <c r="E72" t="s">
        <v>4696</v>
      </c>
      <c r="F72" t="s">
        <v>4697</v>
      </c>
      <c r="Z72" s="69" t="s">
        <v>4534</v>
      </c>
      <c r="AB72" s="84" t="s">
        <v>4541</v>
      </c>
      <c r="AF72" t="s">
        <v>3874</v>
      </c>
      <c r="AG72" t="s">
        <v>4215</v>
      </c>
      <c r="AH72" t="s">
        <v>4698</v>
      </c>
      <c r="AQ72" t="s">
        <v>4698</v>
      </c>
      <c r="DI72" t="s">
        <v>3640</v>
      </c>
      <c r="DJ72" t="s">
        <v>3641</v>
      </c>
      <c r="DK72" t="s">
        <v>4223</v>
      </c>
      <c r="DL72" t="s">
        <v>4627</v>
      </c>
      <c r="DN72" t="s">
        <v>4223</v>
      </c>
      <c r="DO72" t="s">
        <v>4699</v>
      </c>
      <c r="EB72" t="s">
        <v>4593</v>
      </c>
      <c r="FJ72" t="s">
        <v>4700</v>
      </c>
      <c r="HJ72" t="s">
        <v>4701</v>
      </c>
    </row>
    <row r="73" spans="1:218" ht="14.4" x14ac:dyDescent="0.3">
      <c r="A73" s="54" t="s">
        <v>3606</v>
      </c>
      <c r="B73" s="55" t="s">
        <v>3639</v>
      </c>
      <c r="C73" s="56" t="s">
        <v>4472</v>
      </c>
      <c r="E73" t="s">
        <v>4505</v>
      </c>
      <c r="F73" t="s">
        <v>4702</v>
      </c>
      <c r="Z73" s="69" t="s">
        <v>4703</v>
      </c>
      <c r="AB73" t="s">
        <v>4548</v>
      </c>
      <c r="AC73" t="s">
        <v>4687</v>
      </c>
      <c r="AF73" t="s">
        <v>3874</v>
      </c>
      <c r="AG73" t="s">
        <v>4215</v>
      </c>
      <c r="AH73" t="s">
        <v>4704</v>
      </c>
      <c r="AQ73" t="s">
        <v>4704</v>
      </c>
      <c r="DI73" t="s">
        <v>3640</v>
      </c>
      <c r="DJ73" t="s">
        <v>3641</v>
      </c>
      <c r="DK73" t="s">
        <v>4223</v>
      </c>
      <c r="DL73" t="s">
        <v>4632</v>
      </c>
      <c r="DN73" t="s">
        <v>4223</v>
      </c>
      <c r="DO73" t="s">
        <v>4705</v>
      </c>
      <c r="EB73" t="s">
        <v>4599</v>
      </c>
      <c r="FJ73" t="s">
        <v>4706</v>
      </c>
    </row>
    <row r="74" spans="1:218" ht="14.4" x14ac:dyDescent="0.3">
      <c r="A74" s="54" t="s">
        <v>3691</v>
      </c>
      <c r="B74" s="55" t="s">
        <v>4111</v>
      </c>
      <c r="C74" s="56" t="s">
        <v>4707</v>
      </c>
      <c r="E74" t="s">
        <v>4512</v>
      </c>
      <c r="F74" t="s">
        <v>4708</v>
      </c>
      <c r="Z74" t="s">
        <v>4548</v>
      </c>
      <c r="AB74" t="s">
        <v>4707</v>
      </c>
      <c r="AC74" t="s">
        <v>4709</v>
      </c>
      <c r="AF74" t="s">
        <v>3874</v>
      </c>
      <c r="AG74" t="s">
        <v>4215</v>
      </c>
      <c r="AH74" t="s">
        <v>4710</v>
      </c>
      <c r="AQ74" t="s">
        <v>4710</v>
      </c>
      <c r="DI74" t="s">
        <v>3640</v>
      </c>
      <c r="DJ74" t="s">
        <v>3641</v>
      </c>
      <c r="DK74" t="s">
        <v>4223</v>
      </c>
      <c r="DL74" t="s">
        <v>4637</v>
      </c>
      <c r="DN74" t="s">
        <v>4223</v>
      </c>
      <c r="DO74" t="s">
        <v>4268</v>
      </c>
      <c r="EB74" t="s">
        <v>4605</v>
      </c>
      <c r="FJ74" t="s">
        <v>4711</v>
      </c>
    </row>
    <row r="75" spans="1:218" ht="14.4" x14ac:dyDescent="0.3">
      <c r="A75" s="54" t="s">
        <v>3691</v>
      </c>
      <c r="B75" s="55" t="s">
        <v>4111</v>
      </c>
      <c r="C75" s="56" t="s">
        <v>4712</v>
      </c>
      <c r="E75" t="s">
        <v>4519</v>
      </c>
      <c r="F75" t="s">
        <v>4713</v>
      </c>
      <c r="Z75" t="s">
        <v>4712</v>
      </c>
      <c r="AB75" t="s">
        <v>4712</v>
      </c>
      <c r="AC75" t="s">
        <v>4714</v>
      </c>
      <c r="AF75" t="s">
        <v>3874</v>
      </c>
      <c r="AG75" t="s">
        <v>4215</v>
      </c>
      <c r="AH75" t="s">
        <v>4715</v>
      </c>
      <c r="AQ75" t="s">
        <v>4715</v>
      </c>
      <c r="DI75" t="s">
        <v>3640</v>
      </c>
      <c r="DJ75" t="s">
        <v>3641</v>
      </c>
      <c r="DK75" t="s">
        <v>4223</v>
      </c>
      <c r="DL75" t="s">
        <v>4642</v>
      </c>
      <c r="DN75" t="s">
        <v>4223</v>
      </c>
      <c r="DO75" t="s">
        <v>4716</v>
      </c>
      <c r="EB75" t="s">
        <v>4611</v>
      </c>
      <c r="FJ75" t="s">
        <v>4717</v>
      </c>
    </row>
    <row r="76" spans="1:218" ht="14.4" x14ac:dyDescent="0.3">
      <c r="A76" s="54" t="s">
        <v>3691</v>
      </c>
      <c r="B76" s="55" t="s">
        <v>4111</v>
      </c>
      <c r="C76" s="56" t="s">
        <v>4718</v>
      </c>
      <c r="E76" t="s">
        <v>4526</v>
      </c>
      <c r="F76" t="s">
        <v>4719</v>
      </c>
      <c r="AB76" t="s">
        <v>4718</v>
      </c>
      <c r="AC76" t="s">
        <v>4720</v>
      </c>
      <c r="AF76" t="s">
        <v>3874</v>
      </c>
      <c r="AG76" t="s">
        <v>4215</v>
      </c>
      <c r="AH76" t="s">
        <v>4721</v>
      </c>
      <c r="AQ76" t="s">
        <v>4721</v>
      </c>
      <c r="DI76" t="s">
        <v>3640</v>
      </c>
      <c r="DJ76" t="s">
        <v>3641</v>
      </c>
      <c r="DK76" t="s">
        <v>4223</v>
      </c>
      <c r="DL76" t="s">
        <v>4649</v>
      </c>
      <c r="DN76" t="s">
        <v>4245</v>
      </c>
      <c r="DO76" t="s">
        <v>4245</v>
      </c>
      <c r="EB76" t="s">
        <v>4722</v>
      </c>
      <c r="EC76" t="s">
        <v>3729</v>
      </c>
      <c r="FJ76" t="s">
        <v>4723</v>
      </c>
    </row>
    <row r="77" spans="1:218" ht="14.4" x14ac:dyDescent="0.3">
      <c r="A77" s="54" t="s">
        <v>3691</v>
      </c>
      <c r="B77" s="55" t="s">
        <v>4111</v>
      </c>
      <c r="C77" s="56" t="s">
        <v>4724</v>
      </c>
      <c r="E77" t="s">
        <v>4533</v>
      </c>
      <c r="F77" t="s">
        <v>4725</v>
      </c>
      <c r="AB77" t="s">
        <v>4724</v>
      </c>
      <c r="AC77" t="s">
        <v>4726</v>
      </c>
      <c r="AF77" t="s">
        <v>3874</v>
      </c>
      <c r="AG77" t="s">
        <v>4215</v>
      </c>
      <c r="AH77" t="s">
        <v>4727</v>
      </c>
      <c r="AQ77" t="s">
        <v>4727</v>
      </c>
      <c r="DI77" t="s">
        <v>3640</v>
      </c>
      <c r="DJ77" t="s">
        <v>3641</v>
      </c>
      <c r="DK77" t="s">
        <v>4223</v>
      </c>
      <c r="DL77" t="s">
        <v>4655</v>
      </c>
      <c r="DN77" t="s">
        <v>4264</v>
      </c>
      <c r="DO77" t="s">
        <v>4728</v>
      </c>
      <c r="EB77" t="s">
        <v>4617</v>
      </c>
      <c r="FJ77" t="s">
        <v>4729</v>
      </c>
    </row>
    <row r="78" spans="1:218" ht="14.4" x14ac:dyDescent="0.3">
      <c r="A78" s="54" t="s">
        <v>3691</v>
      </c>
      <c r="B78" s="55" t="s">
        <v>4111</v>
      </c>
      <c r="C78" s="56" t="s">
        <v>4730</v>
      </c>
      <c r="E78" t="s">
        <v>4347</v>
      </c>
      <c r="F78" t="s">
        <v>4731</v>
      </c>
      <c r="Z78" t="s">
        <v>4724</v>
      </c>
      <c r="AB78" t="s">
        <v>4730</v>
      </c>
      <c r="AC78" t="s">
        <v>4732</v>
      </c>
      <c r="AF78" t="s">
        <v>3874</v>
      </c>
      <c r="AG78" t="s">
        <v>4215</v>
      </c>
      <c r="AH78" t="s">
        <v>4733</v>
      </c>
      <c r="AQ78" t="s">
        <v>4733</v>
      </c>
      <c r="DI78" t="s">
        <v>3640</v>
      </c>
      <c r="DJ78" t="s">
        <v>3641</v>
      </c>
      <c r="DK78" t="s">
        <v>4223</v>
      </c>
      <c r="DL78" t="s">
        <v>4662</v>
      </c>
      <c r="DN78" t="s">
        <v>4264</v>
      </c>
      <c r="DO78" t="s">
        <v>4734</v>
      </c>
      <c r="EB78" t="s">
        <v>3900</v>
      </c>
      <c r="FJ78" t="s">
        <v>4735</v>
      </c>
    </row>
    <row r="79" spans="1:218" ht="14.4" x14ac:dyDescent="0.3">
      <c r="A79" s="54" t="s">
        <v>3691</v>
      </c>
      <c r="B79" s="55" t="s">
        <v>4111</v>
      </c>
      <c r="C79" s="56" t="s">
        <v>4736</v>
      </c>
      <c r="E79" t="s">
        <v>4362</v>
      </c>
      <c r="F79" t="s">
        <v>4737</v>
      </c>
      <c r="Z79" t="s">
        <v>4730</v>
      </c>
      <c r="AB79" t="s">
        <v>4736</v>
      </c>
      <c r="AC79" t="s">
        <v>4738</v>
      </c>
      <c r="AF79" t="s">
        <v>3874</v>
      </c>
      <c r="AG79" t="s">
        <v>4215</v>
      </c>
      <c r="AH79" t="s">
        <v>4739</v>
      </c>
      <c r="AQ79" t="s">
        <v>4739</v>
      </c>
      <c r="DI79" t="s">
        <v>3640</v>
      </c>
      <c r="DJ79" t="s">
        <v>3641</v>
      </c>
      <c r="DK79" t="s">
        <v>4223</v>
      </c>
      <c r="DL79" t="s">
        <v>3966</v>
      </c>
      <c r="DN79" t="s">
        <v>4264</v>
      </c>
      <c r="DO79" t="s">
        <v>4740</v>
      </c>
      <c r="EB79" t="s">
        <v>4627</v>
      </c>
      <c r="FJ79" t="s">
        <v>4741</v>
      </c>
    </row>
    <row r="80" spans="1:218" ht="14.4" x14ac:dyDescent="0.3">
      <c r="A80" s="54" t="s">
        <v>3691</v>
      </c>
      <c r="B80" s="55" t="s">
        <v>4111</v>
      </c>
      <c r="C80" s="56" t="s">
        <v>4742</v>
      </c>
      <c r="E80" t="s">
        <v>4376</v>
      </c>
      <c r="F80" t="s">
        <v>4743</v>
      </c>
      <c r="Z80" t="s">
        <v>4736</v>
      </c>
      <c r="AB80" t="s">
        <v>4742</v>
      </c>
      <c r="AC80" t="s">
        <v>4744</v>
      </c>
      <c r="AF80" t="s">
        <v>3874</v>
      </c>
      <c r="AG80" t="s">
        <v>4215</v>
      </c>
      <c r="AH80" t="s">
        <v>4745</v>
      </c>
      <c r="AQ80" t="s">
        <v>4745</v>
      </c>
      <c r="DI80" t="s">
        <v>3640</v>
      </c>
      <c r="DJ80" t="s">
        <v>3641</v>
      </c>
      <c r="DK80" t="s">
        <v>4223</v>
      </c>
      <c r="DL80" t="s">
        <v>4674</v>
      </c>
      <c r="DN80" t="s">
        <v>4299</v>
      </c>
      <c r="DO80" t="s">
        <v>4746</v>
      </c>
      <c r="EB80" t="s">
        <v>4632</v>
      </c>
      <c r="FJ80" t="s">
        <v>4747</v>
      </c>
    </row>
    <row r="81" spans="1:166" ht="14.4" x14ac:dyDescent="0.3">
      <c r="A81" s="54" t="s">
        <v>3606</v>
      </c>
      <c r="B81" s="55" t="s">
        <v>4139</v>
      </c>
      <c r="C81" s="56" t="s">
        <v>4481</v>
      </c>
      <c r="E81" t="s">
        <v>4386</v>
      </c>
      <c r="F81" t="s">
        <v>4748</v>
      </c>
      <c r="Z81" t="s">
        <v>4742</v>
      </c>
      <c r="AB81" t="s">
        <v>4540</v>
      </c>
      <c r="AC81" t="s">
        <v>4749</v>
      </c>
      <c r="AF81" t="s">
        <v>3874</v>
      </c>
      <c r="AG81" t="s">
        <v>4215</v>
      </c>
      <c r="AH81" t="s">
        <v>4750</v>
      </c>
      <c r="AQ81" t="s">
        <v>4750</v>
      </c>
      <c r="DI81" t="s">
        <v>3640</v>
      </c>
      <c r="DJ81" t="s">
        <v>3641</v>
      </c>
      <c r="DK81" t="s">
        <v>4223</v>
      </c>
      <c r="DL81" t="s">
        <v>4682</v>
      </c>
      <c r="DN81" t="s">
        <v>4299</v>
      </c>
      <c r="DO81" t="s">
        <v>4751</v>
      </c>
      <c r="EB81" t="s">
        <v>4637</v>
      </c>
      <c r="FJ81" t="s">
        <v>4752</v>
      </c>
    </row>
    <row r="82" spans="1:166" ht="14.4" x14ac:dyDescent="0.3">
      <c r="A82" s="54" t="s">
        <v>3606</v>
      </c>
      <c r="B82" s="55" t="s">
        <v>4139</v>
      </c>
      <c r="C82" s="56" t="s">
        <v>4490</v>
      </c>
      <c r="E82" t="s">
        <v>4395</v>
      </c>
      <c r="F82" t="s">
        <v>4753</v>
      </c>
      <c r="Z82" t="s">
        <v>4540</v>
      </c>
      <c r="AB82" t="s">
        <v>4547</v>
      </c>
      <c r="AC82" t="s">
        <v>4754</v>
      </c>
      <c r="AF82" t="s">
        <v>3874</v>
      </c>
      <c r="AG82" t="s">
        <v>4215</v>
      </c>
      <c r="AH82" t="s">
        <v>4755</v>
      </c>
      <c r="AQ82" t="s">
        <v>4755</v>
      </c>
      <c r="DI82" t="s">
        <v>3640</v>
      </c>
      <c r="DJ82" t="s">
        <v>3641</v>
      </c>
      <c r="DK82" t="s">
        <v>4223</v>
      </c>
      <c r="DL82" t="s">
        <v>4231</v>
      </c>
      <c r="DN82" t="s">
        <v>4299</v>
      </c>
      <c r="DO82" t="s">
        <v>4756</v>
      </c>
      <c r="EB82" t="s">
        <v>4642</v>
      </c>
      <c r="FJ82" t="s">
        <v>4757</v>
      </c>
    </row>
    <row r="83" spans="1:166" ht="14.4" x14ac:dyDescent="0.3">
      <c r="A83" s="54" t="s">
        <v>3606</v>
      </c>
      <c r="B83" s="55" t="s">
        <v>4139</v>
      </c>
      <c r="C83" s="56" t="s">
        <v>4497</v>
      </c>
      <c r="E83" t="s">
        <v>4405</v>
      </c>
      <c r="F83" t="s">
        <v>4758</v>
      </c>
      <c r="Z83" t="s">
        <v>4547</v>
      </c>
      <c r="AB83" t="s">
        <v>4555</v>
      </c>
      <c r="AC83" t="s">
        <v>4759</v>
      </c>
      <c r="AF83" t="s">
        <v>3874</v>
      </c>
      <c r="AG83" t="s">
        <v>4215</v>
      </c>
      <c r="AH83" t="s">
        <v>4760</v>
      </c>
      <c r="AQ83" t="s">
        <v>4760</v>
      </c>
      <c r="DI83" t="s">
        <v>3640</v>
      </c>
      <c r="DJ83" t="s">
        <v>3641</v>
      </c>
      <c r="DK83" t="s">
        <v>4223</v>
      </c>
      <c r="DL83" t="s">
        <v>4656</v>
      </c>
      <c r="DN83" t="s">
        <v>4299</v>
      </c>
      <c r="DO83" t="s">
        <v>4299</v>
      </c>
      <c r="EB83" t="s">
        <v>4761</v>
      </c>
      <c r="EC83" t="s">
        <v>4544</v>
      </c>
      <c r="FJ83" t="s">
        <v>4762</v>
      </c>
    </row>
    <row r="84" spans="1:166" ht="14.4" x14ac:dyDescent="0.3">
      <c r="A84" s="54" t="s">
        <v>3606</v>
      </c>
      <c r="B84" s="55" t="s">
        <v>4139</v>
      </c>
      <c r="C84" s="56" t="s">
        <v>4506</v>
      </c>
      <c r="E84" t="s">
        <v>4415</v>
      </c>
      <c r="F84" t="s">
        <v>4763</v>
      </c>
      <c r="Z84" t="s">
        <v>4555</v>
      </c>
      <c r="AB84" t="s">
        <v>4564</v>
      </c>
      <c r="AC84" t="s">
        <v>4764</v>
      </c>
      <c r="AF84" t="s">
        <v>3874</v>
      </c>
      <c r="AG84" t="s">
        <v>4215</v>
      </c>
      <c r="AH84" t="s">
        <v>4765</v>
      </c>
      <c r="AQ84" t="s">
        <v>4765</v>
      </c>
      <c r="DI84" t="s">
        <v>3640</v>
      </c>
      <c r="DJ84" t="s">
        <v>3641</v>
      </c>
      <c r="DK84" t="s">
        <v>4223</v>
      </c>
      <c r="DL84" t="s">
        <v>4699</v>
      </c>
      <c r="DN84" t="s">
        <v>4299</v>
      </c>
      <c r="DO84" t="s">
        <v>4766</v>
      </c>
      <c r="EB84" t="s">
        <v>4649</v>
      </c>
      <c r="FJ84" t="s">
        <v>4767</v>
      </c>
    </row>
    <row r="85" spans="1:166" ht="14.4" x14ac:dyDescent="0.3">
      <c r="A85" s="54" t="s">
        <v>3606</v>
      </c>
      <c r="B85" s="55" t="s">
        <v>4139</v>
      </c>
      <c r="C85" s="56" t="s">
        <v>4513</v>
      </c>
      <c r="E85" t="s">
        <v>4768</v>
      </c>
      <c r="F85" t="s">
        <v>4769</v>
      </c>
      <c r="Z85" t="s">
        <v>4564</v>
      </c>
      <c r="AB85" t="s">
        <v>4570</v>
      </c>
      <c r="AC85" t="s">
        <v>4770</v>
      </c>
      <c r="AF85" t="s">
        <v>3874</v>
      </c>
      <c r="AG85" t="s">
        <v>4215</v>
      </c>
      <c r="AH85" t="s">
        <v>4771</v>
      </c>
      <c r="AQ85" t="s">
        <v>4771</v>
      </c>
      <c r="DI85" t="s">
        <v>3640</v>
      </c>
      <c r="DJ85" t="s">
        <v>3641</v>
      </c>
      <c r="DK85" t="s">
        <v>4223</v>
      </c>
      <c r="DL85" t="s">
        <v>4705</v>
      </c>
      <c r="DN85" t="s">
        <v>4299</v>
      </c>
      <c r="DO85" t="s">
        <v>4772</v>
      </c>
      <c r="EB85" t="s">
        <v>4655</v>
      </c>
      <c r="FJ85" t="s">
        <v>4773</v>
      </c>
    </row>
    <row r="86" spans="1:166" ht="14.4" x14ac:dyDescent="0.3">
      <c r="A86" s="54" t="s">
        <v>3606</v>
      </c>
      <c r="B86" s="55" t="s">
        <v>4139</v>
      </c>
      <c r="C86" s="56" t="s">
        <v>4520</v>
      </c>
      <c r="E86" s="69" t="s">
        <v>4774</v>
      </c>
      <c r="F86" t="s">
        <v>4775</v>
      </c>
      <c r="Z86" t="s">
        <v>4570</v>
      </c>
      <c r="AB86" t="s">
        <v>4776</v>
      </c>
      <c r="AC86" t="s">
        <v>4777</v>
      </c>
      <c r="AF86" t="s">
        <v>3874</v>
      </c>
      <c r="AG86" t="s">
        <v>4215</v>
      </c>
      <c r="AH86" t="s">
        <v>4778</v>
      </c>
      <c r="AQ86" t="s">
        <v>4778</v>
      </c>
      <c r="DI86" t="s">
        <v>3640</v>
      </c>
      <c r="DJ86" t="s">
        <v>3641</v>
      </c>
      <c r="DK86" t="s">
        <v>4223</v>
      </c>
      <c r="DL86" t="s">
        <v>4268</v>
      </c>
      <c r="DN86" t="s">
        <v>4299</v>
      </c>
      <c r="DO86" t="s">
        <v>4779</v>
      </c>
      <c r="EB86" t="s">
        <v>4780</v>
      </c>
      <c r="EC86" t="s">
        <v>4662</v>
      </c>
      <c r="FJ86" t="s">
        <v>4781</v>
      </c>
    </row>
    <row r="87" spans="1:166" ht="14.4" x14ac:dyDescent="0.3">
      <c r="A87" s="54" t="s">
        <v>3606</v>
      </c>
      <c r="B87" s="55" t="s">
        <v>4139</v>
      </c>
      <c r="C87" s="56" t="s">
        <v>4527</v>
      </c>
      <c r="E87" t="s">
        <v>4782</v>
      </c>
      <c r="F87" t="s">
        <v>4783</v>
      </c>
      <c r="Z87" t="s">
        <v>4776</v>
      </c>
      <c r="AB87" t="s">
        <v>4784</v>
      </c>
      <c r="AC87" t="s">
        <v>4785</v>
      </c>
      <c r="AF87" t="s">
        <v>3874</v>
      </c>
      <c r="AG87" t="s">
        <v>4215</v>
      </c>
      <c r="AH87" t="s">
        <v>4786</v>
      </c>
      <c r="AQ87" t="s">
        <v>4786</v>
      </c>
      <c r="DI87" t="s">
        <v>3640</v>
      </c>
      <c r="DJ87" t="s">
        <v>3641</v>
      </c>
      <c r="DK87" t="s">
        <v>4223</v>
      </c>
      <c r="DL87" t="s">
        <v>4716</v>
      </c>
      <c r="DN87" t="s">
        <v>4299</v>
      </c>
      <c r="DO87" t="s">
        <v>4787</v>
      </c>
      <c r="EB87" t="s">
        <v>4662</v>
      </c>
      <c r="FJ87" t="s">
        <v>4788</v>
      </c>
    </row>
    <row r="88" spans="1:166" ht="14.4" x14ac:dyDescent="0.3">
      <c r="A88" s="54" t="s">
        <v>3606</v>
      </c>
      <c r="B88" s="55" t="s">
        <v>4139</v>
      </c>
      <c r="C88" s="56" t="s">
        <v>4534</v>
      </c>
      <c r="E88" t="s">
        <v>4789</v>
      </c>
      <c r="F88" t="s">
        <v>4790</v>
      </c>
      <c r="Z88" t="s">
        <v>4784</v>
      </c>
      <c r="AB88" t="s">
        <v>4791</v>
      </c>
      <c r="AC88" t="s">
        <v>4792</v>
      </c>
      <c r="AF88" t="s">
        <v>3874</v>
      </c>
      <c r="AG88" t="s">
        <v>4215</v>
      </c>
      <c r="AH88" t="s">
        <v>4793</v>
      </c>
      <c r="AQ88" t="s">
        <v>4793</v>
      </c>
      <c r="DI88" t="s">
        <v>3640</v>
      </c>
      <c r="DJ88" t="s">
        <v>3641</v>
      </c>
      <c r="DK88" t="s">
        <v>4245</v>
      </c>
      <c r="DL88" t="s">
        <v>4245</v>
      </c>
      <c r="DN88" t="s">
        <v>4299</v>
      </c>
      <c r="DO88" t="s">
        <v>4339</v>
      </c>
      <c r="EB88" t="s">
        <v>3966</v>
      </c>
      <c r="FJ88" t="s">
        <v>4794</v>
      </c>
    </row>
    <row r="89" spans="1:166" ht="14.4" x14ac:dyDescent="0.3">
      <c r="A89" s="54" t="s">
        <v>3606</v>
      </c>
      <c r="B89" s="55" t="s">
        <v>4139</v>
      </c>
      <c r="C89" s="56" t="s">
        <v>4541</v>
      </c>
      <c r="E89" t="s">
        <v>4795</v>
      </c>
      <c r="F89" t="s">
        <v>4796</v>
      </c>
      <c r="Z89" t="s">
        <v>4797</v>
      </c>
      <c r="AB89" t="s">
        <v>4798</v>
      </c>
      <c r="AC89" t="s">
        <v>4799</v>
      </c>
      <c r="AF89" t="s">
        <v>3874</v>
      </c>
      <c r="AG89" t="s">
        <v>4215</v>
      </c>
      <c r="AH89" t="s">
        <v>4800</v>
      </c>
      <c r="AQ89" t="s">
        <v>4800</v>
      </c>
      <c r="DI89" t="s">
        <v>3640</v>
      </c>
      <c r="DJ89" t="s">
        <v>3641</v>
      </c>
      <c r="DK89" t="s">
        <v>4264</v>
      </c>
      <c r="DL89" t="s">
        <v>4728</v>
      </c>
      <c r="EB89" t="s">
        <v>4801</v>
      </c>
      <c r="EC89" t="s">
        <v>4245</v>
      </c>
      <c r="FJ89" t="s">
        <v>4802</v>
      </c>
    </row>
    <row r="90" spans="1:166" ht="14.4" x14ac:dyDescent="0.3">
      <c r="A90" s="54" t="s">
        <v>3606</v>
      </c>
      <c r="B90" s="55" t="s">
        <v>4139</v>
      </c>
      <c r="C90" s="56" t="s">
        <v>4548</v>
      </c>
      <c r="E90" t="s">
        <v>4803</v>
      </c>
      <c r="F90" t="s">
        <v>4804</v>
      </c>
      <c r="Z90" t="s">
        <v>4798</v>
      </c>
      <c r="AB90" s="84" t="s">
        <v>4805</v>
      </c>
      <c r="AC90" t="s">
        <v>4806</v>
      </c>
      <c r="AF90" t="s">
        <v>3874</v>
      </c>
      <c r="AG90" t="s">
        <v>4215</v>
      </c>
      <c r="AH90" t="s">
        <v>4807</v>
      </c>
      <c r="AQ90" t="s">
        <v>4807</v>
      </c>
      <c r="DI90" t="s">
        <v>3640</v>
      </c>
      <c r="DJ90" t="s">
        <v>3641</v>
      </c>
      <c r="DK90" t="s">
        <v>4264</v>
      </c>
      <c r="DL90" t="s">
        <v>4734</v>
      </c>
      <c r="EB90" t="s">
        <v>4674</v>
      </c>
      <c r="FJ90" t="s">
        <v>4808</v>
      </c>
    </row>
    <row r="91" spans="1:166" ht="14.4" x14ac:dyDescent="0.3">
      <c r="A91" s="54" t="s">
        <v>3691</v>
      </c>
      <c r="B91" s="55" t="s">
        <v>4166</v>
      </c>
      <c r="C91" s="56" t="s">
        <v>4776</v>
      </c>
      <c r="E91" t="s">
        <v>4809</v>
      </c>
      <c r="F91" t="s">
        <v>4810</v>
      </c>
      <c r="Z91" t="s">
        <v>4805</v>
      </c>
      <c r="AB91" t="s">
        <v>4811</v>
      </c>
      <c r="AC91" t="s">
        <v>4812</v>
      </c>
      <c r="AF91" t="s">
        <v>3874</v>
      </c>
      <c r="AG91" t="s">
        <v>4215</v>
      </c>
      <c r="AH91" t="s">
        <v>4813</v>
      </c>
      <c r="AQ91" t="s">
        <v>4813</v>
      </c>
      <c r="DI91" t="s">
        <v>3640</v>
      </c>
      <c r="DJ91" t="s">
        <v>3641</v>
      </c>
      <c r="DK91" t="s">
        <v>4264</v>
      </c>
      <c r="DL91" t="s">
        <v>4740</v>
      </c>
      <c r="EB91" t="s">
        <v>4682</v>
      </c>
      <c r="FJ91" t="s">
        <v>4814</v>
      </c>
    </row>
    <row r="92" spans="1:166" ht="14.4" x14ac:dyDescent="0.3">
      <c r="A92" s="54" t="s">
        <v>3691</v>
      </c>
      <c r="B92" s="55" t="s">
        <v>4166</v>
      </c>
      <c r="C92" s="56" t="s">
        <v>4784</v>
      </c>
      <c r="E92" t="s">
        <v>4815</v>
      </c>
      <c r="F92" t="s">
        <v>4816</v>
      </c>
      <c r="Z92" t="s">
        <v>4811</v>
      </c>
      <c r="AB92" t="s">
        <v>4817</v>
      </c>
      <c r="AC92" t="s">
        <v>4818</v>
      </c>
      <c r="AF92" t="s">
        <v>3874</v>
      </c>
      <c r="AG92" t="s">
        <v>4215</v>
      </c>
      <c r="AH92" t="s">
        <v>4819</v>
      </c>
      <c r="AQ92" t="s">
        <v>4819</v>
      </c>
      <c r="DI92" t="s">
        <v>3640</v>
      </c>
      <c r="DJ92" t="s">
        <v>4820</v>
      </c>
      <c r="DK92" t="s">
        <v>3554</v>
      </c>
      <c r="DL92" t="s">
        <v>3646</v>
      </c>
      <c r="EB92" t="s">
        <v>4231</v>
      </c>
      <c r="FJ92" t="s">
        <v>4821</v>
      </c>
    </row>
    <row r="93" spans="1:166" ht="14.4" x14ac:dyDescent="0.3">
      <c r="A93" s="54" t="s">
        <v>3691</v>
      </c>
      <c r="B93" s="55" t="s">
        <v>4166</v>
      </c>
      <c r="C93" s="56" t="s">
        <v>4791</v>
      </c>
      <c r="E93" t="s">
        <v>4822</v>
      </c>
      <c r="F93" t="s">
        <v>4823</v>
      </c>
      <c r="Z93" t="s">
        <v>4817</v>
      </c>
      <c r="AB93" t="s">
        <v>4824</v>
      </c>
      <c r="AC93" t="s">
        <v>4825</v>
      </c>
      <c r="AF93" t="s">
        <v>3874</v>
      </c>
      <c r="AG93" t="s">
        <v>4215</v>
      </c>
      <c r="AH93" t="s">
        <v>4826</v>
      </c>
      <c r="AQ93" t="s">
        <v>4826</v>
      </c>
      <c r="DI93" t="s">
        <v>3640</v>
      </c>
      <c r="DJ93" t="s">
        <v>4820</v>
      </c>
      <c r="DK93" t="s">
        <v>3554</v>
      </c>
      <c r="DL93" t="s">
        <v>3731</v>
      </c>
      <c r="EB93" t="s">
        <v>4699</v>
      </c>
      <c r="FJ93" t="s">
        <v>4416</v>
      </c>
    </row>
    <row r="94" spans="1:166" ht="14.4" x14ac:dyDescent="0.3">
      <c r="A94" s="54" t="s">
        <v>3691</v>
      </c>
      <c r="B94" s="55" t="s">
        <v>4166</v>
      </c>
      <c r="C94" s="56" t="s">
        <v>4798</v>
      </c>
      <c r="E94" t="s">
        <v>4827</v>
      </c>
      <c r="F94" t="s">
        <v>4828</v>
      </c>
      <c r="Z94" t="s">
        <v>4824</v>
      </c>
      <c r="AB94" s="84" t="s">
        <v>4829</v>
      </c>
      <c r="AC94" t="s">
        <v>4830</v>
      </c>
      <c r="AF94" t="s">
        <v>3874</v>
      </c>
      <c r="AG94" t="s">
        <v>4240</v>
      </c>
      <c r="AH94" t="s">
        <v>4831</v>
      </c>
      <c r="AQ94" t="s">
        <v>4831</v>
      </c>
      <c r="DI94" t="s">
        <v>3640</v>
      </c>
      <c r="DJ94" t="s">
        <v>4820</v>
      </c>
      <c r="DK94" t="s">
        <v>3554</v>
      </c>
      <c r="DL94" t="s">
        <v>3896</v>
      </c>
      <c r="EB94" t="s">
        <v>4705</v>
      </c>
      <c r="FJ94" t="s">
        <v>4832</v>
      </c>
    </row>
    <row r="95" spans="1:166" ht="14.4" x14ac:dyDescent="0.3">
      <c r="A95" s="54" t="s">
        <v>3691</v>
      </c>
      <c r="B95" s="55" t="s">
        <v>4166</v>
      </c>
      <c r="C95" s="56" t="s">
        <v>4805</v>
      </c>
      <c r="E95" t="s">
        <v>4833</v>
      </c>
      <c r="F95" t="s">
        <v>4834</v>
      </c>
      <c r="Z95" t="s">
        <v>4829</v>
      </c>
      <c r="AB95" t="s">
        <v>4835</v>
      </c>
      <c r="AC95" t="s">
        <v>4836</v>
      </c>
      <c r="AF95" t="s">
        <v>3874</v>
      </c>
      <c r="AG95" t="s">
        <v>4240</v>
      </c>
      <c r="AH95" t="s">
        <v>4837</v>
      </c>
      <c r="AQ95" t="s">
        <v>4837</v>
      </c>
      <c r="DI95" t="s">
        <v>3640</v>
      </c>
      <c r="DJ95" t="s">
        <v>4820</v>
      </c>
      <c r="DK95" t="s">
        <v>3554</v>
      </c>
      <c r="DL95" t="s">
        <v>3963</v>
      </c>
      <c r="EB95" t="s">
        <v>4268</v>
      </c>
      <c r="FJ95" t="s">
        <v>4838</v>
      </c>
    </row>
    <row r="96" spans="1:166" ht="14.4" x14ac:dyDescent="0.3">
      <c r="A96" s="54" t="s">
        <v>3691</v>
      </c>
      <c r="B96" s="55" t="s">
        <v>4166</v>
      </c>
      <c r="C96" s="56" t="s">
        <v>4811</v>
      </c>
      <c r="E96" t="s">
        <v>4839</v>
      </c>
      <c r="F96" t="s">
        <v>4840</v>
      </c>
      <c r="Z96" t="s">
        <v>4835</v>
      </c>
      <c r="AB96" t="s">
        <v>4841</v>
      </c>
      <c r="AC96" t="s">
        <v>4842</v>
      </c>
      <c r="AF96" t="s">
        <v>3874</v>
      </c>
      <c r="AG96" t="s">
        <v>4240</v>
      </c>
      <c r="AH96" t="s">
        <v>4843</v>
      </c>
      <c r="AQ96" t="s">
        <v>4843</v>
      </c>
      <c r="DI96" t="s">
        <v>3640</v>
      </c>
      <c r="DJ96" t="s">
        <v>4820</v>
      </c>
      <c r="DK96" t="s">
        <v>3554</v>
      </c>
      <c r="DL96" t="s">
        <v>4019</v>
      </c>
      <c r="EB96" t="s">
        <v>4716</v>
      </c>
      <c r="FJ96" t="s">
        <v>4322</v>
      </c>
    </row>
    <row r="97" spans="1:166" ht="14.4" x14ac:dyDescent="0.3">
      <c r="A97" s="54" t="s">
        <v>3691</v>
      </c>
      <c r="B97" s="55" t="s">
        <v>4166</v>
      </c>
      <c r="C97" s="56" t="s">
        <v>4817</v>
      </c>
      <c r="E97" t="s">
        <v>4844</v>
      </c>
      <c r="F97" t="s">
        <v>4845</v>
      </c>
      <c r="Z97" t="s">
        <v>4841</v>
      </c>
      <c r="AB97" t="s">
        <v>4846</v>
      </c>
      <c r="AC97" t="s">
        <v>4236</v>
      </c>
      <c r="AF97" t="s">
        <v>3874</v>
      </c>
      <c r="AG97" t="s">
        <v>4240</v>
      </c>
      <c r="AH97" t="s">
        <v>4847</v>
      </c>
      <c r="AQ97" t="s">
        <v>4847</v>
      </c>
      <c r="DI97" t="s">
        <v>3640</v>
      </c>
      <c r="DJ97" t="s">
        <v>4820</v>
      </c>
      <c r="DK97" t="s">
        <v>3554</v>
      </c>
      <c r="DL97" t="s">
        <v>4055</v>
      </c>
      <c r="EB97" t="s">
        <v>4245</v>
      </c>
      <c r="FJ97" t="s">
        <v>4848</v>
      </c>
    </row>
    <row r="98" spans="1:166" ht="14.4" x14ac:dyDescent="0.3">
      <c r="A98" s="54" t="s">
        <v>3691</v>
      </c>
      <c r="B98" s="55" t="s">
        <v>4166</v>
      </c>
      <c r="C98" s="56" t="s">
        <v>4824</v>
      </c>
      <c r="E98" t="s">
        <v>4849</v>
      </c>
      <c r="F98" t="s">
        <v>4850</v>
      </c>
      <c r="Z98" t="s">
        <v>4846</v>
      </c>
      <c r="AB98" t="s">
        <v>4851</v>
      </c>
      <c r="AC98" t="s">
        <v>4852</v>
      </c>
      <c r="AF98" t="s">
        <v>3874</v>
      </c>
      <c r="AG98" t="s">
        <v>4240</v>
      </c>
      <c r="AH98" t="s">
        <v>4853</v>
      </c>
      <c r="AQ98" t="s">
        <v>4853</v>
      </c>
      <c r="DI98" t="s">
        <v>3640</v>
      </c>
      <c r="DJ98" t="s">
        <v>4820</v>
      </c>
      <c r="DK98" t="s">
        <v>3554</v>
      </c>
      <c r="DL98" t="s">
        <v>4089</v>
      </c>
      <c r="EB98" t="s">
        <v>4728</v>
      </c>
      <c r="FJ98" t="s">
        <v>4854</v>
      </c>
    </row>
    <row r="99" spans="1:166" ht="14.4" x14ac:dyDescent="0.3">
      <c r="A99" s="54" t="s">
        <v>3691</v>
      </c>
      <c r="B99" s="55" t="s">
        <v>4146</v>
      </c>
      <c r="C99" s="56" t="s">
        <v>4855</v>
      </c>
      <c r="E99" t="s">
        <v>4856</v>
      </c>
      <c r="F99" t="s">
        <v>4857</v>
      </c>
      <c r="Z99" t="s">
        <v>4851</v>
      </c>
      <c r="AB99" t="s">
        <v>4858</v>
      </c>
      <c r="AC99" t="s">
        <v>4859</v>
      </c>
      <c r="AF99" t="s">
        <v>3874</v>
      </c>
      <c r="AG99" t="s">
        <v>4240</v>
      </c>
      <c r="AH99" t="s">
        <v>4860</v>
      </c>
      <c r="AQ99" t="s">
        <v>4860</v>
      </c>
      <c r="DI99" t="s">
        <v>3640</v>
      </c>
      <c r="DJ99" t="s">
        <v>4820</v>
      </c>
      <c r="DK99" t="s">
        <v>3554</v>
      </c>
      <c r="DL99" t="s">
        <v>4121</v>
      </c>
      <c r="EB99" t="s">
        <v>4734</v>
      </c>
      <c r="FJ99" t="s">
        <v>4861</v>
      </c>
    </row>
    <row r="100" spans="1:166" ht="14.4" x14ac:dyDescent="0.3">
      <c r="A100" s="54" t="s">
        <v>3691</v>
      </c>
      <c r="B100" s="55" t="s">
        <v>4146</v>
      </c>
      <c r="C100" s="56" t="s">
        <v>4862</v>
      </c>
      <c r="E100" t="s">
        <v>4540</v>
      </c>
      <c r="F100" t="s">
        <v>4863</v>
      </c>
      <c r="Z100" t="s">
        <v>4858</v>
      </c>
      <c r="AB100" t="s">
        <v>4864</v>
      </c>
      <c r="AF100" t="s">
        <v>3874</v>
      </c>
      <c r="AG100" t="s">
        <v>4240</v>
      </c>
      <c r="AH100" t="s">
        <v>4865</v>
      </c>
      <c r="AQ100" t="s">
        <v>4865</v>
      </c>
      <c r="DI100" t="s">
        <v>3640</v>
      </c>
      <c r="DJ100" t="s">
        <v>4820</v>
      </c>
      <c r="DK100" t="s">
        <v>3554</v>
      </c>
      <c r="DL100" t="s">
        <v>4151</v>
      </c>
      <c r="EB100" t="s">
        <v>4740</v>
      </c>
      <c r="FJ100" t="s">
        <v>4866</v>
      </c>
    </row>
    <row r="101" spans="1:166" ht="14.4" x14ac:dyDescent="0.3">
      <c r="A101" s="54" t="s">
        <v>3691</v>
      </c>
      <c r="B101" s="55" t="s">
        <v>4146</v>
      </c>
      <c r="C101" s="56" t="s">
        <v>4867</v>
      </c>
      <c r="E101" t="s">
        <v>4547</v>
      </c>
      <c r="F101" t="s">
        <v>4868</v>
      </c>
      <c r="Z101" s="69" t="s">
        <v>4864</v>
      </c>
      <c r="AB101" t="s">
        <v>4869</v>
      </c>
      <c r="AF101" t="s">
        <v>3874</v>
      </c>
      <c r="AG101" t="s">
        <v>4259</v>
      </c>
      <c r="AH101" t="s">
        <v>4870</v>
      </c>
      <c r="AQ101" t="s">
        <v>4870</v>
      </c>
      <c r="DI101" t="s">
        <v>3640</v>
      </c>
      <c r="DJ101" t="s">
        <v>4820</v>
      </c>
      <c r="DK101" t="s">
        <v>3554</v>
      </c>
      <c r="DL101" t="s">
        <v>4175</v>
      </c>
      <c r="EB101" t="s">
        <v>3646</v>
      </c>
      <c r="FJ101" t="s">
        <v>4871</v>
      </c>
    </row>
    <row r="102" spans="1:166" ht="14.4" x14ac:dyDescent="0.3">
      <c r="A102" s="54" t="s">
        <v>3691</v>
      </c>
      <c r="B102" s="55" t="s">
        <v>4146</v>
      </c>
      <c r="C102" s="56" t="s">
        <v>4872</v>
      </c>
      <c r="E102" t="s">
        <v>4555</v>
      </c>
      <c r="F102" t="s">
        <v>4873</v>
      </c>
      <c r="Z102" s="69" t="s">
        <v>4869</v>
      </c>
      <c r="AB102" s="85" t="s">
        <v>4505</v>
      </c>
      <c r="AC102" s="85" t="s">
        <v>4874</v>
      </c>
      <c r="AD102" s="85"/>
      <c r="AF102" t="s">
        <v>3874</v>
      </c>
      <c r="AG102" t="s">
        <v>4259</v>
      </c>
      <c r="AH102" t="s">
        <v>4875</v>
      </c>
      <c r="AQ102" t="s">
        <v>4875</v>
      </c>
      <c r="DI102" t="s">
        <v>3640</v>
      </c>
      <c r="DJ102" t="s">
        <v>4820</v>
      </c>
      <c r="DK102" t="s">
        <v>3554</v>
      </c>
      <c r="DL102" t="s">
        <v>4197</v>
      </c>
      <c r="EB102" t="s">
        <v>3731</v>
      </c>
      <c r="FJ102" t="s">
        <v>4876</v>
      </c>
    </row>
    <row r="103" spans="1:166" ht="14.4" x14ac:dyDescent="0.3">
      <c r="A103" s="54" t="s">
        <v>3691</v>
      </c>
      <c r="B103" s="55" t="s">
        <v>4146</v>
      </c>
      <c r="C103" s="56" t="s">
        <v>4877</v>
      </c>
      <c r="E103" t="s">
        <v>4564</v>
      </c>
      <c r="F103" t="s">
        <v>4878</v>
      </c>
      <c r="Z103" t="s">
        <v>4879</v>
      </c>
      <c r="AB103" s="85" t="s">
        <v>4512</v>
      </c>
      <c r="AC103" s="85" t="s">
        <v>4880</v>
      </c>
      <c r="AD103" s="85"/>
      <c r="AF103" t="s">
        <v>3874</v>
      </c>
      <c r="AG103" t="s">
        <v>4259</v>
      </c>
      <c r="AH103" t="s">
        <v>4881</v>
      </c>
      <c r="AQ103" t="s">
        <v>4881</v>
      </c>
      <c r="DI103" t="s">
        <v>3640</v>
      </c>
      <c r="DJ103" t="s">
        <v>4820</v>
      </c>
      <c r="DK103" t="s">
        <v>3554</v>
      </c>
      <c r="DL103" s="69" t="s">
        <v>3554</v>
      </c>
      <c r="EB103" t="s">
        <v>3896</v>
      </c>
      <c r="FJ103" t="s">
        <v>4882</v>
      </c>
    </row>
    <row r="104" spans="1:166" ht="14.4" x14ac:dyDescent="0.3">
      <c r="A104" s="54" t="s">
        <v>3691</v>
      </c>
      <c r="B104" s="55" t="s">
        <v>4146</v>
      </c>
      <c r="C104" s="56" t="s">
        <v>4883</v>
      </c>
      <c r="E104" t="s">
        <v>4570</v>
      </c>
      <c r="F104" t="s">
        <v>4884</v>
      </c>
      <c r="Z104" t="s">
        <v>4885</v>
      </c>
      <c r="AB104" s="85" t="s">
        <v>4519</v>
      </c>
      <c r="AC104" s="85" t="s">
        <v>4886</v>
      </c>
      <c r="AD104" s="85"/>
      <c r="AF104" t="s">
        <v>3874</v>
      </c>
      <c r="AG104" t="s">
        <v>4259</v>
      </c>
      <c r="AH104" t="s">
        <v>4887</v>
      </c>
      <c r="AQ104" t="s">
        <v>4887</v>
      </c>
      <c r="DI104" t="s">
        <v>3640</v>
      </c>
      <c r="DJ104" t="s">
        <v>4820</v>
      </c>
      <c r="DK104" t="s">
        <v>3554</v>
      </c>
      <c r="DL104" t="s">
        <v>4222</v>
      </c>
      <c r="EB104" t="s">
        <v>3963</v>
      </c>
      <c r="FJ104" t="s">
        <v>4888</v>
      </c>
    </row>
    <row r="105" spans="1:166" ht="14.4" x14ac:dyDescent="0.3">
      <c r="A105" s="54" t="s">
        <v>3691</v>
      </c>
      <c r="B105" s="55" t="s">
        <v>4235</v>
      </c>
      <c r="C105" s="56" t="s">
        <v>4829</v>
      </c>
      <c r="E105" t="s">
        <v>4707</v>
      </c>
      <c r="F105" t="s">
        <v>4889</v>
      </c>
      <c r="Z105" t="s">
        <v>4890</v>
      </c>
      <c r="AB105" t="s">
        <v>4526</v>
      </c>
      <c r="AC105" t="s">
        <v>4891</v>
      </c>
      <c r="AF105" t="s">
        <v>3874</v>
      </c>
      <c r="AG105" t="s">
        <v>4259</v>
      </c>
      <c r="AH105" t="s">
        <v>4892</v>
      </c>
      <c r="AQ105" t="s">
        <v>4892</v>
      </c>
      <c r="DI105" t="s">
        <v>3640</v>
      </c>
      <c r="DJ105" t="s">
        <v>4820</v>
      </c>
      <c r="DK105" t="s">
        <v>3554</v>
      </c>
      <c r="DL105" t="s">
        <v>4244</v>
      </c>
      <c r="EB105" t="s">
        <v>4019</v>
      </c>
      <c r="FJ105" t="s">
        <v>4893</v>
      </c>
    </row>
    <row r="106" spans="1:166" ht="14.4" x14ac:dyDescent="0.3">
      <c r="A106" s="54" t="s">
        <v>3691</v>
      </c>
      <c r="B106" s="55" t="s">
        <v>4235</v>
      </c>
      <c r="C106" s="56" t="s">
        <v>4835</v>
      </c>
      <c r="E106" t="s">
        <v>4712</v>
      </c>
      <c r="F106" t="s">
        <v>4894</v>
      </c>
      <c r="Z106" t="s">
        <v>4895</v>
      </c>
      <c r="AB106" t="s">
        <v>4533</v>
      </c>
      <c r="AC106" t="s">
        <v>4439</v>
      </c>
      <c r="AF106" t="s">
        <v>3874</v>
      </c>
      <c r="AG106" t="s">
        <v>4259</v>
      </c>
      <c r="AH106" t="s">
        <v>4896</v>
      </c>
      <c r="AQ106" t="s">
        <v>4896</v>
      </c>
      <c r="DI106" t="s">
        <v>3640</v>
      </c>
      <c r="DJ106" t="s">
        <v>4820</v>
      </c>
      <c r="DK106" t="s">
        <v>3554</v>
      </c>
      <c r="DL106" t="s">
        <v>4263</v>
      </c>
      <c r="EB106" t="s">
        <v>4055</v>
      </c>
      <c r="FJ106" t="s">
        <v>4897</v>
      </c>
    </row>
    <row r="107" spans="1:166" ht="14.4" x14ac:dyDescent="0.3">
      <c r="A107" s="54" t="s">
        <v>3691</v>
      </c>
      <c r="B107" s="55" t="s">
        <v>4235</v>
      </c>
      <c r="C107" s="56" t="s">
        <v>4841</v>
      </c>
      <c r="E107" t="s">
        <v>4718</v>
      </c>
      <c r="F107" s="70">
        <v>7064</v>
      </c>
      <c r="Z107" t="s">
        <v>4898</v>
      </c>
      <c r="AB107" t="s">
        <v>4287</v>
      </c>
      <c r="AC107" t="s">
        <v>4899</v>
      </c>
      <c r="AF107" t="s">
        <v>3874</v>
      </c>
      <c r="AG107" t="s">
        <v>4259</v>
      </c>
      <c r="AH107" t="s">
        <v>4900</v>
      </c>
      <c r="AQ107" t="s">
        <v>4900</v>
      </c>
      <c r="DI107" t="s">
        <v>3640</v>
      </c>
      <c r="DJ107" t="s">
        <v>3641</v>
      </c>
      <c r="DK107" t="s">
        <v>4299</v>
      </c>
      <c r="DL107" t="s">
        <v>4746</v>
      </c>
      <c r="EB107" t="s">
        <v>4089</v>
      </c>
      <c r="FJ107" t="s">
        <v>4272</v>
      </c>
    </row>
    <row r="108" spans="1:166" ht="14.4" x14ac:dyDescent="0.3">
      <c r="A108" s="54" t="s">
        <v>3691</v>
      </c>
      <c r="B108" s="55" t="s">
        <v>4235</v>
      </c>
      <c r="C108" s="56" t="s">
        <v>4846</v>
      </c>
      <c r="E108" t="s">
        <v>4724</v>
      </c>
      <c r="F108" t="s">
        <v>4901</v>
      </c>
      <c r="Z108" t="s">
        <v>4526</v>
      </c>
      <c r="AB108" t="s">
        <v>4303</v>
      </c>
      <c r="AC108" t="s">
        <v>4902</v>
      </c>
      <c r="AF108" t="s">
        <v>3943</v>
      </c>
      <c r="AG108" t="s">
        <v>4278</v>
      </c>
      <c r="AH108" t="s">
        <v>4903</v>
      </c>
      <c r="AQ108" t="s">
        <v>4903</v>
      </c>
      <c r="DI108" t="s">
        <v>3640</v>
      </c>
      <c r="DJ108" t="s">
        <v>3641</v>
      </c>
      <c r="DK108" t="s">
        <v>4299</v>
      </c>
      <c r="DL108" t="s">
        <v>4751</v>
      </c>
      <c r="EB108" t="s">
        <v>4121</v>
      </c>
      <c r="FJ108" t="s">
        <v>4387</v>
      </c>
    </row>
    <row r="109" spans="1:166" ht="14.4" x14ac:dyDescent="0.3">
      <c r="A109" s="54" t="s">
        <v>3691</v>
      </c>
      <c r="B109" s="55" t="s">
        <v>4235</v>
      </c>
      <c r="C109" s="56" t="s">
        <v>4851</v>
      </c>
      <c r="E109" t="s">
        <v>4730</v>
      </c>
      <c r="F109" t="s">
        <v>4904</v>
      </c>
      <c r="Z109" t="s">
        <v>4533</v>
      </c>
      <c r="AB109" t="s">
        <v>4855</v>
      </c>
      <c r="AC109" t="s">
        <v>4905</v>
      </c>
      <c r="AF109" t="s">
        <v>3943</v>
      </c>
      <c r="AG109" t="s">
        <v>4278</v>
      </c>
      <c r="AH109" t="s">
        <v>4906</v>
      </c>
      <c r="AQ109" t="s">
        <v>4907</v>
      </c>
      <c r="DI109" t="s">
        <v>3640</v>
      </c>
      <c r="DJ109" t="s">
        <v>3641</v>
      </c>
      <c r="DK109" t="s">
        <v>4299</v>
      </c>
      <c r="DL109" t="s">
        <v>4756</v>
      </c>
      <c r="EB109" t="s">
        <v>4151</v>
      </c>
      <c r="FJ109" t="s">
        <v>4908</v>
      </c>
    </row>
    <row r="110" spans="1:166" ht="14.4" x14ac:dyDescent="0.3">
      <c r="A110" s="54" t="s">
        <v>3691</v>
      </c>
      <c r="B110" s="55" t="s">
        <v>4235</v>
      </c>
      <c r="C110" s="56" t="s">
        <v>4858</v>
      </c>
      <c r="E110" t="s">
        <v>4736</v>
      </c>
      <c r="F110" t="s">
        <v>4909</v>
      </c>
      <c r="Z110" t="s">
        <v>4287</v>
      </c>
      <c r="AB110" s="85" t="s">
        <v>4862</v>
      </c>
      <c r="AC110" s="85" t="s">
        <v>4910</v>
      </c>
      <c r="AD110" s="85"/>
      <c r="AF110" t="s">
        <v>3943</v>
      </c>
      <c r="AG110" t="s">
        <v>4278</v>
      </c>
      <c r="AH110" t="s">
        <v>4907</v>
      </c>
      <c r="AQ110" t="s">
        <v>4906</v>
      </c>
      <c r="DI110" t="s">
        <v>3640</v>
      </c>
      <c r="DJ110" t="s">
        <v>3641</v>
      </c>
      <c r="DK110" t="s">
        <v>4299</v>
      </c>
      <c r="DL110" t="s">
        <v>4299</v>
      </c>
      <c r="EB110" t="s">
        <v>4175</v>
      </c>
      <c r="FJ110" t="s">
        <v>4911</v>
      </c>
    </row>
    <row r="111" spans="1:166" ht="14.4" x14ac:dyDescent="0.3">
      <c r="A111" s="54" t="s">
        <v>3781</v>
      </c>
      <c r="B111" s="55" t="s">
        <v>4253</v>
      </c>
      <c r="C111" s="56" t="s">
        <v>4768</v>
      </c>
      <c r="E111" t="s">
        <v>4742</v>
      </c>
      <c r="F111" t="s">
        <v>4912</v>
      </c>
      <c r="Z111" t="s">
        <v>4303</v>
      </c>
      <c r="AB111" s="84" t="s">
        <v>4867</v>
      </c>
      <c r="AC111" t="s">
        <v>4913</v>
      </c>
      <c r="AF111" t="s">
        <v>3943</v>
      </c>
      <c r="AG111" t="s">
        <v>4278</v>
      </c>
      <c r="AH111" t="s">
        <v>4914</v>
      </c>
      <c r="AQ111" t="s">
        <v>4914</v>
      </c>
      <c r="DI111" t="s">
        <v>3640</v>
      </c>
      <c r="DJ111" t="s">
        <v>3641</v>
      </c>
      <c r="DK111" t="s">
        <v>4299</v>
      </c>
      <c r="DL111" t="s">
        <v>4766</v>
      </c>
      <c r="EB111" t="s">
        <v>4197</v>
      </c>
      <c r="FJ111" t="s">
        <v>4915</v>
      </c>
    </row>
    <row r="112" spans="1:166" ht="14.4" x14ac:dyDescent="0.3">
      <c r="A112" s="54" t="s">
        <v>3781</v>
      </c>
      <c r="B112" s="55" t="s">
        <v>4253</v>
      </c>
      <c r="C112" s="56" t="s">
        <v>4782</v>
      </c>
      <c r="E112" t="s">
        <v>4776</v>
      </c>
      <c r="F112" t="s">
        <v>4916</v>
      </c>
      <c r="Z112" t="s">
        <v>4855</v>
      </c>
      <c r="AB112" t="s">
        <v>4872</v>
      </c>
      <c r="AC112" t="s">
        <v>4917</v>
      </c>
      <c r="AF112" t="s">
        <v>3943</v>
      </c>
      <c r="AG112" t="s">
        <v>4278</v>
      </c>
      <c r="AH112" t="s">
        <v>4918</v>
      </c>
      <c r="AQ112" t="s">
        <v>4918</v>
      </c>
      <c r="DI112" t="s">
        <v>3640</v>
      </c>
      <c r="DJ112" t="s">
        <v>3641</v>
      </c>
      <c r="DK112" t="s">
        <v>4299</v>
      </c>
      <c r="DL112" t="s">
        <v>4772</v>
      </c>
      <c r="EB112" t="s">
        <v>3554</v>
      </c>
      <c r="FJ112" t="s">
        <v>4919</v>
      </c>
    </row>
    <row r="113" spans="1:166" ht="14.4" x14ac:dyDescent="0.3">
      <c r="A113" s="54" t="s">
        <v>3781</v>
      </c>
      <c r="B113" s="55" t="s">
        <v>4253</v>
      </c>
      <c r="C113" s="56" t="s">
        <v>4789</v>
      </c>
      <c r="E113" t="s">
        <v>4784</v>
      </c>
      <c r="F113" t="s">
        <v>4920</v>
      </c>
      <c r="Z113" t="s">
        <v>4867</v>
      </c>
      <c r="AB113" t="s">
        <v>4877</v>
      </c>
      <c r="AC113" t="s">
        <v>4921</v>
      </c>
      <c r="AF113" t="s">
        <v>3943</v>
      </c>
      <c r="AG113" t="s">
        <v>4278</v>
      </c>
      <c r="AH113" t="s">
        <v>4922</v>
      </c>
      <c r="AQ113" t="s">
        <v>4922</v>
      </c>
      <c r="DI113" t="s">
        <v>3640</v>
      </c>
      <c r="DJ113" t="s">
        <v>3641</v>
      </c>
      <c r="DK113" t="s">
        <v>4299</v>
      </c>
      <c r="DL113" t="s">
        <v>4779</v>
      </c>
      <c r="EB113" t="s">
        <v>4222</v>
      </c>
      <c r="FJ113" t="s">
        <v>4923</v>
      </c>
    </row>
    <row r="114" spans="1:166" ht="14.4" x14ac:dyDescent="0.3">
      <c r="A114" s="54" t="s">
        <v>3781</v>
      </c>
      <c r="B114" s="55" t="s">
        <v>4253</v>
      </c>
      <c r="C114" s="56" t="s">
        <v>4795</v>
      </c>
      <c r="E114" t="s">
        <v>4791</v>
      </c>
      <c r="F114" t="s">
        <v>4924</v>
      </c>
      <c r="Z114" t="s">
        <v>4872</v>
      </c>
      <c r="AB114" t="s">
        <v>4883</v>
      </c>
      <c r="AC114" t="s">
        <v>4925</v>
      </c>
      <c r="AF114" t="s">
        <v>3943</v>
      </c>
      <c r="AG114" t="s">
        <v>4278</v>
      </c>
      <c r="AH114" t="s">
        <v>4926</v>
      </c>
      <c r="AQ114" t="s">
        <v>4926</v>
      </c>
      <c r="DI114" t="s">
        <v>3640</v>
      </c>
      <c r="DJ114" t="s">
        <v>3641</v>
      </c>
      <c r="DK114" t="s">
        <v>4299</v>
      </c>
      <c r="DL114" t="s">
        <v>4787</v>
      </c>
      <c r="EB114" t="s">
        <v>4244</v>
      </c>
      <c r="FJ114" t="s">
        <v>4927</v>
      </c>
    </row>
    <row r="115" spans="1:166" ht="14.4" x14ac:dyDescent="0.3">
      <c r="A115" s="54" t="s">
        <v>3781</v>
      </c>
      <c r="B115" s="55" t="s">
        <v>4253</v>
      </c>
      <c r="C115" s="56" t="s">
        <v>4803</v>
      </c>
      <c r="E115" t="s">
        <v>4798</v>
      </c>
      <c r="F115" t="s">
        <v>4928</v>
      </c>
      <c r="Z115" t="s">
        <v>4877</v>
      </c>
      <c r="AB115" t="s">
        <v>4768</v>
      </c>
      <c r="AC115" t="s">
        <v>4929</v>
      </c>
      <c r="AF115" t="s">
        <v>3943</v>
      </c>
      <c r="AG115" t="s">
        <v>4278</v>
      </c>
      <c r="AH115" t="s">
        <v>4930</v>
      </c>
      <c r="AQ115" t="s">
        <v>4930</v>
      </c>
      <c r="DI115" t="s">
        <v>3640</v>
      </c>
      <c r="DJ115" t="s">
        <v>3641</v>
      </c>
      <c r="DK115" t="s">
        <v>4299</v>
      </c>
      <c r="DL115" t="s">
        <v>4339</v>
      </c>
      <c r="EB115" t="s">
        <v>4263</v>
      </c>
      <c r="FJ115" t="s">
        <v>4931</v>
      </c>
    </row>
    <row r="116" spans="1:166" ht="14.4" x14ac:dyDescent="0.3">
      <c r="A116" s="54" t="s">
        <v>3781</v>
      </c>
      <c r="B116" s="55" t="s">
        <v>4253</v>
      </c>
      <c r="C116" s="56" t="s">
        <v>4809</v>
      </c>
      <c r="E116" t="s">
        <v>4805</v>
      </c>
      <c r="F116" t="s">
        <v>4932</v>
      </c>
      <c r="Z116" t="s">
        <v>4883</v>
      </c>
      <c r="AB116" t="s">
        <v>4782</v>
      </c>
      <c r="AC116" t="s">
        <v>4929</v>
      </c>
      <c r="AF116" t="s">
        <v>3943</v>
      </c>
      <c r="AG116" t="s">
        <v>4278</v>
      </c>
      <c r="AH116" t="s">
        <v>4933</v>
      </c>
      <c r="AQ116" t="s">
        <v>4933</v>
      </c>
      <c r="EB116" t="s">
        <v>4746</v>
      </c>
      <c r="FJ116" t="s">
        <v>4934</v>
      </c>
    </row>
    <row r="117" spans="1:166" ht="14.4" x14ac:dyDescent="0.3">
      <c r="A117" s="54" t="s">
        <v>3781</v>
      </c>
      <c r="B117" s="55" t="s">
        <v>4253</v>
      </c>
      <c r="C117" s="56" t="s">
        <v>4815</v>
      </c>
      <c r="E117" t="s">
        <v>4811</v>
      </c>
      <c r="F117" t="s">
        <v>4935</v>
      </c>
      <c r="Z117" t="s">
        <v>4768</v>
      </c>
      <c r="AB117" t="s">
        <v>4789</v>
      </c>
      <c r="AC117" t="s">
        <v>4936</v>
      </c>
      <c r="AF117" t="s">
        <v>3943</v>
      </c>
      <c r="AG117" t="s">
        <v>4278</v>
      </c>
      <c r="AH117" t="s">
        <v>4937</v>
      </c>
      <c r="AQ117" t="s">
        <v>4937</v>
      </c>
      <c r="EB117" t="s">
        <v>4751</v>
      </c>
      <c r="FJ117" t="s">
        <v>4938</v>
      </c>
    </row>
    <row r="118" spans="1:166" ht="14.4" x14ac:dyDescent="0.3">
      <c r="A118" s="54" t="s">
        <v>3781</v>
      </c>
      <c r="B118" s="55" t="s">
        <v>4253</v>
      </c>
      <c r="C118" s="56" t="s">
        <v>4822</v>
      </c>
      <c r="E118" t="s">
        <v>4817</v>
      </c>
      <c r="F118" t="s">
        <v>4939</v>
      </c>
      <c r="Z118" s="69" t="s">
        <v>4940</v>
      </c>
      <c r="AB118" t="s">
        <v>4795</v>
      </c>
      <c r="AC118" t="s">
        <v>4941</v>
      </c>
      <c r="AF118" t="s">
        <v>3943</v>
      </c>
      <c r="AG118" t="s">
        <v>4296</v>
      </c>
      <c r="AH118" t="s">
        <v>4942</v>
      </c>
      <c r="AQ118" t="s">
        <v>4943</v>
      </c>
      <c r="EB118" t="s">
        <v>4756</v>
      </c>
      <c r="FJ118" t="s">
        <v>4944</v>
      </c>
    </row>
    <row r="119" spans="1:166" ht="14.4" x14ac:dyDescent="0.3">
      <c r="A119" s="54" t="s">
        <v>3781</v>
      </c>
      <c r="B119" s="55" t="s">
        <v>4253</v>
      </c>
      <c r="C119" s="56" t="s">
        <v>4827</v>
      </c>
      <c r="E119" t="s">
        <v>4824</v>
      </c>
      <c r="F119" t="s">
        <v>4945</v>
      </c>
      <c r="Z119" s="69" t="s">
        <v>4946</v>
      </c>
      <c r="AB119" t="s">
        <v>4803</v>
      </c>
      <c r="AC119" t="s">
        <v>4936</v>
      </c>
      <c r="AF119" t="s">
        <v>3943</v>
      </c>
      <c r="AG119" t="s">
        <v>4296</v>
      </c>
      <c r="AH119" t="s">
        <v>4947</v>
      </c>
      <c r="AQ119" t="s">
        <v>4948</v>
      </c>
      <c r="DI119" t="s">
        <v>3546</v>
      </c>
      <c r="DJ119" t="s">
        <v>3547</v>
      </c>
      <c r="DK119" t="s">
        <v>3548</v>
      </c>
      <c r="DL119" t="s">
        <v>3549</v>
      </c>
      <c r="EB119" t="s">
        <v>4299</v>
      </c>
      <c r="FJ119" t="s">
        <v>4949</v>
      </c>
    </row>
    <row r="120" spans="1:166" ht="14.4" x14ac:dyDescent="0.3">
      <c r="A120" s="54" t="s">
        <v>3781</v>
      </c>
      <c r="B120" s="55" t="s">
        <v>4253</v>
      </c>
      <c r="C120" s="56" t="s">
        <v>4833</v>
      </c>
      <c r="E120" t="s">
        <v>4855</v>
      </c>
      <c r="F120" t="s">
        <v>4950</v>
      </c>
      <c r="Z120" s="69" t="s">
        <v>4951</v>
      </c>
      <c r="AB120" t="s">
        <v>4809</v>
      </c>
      <c r="AC120" t="s">
        <v>4929</v>
      </c>
      <c r="AF120" t="s">
        <v>3943</v>
      </c>
      <c r="AG120" t="s">
        <v>4296</v>
      </c>
      <c r="AH120" t="s">
        <v>4952</v>
      </c>
      <c r="AQ120" t="s">
        <v>4953</v>
      </c>
      <c r="DI120" t="s">
        <v>3640</v>
      </c>
      <c r="DJ120" t="s">
        <v>3641</v>
      </c>
      <c r="DK120" t="s">
        <v>3642</v>
      </c>
      <c r="DL120" t="s">
        <v>3643</v>
      </c>
      <c r="EB120" t="s">
        <v>4766</v>
      </c>
      <c r="FJ120" t="s">
        <v>4954</v>
      </c>
    </row>
    <row r="121" spans="1:166" ht="14.4" x14ac:dyDescent="0.3">
      <c r="A121" s="54" t="s">
        <v>3781</v>
      </c>
      <c r="B121" s="55" t="s">
        <v>4253</v>
      </c>
      <c r="C121" s="56" t="s">
        <v>4839</v>
      </c>
      <c r="E121" t="s">
        <v>4862</v>
      </c>
      <c r="F121" t="s">
        <v>4955</v>
      </c>
      <c r="Z121" t="s">
        <v>4809</v>
      </c>
      <c r="AB121" t="s">
        <v>4815</v>
      </c>
      <c r="AC121" t="s">
        <v>4941</v>
      </c>
      <c r="AF121" t="s">
        <v>3943</v>
      </c>
      <c r="AG121" t="s">
        <v>4296</v>
      </c>
      <c r="AH121" t="s">
        <v>4953</v>
      </c>
      <c r="AQ121" t="s">
        <v>4942</v>
      </c>
      <c r="DI121" t="s">
        <v>3640</v>
      </c>
      <c r="DJ121" t="s">
        <v>3641</v>
      </c>
      <c r="DK121" t="s">
        <v>3642</v>
      </c>
      <c r="DL121" t="s">
        <v>3729</v>
      </c>
      <c r="EB121" t="s">
        <v>4772</v>
      </c>
      <c r="FJ121" t="s">
        <v>4956</v>
      </c>
    </row>
    <row r="122" spans="1:166" ht="14.4" x14ac:dyDescent="0.3">
      <c r="A122" s="54" t="s">
        <v>3781</v>
      </c>
      <c r="B122" s="55" t="s">
        <v>4253</v>
      </c>
      <c r="C122" s="56" t="s">
        <v>4844</v>
      </c>
      <c r="E122" t="s">
        <v>4867</v>
      </c>
      <c r="F122" t="s">
        <v>4957</v>
      </c>
      <c r="Z122" s="69" t="s">
        <v>4958</v>
      </c>
      <c r="AB122" t="s">
        <v>4822</v>
      </c>
      <c r="AC122" t="s">
        <v>4959</v>
      </c>
      <c r="AF122" t="s">
        <v>3943</v>
      </c>
      <c r="AG122" t="s">
        <v>4296</v>
      </c>
      <c r="AH122" t="s">
        <v>4948</v>
      </c>
      <c r="AQ122" t="s">
        <v>4947</v>
      </c>
      <c r="DI122" t="s">
        <v>3640</v>
      </c>
      <c r="DJ122" t="s">
        <v>3641</v>
      </c>
      <c r="DK122" t="s">
        <v>3642</v>
      </c>
      <c r="DL122" t="s">
        <v>3817</v>
      </c>
      <c r="EB122" t="s">
        <v>4779</v>
      </c>
      <c r="FJ122" t="s">
        <v>4960</v>
      </c>
    </row>
    <row r="123" spans="1:166" ht="14.4" x14ac:dyDescent="0.3">
      <c r="A123" s="54" t="s">
        <v>3781</v>
      </c>
      <c r="B123" s="55" t="s">
        <v>4253</v>
      </c>
      <c r="C123" s="56" t="s">
        <v>4849</v>
      </c>
      <c r="E123" t="s">
        <v>4872</v>
      </c>
      <c r="F123" t="s">
        <v>4961</v>
      </c>
      <c r="Z123" s="69" t="s">
        <v>4962</v>
      </c>
      <c r="AB123" t="s">
        <v>4827</v>
      </c>
      <c r="AC123" t="s">
        <v>4963</v>
      </c>
      <c r="AF123" t="s">
        <v>3943</v>
      </c>
      <c r="AG123" t="s">
        <v>4296</v>
      </c>
      <c r="AH123" t="s">
        <v>4943</v>
      </c>
      <c r="AQ123" t="s">
        <v>4952</v>
      </c>
      <c r="DI123" t="s">
        <v>3640</v>
      </c>
      <c r="DJ123" t="s">
        <v>3641</v>
      </c>
      <c r="DK123" t="s">
        <v>3642</v>
      </c>
      <c r="DL123" t="s">
        <v>3894</v>
      </c>
      <c r="EB123" t="s">
        <v>4787</v>
      </c>
      <c r="FJ123" t="s">
        <v>4964</v>
      </c>
    </row>
    <row r="124" spans="1:166" ht="14.4" x14ac:dyDescent="0.3">
      <c r="A124" s="54" t="s">
        <v>3781</v>
      </c>
      <c r="B124" s="55" t="s">
        <v>4253</v>
      </c>
      <c r="C124" s="56" t="s">
        <v>4856</v>
      </c>
      <c r="E124" t="s">
        <v>4877</v>
      </c>
      <c r="F124" t="s">
        <v>4965</v>
      </c>
      <c r="Z124" s="69" t="s">
        <v>4966</v>
      </c>
      <c r="AB124" t="s">
        <v>4833</v>
      </c>
      <c r="AF124" t="s">
        <v>3943</v>
      </c>
      <c r="AG124" t="s">
        <v>4313</v>
      </c>
      <c r="AH124" t="s">
        <v>4967</v>
      </c>
      <c r="AQ124" t="s">
        <v>4967</v>
      </c>
      <c r="DI124" t="s">
        <v>3640</v>
      </c>
      <c r="DJ124" t="s">
        <v>3641</v>
      </c>
      <c r="DK124" t="s">
        <v>3733</v>
      </c>
      <c r="DL124" t="s">
        <v>3733</v>
      </c>
      <c r="EB124" t="s">
        <v>4339</v>
      </c>
      <c r="FJ124" t="s">
        <v>4968</v>
      </c>
    </row>
    <row r="125" spans="1:166" ht="14.4" x14ac:dyDescent="0.3">
      <c r="A125" s="54" t="s">
        <v>3691</v>
      </c>
      <c r="B125" s="55" t="s">
        <v>3707</v>
      </c>
      <c r="C125" s="56" t="s">
        <v>4864</v>
      </c>
      <c r="E125" t="s">
        <v>4883</v>
      </c>
      <c r="F125" t="s">
        <v>4969</v>
      </c>
      <c r="Z125" t="s">
        <v>4827</v>
      </c>
      <c r="AB125" t="s">
        <v>4839</v>
      </c>
      <c r="AC125" t="s">
        <v>4936</v>
      </c>
      <c r="AF125" t="s">
        <v>3943</v>
      </c>
      <c r="AG125" t="s">
        <v>4313</v>
      </c>
      <c r="AH125" t="s">
        <v>4970</v>
      </c>
      <c r="AQ125" t="s">
        <v>4971</v>
      </c>
      <c r="DI125" t="s">
        <v>3640</v>
      </c>
      <c r="DJ125" t="s">
        <v>3641</v>
      </c>
      <c r="DK125" t="s">
        <v>4016</v>
      </c>
      <c r="DL125" t="s">
        <v>4017</v>
      </c>
      <c r="FJ125" t="s">
        <v>4972</v>
      </c>
    </row>
    <row r="126" spans="1:166" ht="14.4" x14ac:dyDescent="0.3">
      <c r="A126" s="54" t="s">
        <v>3691</v>
      </c>
      <c r="B126" s="55" t="s">
        <v>3707</v>
      </c>
      <c r="C126" s="56" t="s">
        <v>4869</v>
      </c>
      <c r="E126" t="s">
        <v>4829</v>
      </c>
      <c r="F126" t="s">
        <v>4973</v>
      </c>
      <c r="Z126" s="69" t="s">
        <v>4833</v>
      </c>
      <c r="AB126" t="s">
        <v>4844</v>
      </c>
      <c r="AC126" t="s">
        <v>4963</v>
      </c>
      <c r="AF126" t="s">
        <v>3943</v>
      </c>
      <c r="AG126" t="s">
        <v>4313</v>
      </c>
      <c r="AH126" t="s">
        <v>4974</v>
      </c>
      <c r="AQ126" t="s">
        <v>4970</v>
      </c>
      <c r="DI126" t="s">
        <v>3640</v>
      </c>
      <c r="DJ126" t="s">
        <v>3641</v>
      </c>
      <c r="DK126" t="s">
        <v>4016</v>
      </c>
      <c r="DL126" t="s">
        <v>4053</v>
      </c>
      <c r="FJ126" t="s">
        <v>4975</v>
      </c>
    </row>
    <row r="127" spans="1:166" ht="14.4" x14ac:dyDescent="0.3">
      <c r="A127" s="54" t="s">
        <v>3864</v>
      </c>
      <c r="B127" s="55" t="s">
        <v>4290</v>
      </c>
      <c r="C127" s="56" t="s">
        <v>4677</v>
      </c>
      <c r="E127" t="s">
        <v>4835</v>
      </c>
      <c r="F127" t="s">
        <v>4976</v>
      </c>
      <c r="Z127" s="69" t="s">
        <v>4977</v>
      </c>
      <c r="AB127" t="s">
        <v>4849</v>
      </c>
      <c r="AC127" t="s">
        <v>4941</v>
      </c>
      <c r="AF127" t="s">
        <v>3943</v>
      </c>
      <c r="AG127" t="s">
        <v>4313</v>
      </c>
      <c r="AH127" t="s">
        <v>4978</v>
      </c>
      <c r="AQ127" t="s">
        <v>4974</v>
      </c>
      <c r="DI127" t="s">
        <v>3640</v>
      </c>
      <c r="DJ127" t="s">
        <v>3641</v>
      </c>
      <c r="DK127" t="s">
        <v>4016</v>
      </c>
      <c r="DL127" t="s">
        <v>4087</v>
      </c>
      <c r="FJ127" t="s">
        <v>4979</v>
      </c>
    </row>
    <row r="128" spans="1:166" ht="14.4" x14ac:dyDescent="0.3">
      <c r="A128" s="54" t="s">
        <v>3864</v>
      </c>
      <c r="B128" s="55" t="s">
        <v>4290</v>
      </c>
      <c r="C128" s="56" t="s">
        <v>4685</v>
      </c>
      <c r="E128" t="s">
        <v>4841</v>
      </c>
      <c r="F128" t="s">
        <v>4980</v>
      </c>
      <c r="Z128" t="s">
        <v>4839</v>
      </c>
      <c r="AB128" t="s">
        <v>4856</v>
      </c>
      <c r="AF128" t="s">
        <v>3943</v>
      </c>
      <c r="AG128" t="s">
        <v>4313</v>
      </c>
      <c r="AH128" t="s">
        <v>4981</v>
      </c>
      <c r="AQ128" t="s">
        <v>4978</v>
      </c>
      <c r="DI128" t="s">
        <v>3640</v>
      </c>
      <c r="DJ128" t="s">
        <v>3641</v>
      </c>
      <c r="DK128" t="s">
        <v>4016</v>
      </c>
      <c r="DL128" t="s">
        <v>4119</v>
      </c>
      <c r="FJ128" t="s">
        <v>4744</v>
      </c>
    </row>
    <row r="129" spans="1:166" ht="14.4" x14ac:dyDescent="0.3">
      <c r="A129" s="54" t="s">
        <v>3864</v>
      </c>
      <c r="B129" s="55" t="s">
        <v>4290</v>
      </c>
      <c r="C129" s="56" t="s">
        <v>4690</v>
      </c>
      <c r="E129" t="s">
        <v>4846</v>
      </c>
      <c r="F129" t="s">
        <v>4982</v>
      </c>
      <c r="Z129" s="69" t="s">
        <v>4983</v>
      </c>
      <c r="AB129" t="s">
        <v>4856</v>
      </c>
      <c r="AC129" t="s">
        <v>4936</v>
      </c>
      <c r="AF129" t="s">
        <v>3943</v>
      </c>
      <c r="AG129" t="s">
        <v>4313</v>
      </c>
      <c r="AH129" t="s">
        <v>4984</v>
      </c>
      <c r="AQ129" t="s">
        <v>4981</v>
      </c>
      <c r="DI129" t="s">
        <v>3640</v>
      </c>
      <c r="DJ129" t="s">
        <v>3641</v>
      </c>
      <c r="DK129" t="s">
        <v>4016</v>
      </c>
      <c r="DL129" t="s">
        <v>4149</v>
      </c>
      <c r="FJ129" t="s">
        <v>4985</v>
      </c>
    </row>
    <row r="130" spans="1:166" ht="14.4" x14ac:dyDescent="0.3">
      <c r="A130" s="54" t="s">
        <v>3864</v>
      </c>
      <c r="B130" s="55" t="s">
        <v>4290</v>
      </c>
      <c r="C130" s="56" t="s">
        <v>4696</v>
      </c>
      <c r="E130" t="s">
        <v>4851</v>
      </c>
      <c r="F130" t="s">
        <v>4986</v>
      </c>
      <c r="Z130" s="69" t="s">
        <v>4987</v>
      </c>
      <c r="AB130" t="s">
        <v>4677</v>
      </c>
      <c r="AC130" t="s">
        <v>4988</v>
      </c>
      <c r="AF130" t="s">
        <v>3943</v>
      </c>
      <c r="AG130" t="s">
        <v>4313</v>
      </c>
      <c r="AH130" t="s">
        <v>4989</v>
      </c>
      <c r="AQ130" t="s">
        <v>4984</v>
      </c>
      <c r="DI130" t="s">
        <v>3640</v>
      </c>
      <c r="DJ130" t="s">
        <v>3641</v>
      </c>
      <c r="DK130" t="s">
        <v>4016</v>
      </c>
      <c r="DL130" t="s">
        <v>4174</v>
      </c>
      <c r="FJ130" t="s">
        <v>4990</v>
      </c>
    </row>
    <row r="131" spans="1:166" ht="14.4" x14ac:dyDescent="0.3">
      <c r="A131" s="54" t="s">
        <v>3691</v>
      </c>
      <c r="B131" s="55" t="s">
        <v>4307</v>
      </c>
      <c r="C131" s="56" t="s">
        <v>4556</v>
      </c>
      <c r="E131" t="s">
        <v>4858</v>
      </c>
      <c r="F131" t="s">
        <v>4991</v>
      </c>
      <c r="Z131" t="s">
        <v>4677</v>
      </c>
      <c r="AB131" t="s">
        <v>4685</v>
      </c>
      <c r="AC131" t="s">
        <v>4992</v>
      </c>
      <c r="AF131" t="s">
        <v>3943</v>
      </c>
      <c r="AG131" t="s">
        <v>4313</v>
      </c>
      <c r="AH131" t="s">
        <v>4993</v>
      </c>
      <c r="AQ131" t="s">
        <v>4989</v>
      </c>
      <c r="DI131" t="s">
        <v>3640</v>
      </c>
      <c r="DJ131" t="s">
        <v>3641</v>
      </c>
      <c r="DK131" t="s">
        <v>4016</v>
      </c>
      <c r="DL131" t="s">
        <v>4196</v>
      </c>
      <c r="FJ131" t="s">
        <v>4994</v>
      </c>
    </row>
    <row r="132" spans="1:166" ht="14.4" x14ac:dyDescent="0.3">
      <c r="A132" s="86" t="s">
        <v>3691</v>
      </c>
      <c r="B132" s="87" t="s">
        <v>4307</v>
      </c>
      <c r="C132" s="88" t="s">
        <v>4565</v>
      </c>
      <c r="E132" t="s">
        <v>4864</v>
      </c>
      <c r="F132" t="s">
        <v>4995</v>
      </c>
      <c r="Z132" t="s">
        <v>4685</v>
      </c>
      <c r="AB132" t="s">
        <v>4690</v>
      </c>
      <c r="AC132" t="s">
        <v>4996</v>
      </c>
      <c r="AF132" t="s">
        <v>3943</v>
      </c>
      <c r="AG132" t="s">
        <v>4313</v>
      </c>
      <c r="AH132" t="s">
        <v>4971</v>
      </c>
      <c r="AQ132" t="s">
        <v>4993</v>
      </c>
      <c r="DI132" t="s">
        <v>3640</v>
      </c>
      <c r="DJ132" t="s">
        <v>3641</v>
      </c>
      <c r="DK132" t="s">
        <v>4016</v>
      </c>
      <c r="DL132" t="s">
        <v>4221</v>
      </c>
      <c r="FJ132" t="s">
        <v>4997</v>
      </c>
    </row>
    <row r="133" spans="1:166" ht="14.4" x14ac:dyDescent="0.3">
      <c r="A133" s="54" t="s">
        <v>3691</v>
      </c>
      <c r="B133" s="55" t="s">
        <v>4307</v>
      </c>
      <c r="C133" s="56" t="s">
        <v>4571</v>
      </c>
      <c r="E133" t="s">
        <v>4869</v>
      </c>
      <c r="F133" t="s">
        <v>4998</v>
      </c>
      <c r="Z133" t="s">
        <v>4690</v>
      </c>
      <c r="AB133" t="s">
        <v>4696</v>
      </c>
      <c r="AC133" t="s">
        <v>4999</v>
      </c>
      <c r="AF133" t="s">
        <v>3943</v>
      </c>
      <c r="AG133" t="s">
        <v>4313</v>
      </c>
      <c r="AH133" t="s">
        <v>5000</v>
      </c>
      <c r="AQ133" t="s">
        <v>5000</v>
      </c>
      <c r="DI133" t="s">
        <v>3640</v>
      </c>
      <c r="DJ133" t="s">
        <v>3641</v>
      </c>
      <c r="DK133" t="s">
        <v>4016</v>
      </c>
      <c r="DL133" t="s">
        <v>4243</v>
      </c>
      <c r="FJ133" t="s">
        <v>5001</v>
      </c>
    </row>
    <row r="134" spans="1:166" ht="14.4" x14ac:dyDescent="0.3">
      <c r="A134" s="54" t="s">
        <v>3691</v>
      </c>
      <c r="B134" s="55" t="s">
        <v>4307</v>
      </c>
      <c r="C134" s="56" t="s">
        <v>4576</v>
      </c>
      <c r="E134" t="s">
        <v>5002</v>
      </c>
      <c r="F134" t="s">
        <v>5003</v>
      </c>
      <c r="Z134" t="s">
        <v>4696</v>
      </c>
      <c r="AB134" s="69" t="s">
        <v>2142</v>
      </c>
      <c r="AF134" t="s">
        <v>3943</v>
      </c>
      <c r="AG134" t="s">
        <v>4313</v>
      </c>
      <c r="AH134" t="s">
        <v>5004</v>
      </c>
      <c r="AQ134" t="s">
        <v>5004</v>
      </c>
      <c r="DI134" t="s">
        <v>3640</v>
      </c>
      <c r="DJ134" t="s">
        <v>3641</v>
      </c>
      <c r="DK134" t="s">
        <v>4016</v>
      </c>
      <c r="DL134" t="s">
        <v>4262</v>
      </c>
      <c r="FJ134" t="s">
        <v>5005</v>
      </c>
    </row>
    <row r="135" spans="1:166" ht="14.4" x14ac:dyDescent="0.3">
      <c r="A135" s="54" t="s">
        <v>3691</v>
      </c>
      <c r="B135" s="55" t="s">
        <v>4307</v>
      </c>
      <c r="C135" s="88" t="s">
        <v>4584</v>
      </c>
      <c r="E135" t="s">
        <v>5006</v>
      </c>
      <c r="F135" t="s">
        <v>5007</v>
      </c>
      <c r="AF135" t="s">
        <v>3943</v>
      </c>
      <c r="AG135" t="s">
        <v>4313</v>
      </c>
      <c r="AH135" t="s">
        <v>5008</v>
      </c>
      <c r="AQ135" t="s">
        <v>5008</v>
      </c>
      <c r="DI135" t="s">
        <v>3640</v>
      </c>
      <c r="DJ135" t="s">
        <v>3641</v>
      </c>
      <c r="DK135" t="s">
        <v>4016</v>
      </c>
      <c r="DL135" t="s">
        <v>4281</v>
      </c>
      <c r="FJ135" t="s">
        <v>5009</v>
      </c>
    </row>
    <row r="136" spans="1:166" ht="14.4" x14ac:dyDescent="0.3">
      <c r="E136" t="s">
        <v>5010</v>
      </c>
      <c r="F136" t="s">
        <v>5011</v>
      </c>
      <c r="AF136" t="s">
        <v>3943</v>
      </c>
      <c r="AG136" t="s">
        <v>4324</v>
      </c>
      <c r="AH136" t="s">
        <v>5012</v>
      </c>
      <c r="AQ136" t="s">
        <v>5012</v>
      </c>
      <c r="DI136" t="s">
        <v>3640</v>
      </c>
      <c r="DJ136" t="s">
        <v>3641</v>
      </c>
      <c r="DK136" t="s">
        <v>4016</v>
      </c>
      <c r="DL136" t="s">
        <v>4298</v>
      </c>
      <c r="FJ136" t="s">
        <v>5013</v>
      </c>
    </row>
    <row r="137" spans="1:166" ht="14.4" x14ac:dyDescent="0.3">
      <c r="E137" t="s">
        <v>5014</v>
      </c>
      <c r="F137" t="s">
        <v>5015</v>
      </c>
      <c r="AF137" t="s">
        <v>3943</v>
      </c>
      <c r="AG137" t="s">
        <v>4324</v>
      </c>
      <c r="AH137" t="s">
        <v>5016</v>
      </c>
      <c r="AQ137" t="s">
        <v>5016</v>
      </c>
      <c r="DI137" t="s">
        <v>3640</v>
      </c>
      <c r="DJ137" t="s">
        <v>3641</v>
      </c>
      <c r="DK137" t="s">
        <v>4016</v>
      </c>
      <c r="DL137" t="s">
        <v>4314</v>
      </c>
      <c r="FJ137" t="s">
        <v>5017</v>
      </c>
    </row>
    <row r="138" spans="1:166" ht="14.4" x14ac:dyDescent="0.3">
      <c r="A138" t="s">
        <v>5018</v>
      </c>
      <c r="E138" t="s">
        <v>5019</v>
      </c>
      <c r="F138" t="s">
        <v>5020</v>
      </c>
      <c r="AB138" t="s">
        <v>5021</v>
      </c>
      <c r="AD138" s="89"/>
      <c r="AF138" t="s">
        <v>3943</v>
      </c>
      <c r="AG138" t="s">
        <v>4324</v>
      </c>
      <c r="AH138" t="s">
        <v>5022</v>
      </c>
      <c r="AQ138" t="s">
        <v>5022</v>
      </c>
      <c r="DI138" t="s">
        <v>3640</v>
      </c>
      <c r="DJ138" t="s">
        <v>3641</v>
      </c>
      <c r="DK138" t="s">
        <v>3898</v>
      </c>
      <c r="DL138" t="s">
        <v>3898</v>
      </c>
      <c r="FJ138" t="s">
        <v>5023</v>
      </c>
    </row>
    <row r="139" spans="1:166" ht="14.4" x14ac:dyDescent="0.3">
      <c r="A139" s="54" t="s">
        <v>3781</v>
      </c>
      <c r="B139" s="55" t="s">
        <v>3937</v>
      </c>
      <c r="C139" s="56" t="s">
        <v>4898</v>
      </c>
      <c r="E139" t="s">
        <v>5024</v>
      </c>
      <c r="F139" t="s">
        <v>5025</v>
      </c>
      <c r="AB139" s="90" t="s">
        <v>4879</v>
      </c>
      <c r="AC139" s="91" t="s">
        <v>5026</v>
      </c>
      <c r="AF139" t="s">
        <v>3943</v>
      </c>
      <c r="AG139" t="s">
        <v>4324</v>
      </c>
      <c r="AH139" t="s">
        <v>5027</v>
      </c>
      <c r="AQ139" t="s">
        <v>5028</v>
      </c>
      <c r="DI139" t="s">
        <v>5029</v>
      </c>
      <c r="DJ139" t="s">
        <v>3644</v>
      </c>
      <c r="DK139" t="s">
        <v>3644</v>
      </c>
      <c r="DL139" t="s">
        <v>3645</v>
      </c>
      <c r="FJ139" t="s">
        <v>5030</v>
      </c>
    </row>
    <row r="140" spans="1:166" ht="14.4" x14ac:dyDescent="0.3">
      <c r="A140" s="54" t="s">
        <v>3781</v>
      </c>
      <c r="B140" s="55" t="s">
        <v>3937</v>
      </c>
      <c r="C140" s="56" t="s">
        <v>4890</v>
      </c>
      <c r="E140" t="s">
        <v>5031</v>
      </c>
      <c r="F140" t="s">
        <v>5032</v>
      </c>
      <c r="AB140" s="92" t="s">
        <v>4885</v>
      </c>
      <c r="AC140" s="93" t="s">
        <v>5026</v>
      </c>
      <c r="AD140" s="89"/>
      <c r="AF140" t="s">
        <v>3943</v>
      </c>
      <c r="AG140" t="s">
        <v>4324</v>
      </c>
      <c r="AH140" t="s">
        <v>5028</v>
      </c>
      <c r="AQ140" t="s">
        <v>5027</v>
      </c>
      <c r="DI140" t="s">
        <v>5029</v>
      </c>
      <c r="DJ140" t="s">
        <v>3644</v>
      </c>
      <c r="DK140" t="s">
        <v>3644</v>
      </c>
      <c r="DL140" t="s">
        <v>3644</v>
      </c>
      <c r="FJ140" t="s">
        <v>5033</v>
      </c>
    </row>
    <row r="141" spans="1:166" ht="14.4" x14ac:dyDescent="0.3">
      <c r="A141" s="54" t="s">
        <v>3781</v>
      </c>
      <c r="B141" s="55" t="s">
        <v>3937</v>
      </c>
      <c r="C141" s="56" t="s">
        <v>4885</v>
      </c>
      <c r="E141" t="s">
        <v>5034</v>
      </c>
      <c r="F141" t="s">
        <v>5035</v>
      </c>
      <c r="AB141" s="90" t="s">
        <v>4890</v>
      </c>
      <c r="AC141" s="91" t="s">
        <v>5026</v>
      </c>
      <c r="AF141" t="s">
        <v>3943</v>
      </c>
      <c r="AG141" t="s">
        <v>4335</v>
      </c>
      <c r="AH141" t="s">
        <v>5036</v>
      </c>
      <c r="AQ141" t="s">
        <v>5036</v>
      </c>
      <c r="DI141" t="s">
        <v>5029</v>
      </c>
      <c r="DJ141" t="s">
        <v>3644</v>
      </c>
      <c r="DK141" t="s">
        <v>3644</v>
      </c>
      <c r="DL141" t="s">
        <v>3730</v>
      </c>
      <c r="FJ141" t="s">
        <v>5037</v>
      </c>
    </row>
    <row r="142" spans="1:166" ht="14.4" x14ac:dyDescent="0.3">
      <c r="A142" s="54" t="s">
        <v>3781</v>
      </c>
      <c r="B142" s="55" t="s">
        <v>3937</v>
      </c>
      <c r="C142" s="56" t="s">
        <v>4895</v>
      </c>
      <c r="E142" t="s">
        <v>5038</v>
      </c>
      <c r="F142" t="s">
        <v>5039</v>
      </c>
      <c r="AB142" s="92" t="s">
        <v>4895</v>
      </c>
      <c r="AC142" s="93" t="s">
        <v>5040</v>
      </c>
      <c r="AD142" s="89"/>
      <c r="AF142" t="s">
        <v>3943</v>
      </c>
      <c r="AG142" t="s">
        <v>4335</v>
      </c>
      <c r="AH142" t="s">
        <v>5041</v>
      </c>
      <c r="AQ142" t="s">
        <v>5041</v>
      </c>
      <c r="DI142" t="s">
        <v>5029</v>
      </c>
      <c r="DJ142" t="s">
        <v>3644</v>
      </c>
      <c r="DK142" t="s">
        <v>3644</v>
      </c>
      <c r="DL142" t="s">
        <v>3818</v>
      </c>
      <c r="FJ142" t="s">
        <v>5042</v>
      </c>
    </row>
    <row r="143" spans="1:166" ht="14.4" x14ac:dyDescent="0.3">
      <c r="A143" s="54" t="s">
        <v>3781</v>
      </c>
      <c r="B143" s="55" t="s">
        <v>3937</v>
      </c>
      <c r="C143" s="56" t="s">
        <v>4879</v>
      </c>
      <c r="E143" t="s">
        <v>5043</v>
      </c>
      <c r="F143" t="s">
        <v>5044</v>
      </c>
      <c r="AB143" s="90" t="s">
        <v>4898</v>
      </c>
      <c r="AC143" s="91" t="s">
        <v>4891</v>
      </c>
      <c r="AD143" s="89"/>
      <c r="AF143" t="s">
        <v>3943</v>
      </c>
      <c r="AG143" t="s">
        <v>4335</v>
      </c>
      <c r="AH143" t="s">
        <v>5045</v>
      </c>
      <c r="AQ143" t="s">
        <v>5045</v>
      </c>
      <c r="DI143" t="s">
        <v>5029</v>
      </c>
      <c r="DJ143" t="s">
        <v>3644</v>
      </c>
      <c r="DK143" t="s">
        <v>3644</v>
      </c>
      <c r="DL143" t="s">
        <v>3895</v>
      </c>
      <c r="FJ143" t="s">
        <v>5046</v>
      </c>
    </row>
    <row r="144" spans="1:166" ht="14.4" x14ac:dyDescent="0.3">
      <c r="A144" s="54" t="s">
        <v>5047</v>
      </c>
      <c r="B144" s="55" t="s">
        <v>3639</v>
      </c>
      <c r="C144" s="94" t="s">
        <v>4499</v>
      </c>
      <c r="E144" t="s">
        <v>5048</v>
      </c>
      <c r="F144" t="s">
        <v>5049</v>
      </c>
      <c r="AB144" s="95" t="s">
        <v>4550</v>
      </c>
      <c r="AC144" s="91"/>
      <c r="AF144" t="s">
        <v>3943</v>
      </c>
      <c r="AG144" t="s">
        <v>4335</v>
      </c>
      <c r="AH144" t="s">
        <v>5050</v>
      </c>
      <c r="AQ144" t="s">
        <v>5050</v>
      </c>
      <c r="DI144" t="s">
        <v>5029</v>
      </c>
      <c r="DJ144" t="s">
        <v>3644</v>
      </c>
      <c r="DK144" t="s">
        <v>3644</v>
      </c>
      <c r="DL144" t="s">
        <v>3936</v>
      </c>
      <c r="FJ144" t="s">
        <v>5051</v>
      </c>
    </row>
    <row r="145" spans="1:166" ht="14.4" x14ac:dyDescent="0.3">
      <c r="A145" s="54" t="s">
        <v>5047</v>
      </c>
      <c r="B145" s="55" t="s">
        <v>3639</v>
      </c>
      <c r="C145" s="94" t="s">
        <v>4550</v>
      </c>
      <c r="E145" t="s">
        <v>5052</v>
      </c>
      <c r="F145" t="s">
        <v>5053</v>
      </c>
      <c r="AB145" s="95" t="s">
        <v>4499</v>
      </c>
      <c r="AC145" s="93"/>
      <c r="AF145" t="s">
        <v>3943</v>
      </c>
      <c r="AG145" t="s">
        <v>4335</v>
      </c>
      <c r="AH145" t="s">
        <v>5054</v>
      </c>
      <c r="AQ145" t="s">
        <v>5054</v>
      </c>
      <c r="DI145" t="s">
        <v>5029</v>
      </c>
      <c r="DJ145" t="s">
        <v>3644</v>
      </c>
      <c r="DK145" t="s">
        <v>3644</v>
      </c>
      <c r="DL145" t="s">
        <v>4018</v>
      </c>
      <c r="FJ145" t="s">
        <v>5055</v>
      </c>
    </row>
    <row r="146" spans="1:166" ht="14.4" x14ac:dyDescent="0.3">
      <c r="A146" s="54" t="s">
        <v>3864</v>
      </c>
      <c r="B146" s="55" t="s">
        <v>4290</v>
      </c>
      <c r="C146" s="94" t="s">
        <v>5056</v>
      </c>
      <c r="E146" t="s">
        <v>5057</v>
      </c>
      <c r="F146" t="s">
        <v>5058</v>
      </c>
      <c r="AB146" s="95" t="s">
        <v>5059</v>
      </c>
      <c r="AC146" s="93"/>
      <c r="AD146" s="89"/>
      <c r="AF146" t="s">
        <v>3943</v>
      </c>
      <c r="AG146" t="s">
        <v>4350</v>
      </c>
      <c r="AH146" t="s">
        <v>5060</v>
      </c>
      <c r="AQ146" t="s">
        <v>5060</v>
      </c>
      <c r="DI146" t="s">
        <v>5029</v>
      </c>
      <c r="DJ146" t="s">
        <v>3644</v>
      </c>
      <c r="DK146" t="s">
        <v>3644</v>
      </c>
      <c r="DL146" t="s">
        <v>4054</v>
      </c>
      <c r="FJ146" t="s">
        <v>5061</v>
      </c>
    </row>
    <row r="147" spans="1:166" ht="14.4" x14ac:dyDescent="0.3">
      <c r="A147" s="54" t="s">
        <v>3781</v>
      </c>
      <c r="B147" s="55" t="s">
        <v>4253</v>
      </c>
      <c r="C147" s="94" t="s">
        <v>4774</v>
      </c>
      <c r="E147" t="s">
        <v>5062</v>
      </c>
      <c r="F147" t="s">
        <v>5063</v>
      </c>
      <c r="AB147" s="95" t="s">
        <v>5064</v>
      </c>
      <c r="AC147" s="91"/>
      <c r="AD147" s="89"/>
      <c r="AF147" t="s">
        <v>3943</v>
      </c>
      <c r="AG147" t="s">
        <v>4350</v>
      </c>
      <c r="AH147" t="s">
        <v>5065</v>
      </c>
      <c r="AQ147" t="s">
        <v>5065</v>
      </c>
      <c r="DI147" t="s">
        <v>5029</v>
      </c>
      <c r="DJ147" t="s">
        <v>3644</v>
      </c>
      <c r="DK147" t="s">
        <v>3644</v>
      </c>
      <c r="DL147" t="s">
        <v>4088</v>
      </c>
      <c r="FJ147" t="s">
        <v>5066</v>
      </c>
    </row>
    <row r="148" spans="1:166" ht="14.4" x14ac:dyDescent="0.3">
      <c r="A148" s="54" t="s">
        <v>3781</v>
      </c>
      <c r="B148" s="55" t="s">
        <v>4253</v>
      </c>
      <c r="C148" s="94" t="s">
        <v>5067</v>
      </c>
      <c r="E148" t="s">
        <v>5068</v>
      </c>
      <c r="F148" t="s">
        <v>5069</v>
      </c>
      <c r="AB148" s="95" t="s">
        <v>5070</v>
      </c>
      <c r="AC148" s="91"/>
      <c r="AD148" s="89"/>
      <c r="AF148" t="s">
        <v>3943</v>
      </c>
      <c r="AG148" t="s">
        <v>4350</v>
      </c>
      <c r="AH148" t="s">
        <v>5071</v>
      </c>
      <c r="AQ148" t="s">
        <v>5071</v>
      </c>
      <c r="DI148" t="s">
        <v>5029</v>
      </c>
      <c r="DJ148" t="s">
        <v>3644</v>
      </c>
      <c r="DK148" t="s">
        <v>3644</v>
      </c>
      <c r="DL148" t="s">
        <v>4120</v>
      </c>
      <c r="FJ148" t="s">
        <v>5072</v>
      </c>
    </row>
    <row r="149" spans="1:166" ht="14.4" x14ac:dyDescent="0.3">
      <c r="A149" s="54" t="s">
        <v>3781</v>
      </c>
      <c r="B149" s="55" t="s">
        <v>4253</v>
      </c>
      <c r="C149" s="94" t="s">
        <v>5073</v>
      </c>
      <c r="E149" t="s">
        <v>5074</v>
      </c>
      <c r="F149" t="s">
        <v>5075</v>
      </c>
      <c r="AB149" s="95" t="s">
        <v>5076</v>
      </c>
      <c r="AC149" s="91"/>
      <c r="AF149" t="s">
        <v>3943</v>
      </c>
      <c r="AG149" t="s">
        <v>4350</v>
      </c>
      <c r="AH149" t="s">
        <v>5077</v>
      </c>
      <c r="AQ149" t="s">
        <v>5077</v>
      </c>
      <c r="DI149" t="s">
        <v>5029</v>
      </c>
      <c r="DJ149" t="s">
        <v>3644</v>
      </c>
      <c r="DK149" t="s">
        <v>3644</v>
      </c>
      <c r="DL149" t="s">
        <v>4150</v>
      </c>
      <c r="FJ149" t="s">
        <v>5078</v>
      </c>
    </row>
    <row r="150" spans="1:166" ht="14.4" x14ac:dyDescent="0.3">
      <c r="A150" s="54" t="s">
        <v>3781</v>
      </c>
      <c r="B150" s="55" t="s">
        <v>4253</v>
      </c>
      <c r="C150" s="94" t="s">
        <v>5079</v>
      </c>
      <c r="E150" t="s">
        <v>5080</v>
      </c>
      <c r="F150" t="s">
        <v>5081</v>
      </c>
      <c r="AB150" s="95" t="s">
        <v>5082</v>
      </c>
      <c r="AC150" s="93" t="s">
        <v>4963</v>
      </c>
      <c r="AD150" s="89"/>
      <c r="AF150" t="s">
        <v>3943</v>
      </c>
      <c r="AG150" t="s">
        <v>4350</v>
      </c>
      <c r="AH150" t="s">
        <v>5083</v>
      </c>
      <c r="AQ150" t="s">
        <v>5083</v>
      </c>
      <c r="DI150" t="s">
        <v>3640</v>
      </c>
      <c r="DJ150" t="s">
        <v>3641</v>
      </c>
      <c r="DK150" t="s">
        <v>4020</v>
      </c>
      <c r="DL150" t="s">
        <v>4338</v>
      </c>
      <c r="FJ150" t="s">
        <v>5084</v>
      </c>
    </row>
    <row r="151" spans="1:166" ht="14.4" x14ac:dyDescent="0.3">
      <c r="A151" s="54" t="s">
        <v>3781</v>
      </c>
      <c r="B151" s="55" t="s">
        <v>4253</v>
      </c>
      <c r="C151" s="94" t="s">
        <v>4966</v>
      </c>
      <c r="E151" t="s">
        <v>5085</v>
      </c>
      <c r="F151" t="s">
        <v>5086</v>
      </c>
      <c r="AB151" s="95" t="s">
        <v>5087</v>
      </c>
      <c r="AC151" s="91"/>
      <c r="AD151" s="89"/>
      <c r="AF151" t="s">
        <v>3943</v>
      </c>
      <c r="AG151" t="s">
        <v>4365</v>
      </c>
      <c r="AH151" t="s">
        <v>5088</v>
      </c>
      <c r="AQ151" t="s">
        <v>5088</v>
      </c>
      <c r="DI151" t="s">
        <v>3640</v>
      </c>
      <c r="DJ151" t="s">
        <v>3641</v>
      </c>
      <c r="DK151" t="s">
        <v>4056</v>
      </c>
      <c r="DL151" t="s">
        <v>4353</v>
      </c>
      <c r="FJ151" t="s">
        <v>5089</v>
      </c>
    </row>
    <row r="152" spans="1:166" ht="14.4" x14ac:dyDescent="0.3">
      <c r="A152" s="54" t="s">
        <v>3781</v>
      </c>
      <c r="B152" s="55" t="s">
        <v>4253</v>
      </c>
      <c r="C152" s="94" t="s">
        <v>5090</v>
      </c>
      <c r="E152" t="s">
        <v>5091</v>
      </c>
      <c r="F152" t="s">
        <v>5092</v>
      </c>
      <c r="AB152" s="95" t="s">
        <v>5093</v>
      </c>
      <c r="AC152" s="91" t="s">
        <v>5094</v>
      </c>
      <c r="AD152" s="89"/>
      <c r="AF152" t="s">
        <v>3943</v>
      </c>
      <c r="AG152" t="s">
        <v>4365</v>
      </c>
      <c r="AH152" t="s">
        <v>5095</v>
      </c>
      <c r="AQ152" t="s">
        <v>5095</v>
      </c>
      <c r="DI152" t="s">
        <v>3640</v>
      </c>
      <c r="DJ152" t="s">
        <v>3641</v>
      </c>
      <c r="DK152" t="s">
        <v>4056</v>
      </c>
      <c r="DL152" t="s">
        <v>4368</v>
      </c>
      <c r="FJ152" t="s">
        <v>5096</v>
      </c>
    </row>
    <row r="153" spans="1:166" ht="14.4" x14ac:dyDescent="0.3">
      <c r="A153" s="54" t="s">
        <v>3781</v>
      </c>
      <c r="B153" s="55" t="s">
        <v>4253</v>
      </c>
      <c r="C153" s="94" t="s">
        <v>4987</v>
      </c>
      <c r="E153" t="s">
        <v>5097</v>
      </c>
      <c r="F153" t="s">
        <v>5098</v>
      </c>
      <c r="AB153" s="90" t="s">
        <v>5099</v>
      </c>
      <c r="AC153" s="91" t="s">
        <v>4963</v>
      </c>
      <c r="AF153" t="s">
        <v>3943</v>
      </c>
      <c r="AG153" t="s">
        <v>4365</v>
      </c>
      <c r="AH153" t="s">
        <v>5100</v>
      </c>
      <c r="AQ153" t="s">
        <v>5100</v>
      </c>
      <c r="DI153" t="s">
        <v>3640</v>
      </c>
      <c r="DJ153" t="s">
        <v>3641</v>
      </c>
      <c r="DK153" t="s">
        <v>4056</v>
      </c>
      <c r="DL153" t="s">
        <v>4166</v>
      </c>
      <c r="FJ153" t="s">
        <v>5101</v>
      </c>
    </row>
    <row r="154" spans="1:166" ht="14.4" x14ac:dyDescent="0.3">
      <c r="E154" t="s">
        <v>5102</v>
      </c>
      <c r="F154" t="s">
        <v>5103</v>
      </c>
      <c r="AF154" t="s">
        <v>3943</v>
      </c>
      <c r="AG154" t="s">
        <v>4365</v>
      </c>
      <c r="AH154" t="s">
        <v>5104</v>
      </c>
      <c r="AQ154" t="s">
        <v>5104</v>
      </c>
      <c r="DI154" t="s">
        <v>3640</v>
      </c>
      <c r="DJ154" t="s">
        <v>3641</v>
      </c>
      <c r="DK154" t="s">
        <v>4056</v>
      </c>
      <c r="DL154" t="s">
        <v>4235</v>
      </c>
      <c r="FJ154" t="s">
        <v>5105</v>
      </c>
    </row>
    <row r="155" spans="1:166" ht="14.4" x14ac:dyDescent="0.3">
      <c r="E155" t="s">
        <v>5106</v>
      </c>
      <c r="F155" t="s">
        <v>5107</v>
      </c>
      <c r="AF155" t="s">
        <v>3943</v>
      </c>
      <c r="AG155" t="s">
        <v>4379</v>
      </c>
      <c r="AH155" t="s">
        <v>5108</v>
      </c>
      <c r="AQ155" t="s">
        <v>5108</v>
      </c>
      <c r="DI155" t="s">
        <v>3640</v>
      </c>
      <c r="DJ155" t="s">
        <v>3641</v>
      </c>
      <c r="DK155" t="s">
        <v>4056</v>
      </c>
      <c r="DL155" t="s">
        <v>4398</v>
      </c>
      <c r="FJ155" t="s">
        <v>5109</v>
      </c>
    </row>
    <row r="156" spans="1:166" ht="14.4" x14ac:dyDescent="0.3">
      <c r="E156" t="s">
        <v>5110</v>
      </c>
      <c r="F156" t="s">
        <v>5111</v>
      </c>
      <c r="AF156" t="s">
        <v>3943</v>
      </c>
      <c r="AG156" t="s">
        <v>4379</v>
      </c>
      <c r="AH156" t="s">
        <v>5112</v>
      </c>
      <c r="AQ156" t="s">
        <v>5112</v>
      </c>
      <c r="DI156" t="s">
        <v>3640</v>
      </c>
      <c r="DJ156" t="s">
        <v>3641</v>
      </c>
      <c r="DK156" t="s">
        <v>4090</v>
      </c>
      <c r="DL156" t="s">
        <v>4408</v>
      </c>
      <c r="FJ156" t="s">
        <v>5113</v>
      </c>
    </row>
    <row r="157" spans="1:166" ht="14.4" x14ac:dyDescent="0.3">
      <c r="E157" t="s">
        <v>5114</v>
      </c>
      <c r="F157" t="s">
        <v>5115</v>
      </c>
      <c r="AF157" t="s">
        <v>3943</v>
      </c>
      <c r="AG157" t="s">
        <v>4379</v>
      </c>
      <c r="AH157" t="s">
        <v>5116</v>
      </c>
      <c r="AQ157" t="s">
        <v>5116</v>
      </c>
      <c r="DI157" t="s">
        <v>3640</v>
      </c>
      <c r="DJ157" t="s">
        <v>3641</v>
      </c>
      <c r="DK157" t="s">
        <v>4090</v>
      </c>
      <c r="DL157" t="s">
        <v>4419</v>
      </c>
      <c r="FJ157" t="s">
        <v>5117</v>
      </c>
    </row>
    <row r="158" spans="1:166" ht="14.4" x14ac:dyDescent="0.3">
      <c r="E158" t="s">
        <v>5118</v>
      </c>
      <c r="F158" t="s">
        <v>5119</v>
      </c>
      <c r="DI158" t="s">
        <v>3640</v>
      </c>
      <c r="DJ158" t="s">
        <v>3641</v>
      </c>
      <c r="DK158" t="s">
        <v>4122</v>
      </c>
      <c r="DL158" t="s">
        <v>4429</v>
      </c>
      <c r="FJ158" t="s">
        <v>3867</v>
      </c>
    </row>
    <row r="159" spans="1:166" ht="14.4" x14ac:dyDescent="0.3">
      <c r="E159" t="s">
        <v>5120</v>
      </c>
      <c r="F159" t="s">
        <v>5121</v>
      </c>
      <c r="DI159" t="s">
        <v>3640</v>
      </c>
      <c r="DJ159" t="s">
        <v>3641</v>
      </c>
      <c r="DK159" t="s">
        <v>4122</v>
      </c>
      <c r="DL159" t="s">
        <v>4438</v>
      </c>
      <c r="FJ159" t="s">
        <v>5122</v>
      </c>
    </row>
    <row r="160" spans="1:166" ht="14.4" x14ac:dyDescent="0.3">
      <c r="E160" t="s">
        <v>5123</v>
      </c>
      <c r="F160" t="s">
        <v>5124</v>
      </c>
      <c r="DI160" t="s">
        <v>3640</v>
      </c>
      <c r="DJ160" t="s">
        <v>3641</v>
      </c>
      <c r="DK160" t="s">
        <v>4122</v>
      </c>
      <c r="DL160" t="s">
        <v>4449</v>
      </c>
      <c r="FJ160" t="s">
        <v>5125</v>
      </c>
    </row>
    <row r="161" spans="5:166" ht="14.4" x14ac:dyDescent="0.3">
      <c r="E161" t="s">
        <v>5126</v>
      </c>
      <c r="F161" t="s">
        <v>5127</v>
      </c>
      <c r="DI161" t="s">
        <v>3640</v>
      </c>
      <c r="DJ161" t="s">
        <v>3641</v>
      </c>
      <c r="DK161" t="s">
        <v>4152</v>
      </c>
      <c r="DL161" t="s">
        <v>4459</v>
      </c>
      <c r="FJ161" t="s">
        <v>5128</v>
      </c>
    </row>
    <row r="162" spans="5:166" ht="14.4" x14ac:dyDescent="0.3">
      <c r="E162" t="s">
        <v>5129</v>
      </c>
      <c r="F162" t="s">
        <v>5130</v>
      </c>
      <c r="DI162" t="s">
        <v>3640</v>
      </c>
      <c r="DJ162" t="s">
        <v>3641</v>
      </c>
      <c r="DK162" t="s">
        <v>4152</v>
      </c>
      <c r="DL162" t="s">
        <v>4354</v>
      </c>
      <c r="FJ162" t="s">
        <v>5131</v>
      </c>
    </row>
    <row r="163" spans="5:166" ht="14.4" x14ac:dyDescent="0.3">
      <c r="E163" t="s">
        <v>5132</v>
      </c>
      <c r="F163" t="s">
        <v>5133</v>
      </c>
      <c r="DI163" t="s">
        <v>3640</v>
      </c>
      <c r="DJ163" t="s">
        <v>3641</v>
      </c>
      <c r="DK163" t="s">
        <v>4176</v>
      </c>
      <c r="DL163" t="s">
        <v>4477</v>
      </c>
      <c r="FJ163" t="s">
        <v>5134</v>
      </c>
    </row>
    <row r="164" spans="5:166" ht="14.4" x14ac:dyDescent="0.3">
      <c r="E164" t="s">
        <v>5135</v>
      </c>
      <c r="F164" t="s">
        <v>5136</v>
      </c>
      <c r="DI164" t="s">
        <v>3640</v>
      </c>
      <c r="DJ164" t="s">
        <v>3641</v>
      </c>
      <c r="DK164" t="s">
        <v>4176</v>
      </c>
      <c r="DL164" t="s">
        <v>4486</v>
      </c>
      <c r="FJ164" t="s">
        <v>5137</v>
      </c>
    </row>
    <row r="165" spans="5:166" ht="14.4" x14ac:dyDescent="0.3">
      <c r="E165" t="s">
        <v>5138</v>
      </c>
      <c r="F165" t="s">
        <v>5139</v>
      </c>
      <c r="DI165" t="s">
        <v>3640</v>
      </c>
      <c r="DJ165" t="s">
        <v>3641</v>
      </c>
      <c r="DK165" t="s">
        <v>4176</v>
      </c>
      <c r="DL165" t="s">
        <v>4494</v>
      </c>
      <c r="FJ165" t="s">
        <v>5140</v>
      </c>
    </row>
    <row r="166" spans="5:166" ht="14.4" x14ac:dyDescent="0.3">
      <c r="E166" t="s">
        <v>5141</v>
      </c>
      <c r="F166" t="s">
        <v>5142</v>
      </c>
      <c r="DI166" t="s">
        <v>3640</v>
      </c>
      <c r="DJ166" t="s">
        <v>3641</v>
      </c>
      <c r="DK166" t="s">
        <v>4176</v>
      </c>
      <c r="DL166" t="s">
        <v>4502</v>
      </c>
      <c r="FJ166" t="s">
        <v>5143</v>
      </c>
    </row>
    <row r="167" spans="5:166" ht="14.4" x14ac:dyDescent="0.3">
      <c r="E167" t="s">
        <v>5144</v>
      </c>
      <c r="F167" t="s">
        <v>5145</v>
      </c>
      <c r="DI167" t="s">
        <v>3640</v>
      </c>
      <c r="DJ167" t="s">
        <v>3641</v>
      </c>
      <c r="DK167" t="s">
        <v>4176</v>
      </c>
      <c r="DL167" t="s">
        <v>4509</v>
      </c>
      <c r="FJ167" t="s">
        <v>5146</v>
      </c>
    </row>
    <row r="168" spans="5:166" ht="14.4" x14ac:dyDescent="0.3">
      <c r="E168" t="s">
        <v>5147</v>
      </c>
      <c r="F168" t="s">
        <v>5148</v>
      </c>
      <c r="DI168" t="s">
        <v>3640</v>
      </c>
      <c r="DJ168" t="s">
        <v>3641</v>
      </c>
      <c r="DK168" t="s">
        <v>4176</v>
      </c>
      <c r="DL168" t="s">
        <v>4176</v>
      </c>
      <c r="FJ168" t="s">
        <v>5149</v>
      </c>
    </row>
    <row r="169" spans="5:166" ht="14.4" x14ac:dyDescent="0.3">
      <c r="E169" t="s">
        <v>5150</v>
      </c>
      <c r="F169" t="s">
        <v>5151</v>
      </c>
      <c r="DI169" t="s">
        <v>3640</v>
      </c>
      <c r="DJ169" t="s">
        <v>3641</v>
      </c>
      <c r="DK169" t="s">
        <v>4176</v>
      </c>
      <c r="DL169" t="s">
        <v>4516</v>
      </c>
      <c r="FJ169" t="s">
        <v>5152</v>
      </c>
    </row>
    <row r="170" spans="5:166" ht="14.4" x14ac:dyDescent="0.3">
      <c r="E170" t="s">
        <v>5153</v>
      </c>
      <c r="F170" t="s">
        <v>5154</v>
      </c>
      <c r="DI170" t="s">
        <v>3640</v>
      </c>
      <c r="DJ170" t="s">
        <v>3641</v>
      </c>
      <c r="DK170" t="s">
        <v>4176</v>
      </c>
      <c r="DL170" t="s">
        <v>4523</v>
      </c>
      <c r="FJ170" t="s">
        <v>5155</v>
      </c>
    </row>
    <row r="171" spans="5:166" ht="14.4" x14ac:dyDescent="0.3">
      <c r="E171" t="s">
        <v>5156</v>
      </c>
      <c r="F171" t="s">
        <v>5157</v>
      </c>
      <c r="DI171" t="s">
        <v>3640</v>
      </c>
      <c r="DJ171" t="s">
        <v>3641</v>
      </c>
      <c r="DK171" t="s">
        <v>4198</v>
      </c>
      <c r="DL171" t="s">
        <v>4530</v>
      </c>
      <c r="FJ171" t="s">
        <v>5158</v>
      </c>
    </row>
    <row r="172" spans="5:166" ht="14.4" x14ac:dyDescent="0.3">
      <c r="E172" t="s">
        <v>5159</v>
      </c>
      <c r="F172" t="s">
        <v>5160</v>
      </c>
      <c r="DI172" t="s">
        <v>3640</v>
      </c>
      <c r="DJ172" t="s">
        <v>3641</v>
      </c>
      <c r="DK172" t="s">
        <v>4198</v>
      </c>
      <c r="DL172" t="s">
        <v>4537</v>
      </c>
      <c r="FJ172" t="s">
        <v>5161</v>
      </c>
    </row>
    <row r="173" spans="5:166" ht="14.4" x14ac:dyDescent="0.3">
      <c r="E173" t="s">
        <v>5162</v>
      </c>
      <c r="F173" t="s">
        <v>5163</v>
      </c>
      <c r="DI173" t="s">
        <v>3640</v>
      </c>
      <c r="DJ173" t="s">
        <v>3641</v>
      </c>
      <c r="DK173" t="s">
        <v>4198</v>
      </c>
      <c r="DL173" t="s">
        <v>4544</v>
      </c>
      <c r="FJ173" t="s">
        <v>5164</v>
      </c>
    </row>
    <row r="174" spans="5:166" ht="14.4" x14ac:dyDescent="0.3">
      <c r="E174" t="s">
        <v>5165</v>
      </c>
      <c r="F174" t="s">
        <v>5166</v>
      </c>
      <c r="DI174" t="s">
        <v>3640</v>
      </c>
      <c r="DJ174" t="s">
        <v>3641</v>
      </c>
      <c r="DK174" t="s">
        <v>4198</v>
      </c>
      <c r="DL174" t="s">
        <v>4552</v>
      </c>
      <c r="FJ174" t="s">
        <v>5167</v>
      </c>
    </row>
    <row r="175" spans="5:166" ht="14.4" x14ac:dyDescent="0.3">
      <c r="E175" t="s">
        <v>5168</v>
      </c>
      <c r="F175" t="s">
        <v>5169</v>
      </c>
      <c r="DI175" t="s">
        <v>3640</v>
      </c>
      <c r="DJ175" t="s">
        <v>3641</v>
      </c>
      <c r="DK175" t="s">
        <v>4223</v>
      </c>
      <c r="DL175" t="s">
        <v>4561</v>
      </c>
      <c r="FJ175" t="s">
        <v>5170</v>
      </c>
    </row>
    <row r="176" spans="5:166" ht="14.4" x14ac:dyDescent="0.3">
      <c r="E176" t="s">
        <v>5171</v>
      </c>
      <c r="F176" t="s">
        <v>5172</v>
      </c>
      <c r="DI176" t="s">
        <v>3640</v>
      </c>
      <c r="DJ176" t="s">
        <v>3641</v>
      </c>
      <c r="DK176" t="s">
        <v>4223</v>
      </c>
      <c r="DL176" t="s">
        <v>4567</v>
      </c>
      <c r="FJ176" t="s">
        <v>5173</v>
      </c>
    </row>
    <row r="177" spans="5:166" ht="14.4" x14ac:dyDescent="0.3">
      <c r="E177" t="s">
        <v>5174</v>
      </c>
      <c r="F177" t="s">
        <v>5175</v>
      </c>
      <c r="DI177" t="s">
        <v>3640</v>
      </c>
      <c r="DJ177" t="s">
        <v>3641</v>
      </c>
      <c r="DK177" t="s">
        <v>4223</v>
      </c>
      <c r="DL177" t="s">
        <v>3649</v>
      </c>
      <c r="FJ177" t="s">
        <v>5176</v>
      </c>
    </row>
    <row r="178" spans="5:166" ht="14.4" x14ac:dyDescent="0.3">
      <c r="E178" t="s">
        <v>5177</v>
      </c>
      <c r="F178" s="70">
        <v>5994</v>
      </c>
      <c r="DI178" t="s">
        <v>3640</v>
      </c>
      <c r="DJ178" t="s">
        <v>3641</v>
      </c>
      <c r="DK178" t="s">
        <v>4223</v>
      </c>
      <c r="DL178" t="s">
        <v>4581</v>
      </c>
      <c r="FJ178" t="s">
        <v>5178</v>
      </c>
    </row>
    <row r="179" spans="5:166" ht="14.4" x14ac:dyDescent="0.3">
      <c r="E179" t="s">
        <v>5179</v>
      </c>
      <c r="F179" t="s">
        <v>5180</v>
      </c>
      <c r="DI179" t="s">
        <v>3640</v>
      </c>
      <c r="DJ179" t="s">
        <v>3641</v>
      </c>
      <c r="DK179" t="s">
        <v>4223</v>
      </c>
      <c r="DL179" t="s">
        <v>4588</v>
      </c>
      <c r="FJ179" t="s">
        <v>5181</v>
      </c>
    </row>
    <row r="180" spans="5:166" ht="14.4" x14ac:dyDescent="0.3">
      <c r="E180" t="s">
        <v>5182</v>
      </c>
      <c r="F180" t="s">
        <v>5183</v>
      </c>
      <c r="DI180" t="s">
        <v>3640</v>
      </c>
      <c r="DJ180" t="s">
        <v>3641</v>
      </c>
      <c r="DK180" t="s">
        <v>4223</v>
      </c>
      <c r="DL180" t="s">
        <v>4593</v>
      </c>
      <c r="FJ180" t="s">
        <v>5184</v>
      </c>
    </row>
    <row r="181" spans="5:166" ht="14.4" x14ac:dyDescent="0.3">
      <c r="E181" t="s">
        <v>5185</v>
      </c>
      <c r="F181" t="s">
        <v>5186</v>
      </c>
      <c r="DI181" t="s">
        <v>3640</v>
      </c>
      <c r="DJ181" t="s">
        <v>3641</v>
      </c>
      <c r="DK181" t="s">
        <v>4223</v>
      </c>
      <c r="DL181" t="s">
        <v>4599</v>
      </c>
      <c r="FJ181" t="s">
        <v>5187</v>
      </c>
    </row>
    <row r="182" spans="5:166" ht="14.4" x14ac:dyDescent="0.3">
      <c r="E182" t="s">
        <v>5188</v>
      </c>
      <c r="F182" t="s">
        <v>5189</v>
      </c>
      <c r="DI182" t="s">
        <v>3640</v>
      </c>
      <c r="DJ182" t="s">
        <v>3641</v>
      </c>
      <c r="DK182" t="s">
        <v>4223</v>
      </c>
      <c r="DL182" t="s">
        <v>4605</v>
      </c>
      <c r="FJ182" t="s">
        <v>5190</v>
      </c>
    </row>
    <row r="183" spans="5:166" ht="14.4" x14ac:dyDescent="0.3">
      <c r="E183" t="s">
        <v>5191</v>
      </c>
      <c r="F183" t="s">
        <v>5192</v>
      </c>
      <c r="DI183" t="s">
        <v>3640</v>
      </c>
      <c r="DJ183" t="s">
        <v>3641</v>
      </c>
      <c r="DK183" t="s">
        <v>4223</v>
      </c>
      <c r="DL183" t="s">
        <v>4611</v>
      </c>
      <c r="FJ183" t="s">
        <v>5193</v>
      </c>
    </row>
    <row r="184" spans="5:166" ht="14.4" x14ac:dyDescent="0.3">
      <c r="E184" t="s">
        <v>5194</v>
      </c>
      <c r="F184" t="s">
        <v>5195</v>
      </c>
      <c r="DI184" t="s">
        <v>3640</v>
      </c>
      <c r="DJ184" t="s">
        <v>3641</v>
      </c>
      <c r="DK184" t="s">
        <v>4223</v>
      </c>
      <c r="DL184" t="s">
        <v>4617</v>
      </c>
      <c r="FJ184" t="s">
        <v>5196</v>
      </c>
    </row>
    <row r="185" spans="5:166" ht="14.4" x14ac:dyDescent="0.3">
      <c r="E185" t="s">
        <v>5197</v>
      </c>
      <c r="F185" t="s">
        <v>5198</v>
      </c>
      <c r="DI185" t="s">
        <v>3640</v>
      </c>
      <c r="DJ185" t="s">
        <v>3641</v>
      </c>
      <c r="DK185" t="s">
        <v>4223</v>
      </c>
      <c r="DL185" t="s">
        <v>3900</v>
      </c>
      <c r="FJ185" t="s">
        <v>5199</v>
      </c>
    </row>
    <row r="186" spans="5:166" ht="14.4" x14ac:dyDescent="0.3">
      <c r="E186" t="s">
        <v>5200</v>
      </c>
      <c r="F186" t="s">
        <v>5201</v>
      </c>
      <c r="DI186" t="s">
        <v>3640</v>
      </c>
      <c r="DJ186" t="s">
        <v>3641</v>
      </c>
      <c r="DK186" t="s">
        <v>4223</v>
      </c>
      <c r="DL186" t="s">
        <v>4627</v>
      </c>
      <c r="FJ186" t="s">
        <v>5202</v>
      </c>
    </row>
    <row r="187" spans="5:166" ht="14.4" x14ac:dyDescent="0.3">
      <c r="E187" t="s">
        <v>5203</v>
      </c>
      <c r="F187" t="s">
        <v>5204</v>
      </c>
      <c r="DI187" t="s">
        <v>3640</v>
      </c>
      <c r="DJ187" t="s">
        <v>3641</v>
      </c>
      <c r="DK187" t="s">
        <v>4223</v>
      </c>
      <c r="DL187" t="s">
        <v>4632</v>
      </c>
      <c r="FJ187" t="s">
        <v>5205</v>
      </c>
    </row>
    <row r="188" spans="5:166" ht="14.4" x14ac:dyDescent="0.3">
      <c r="E188" t="s">
        <v>5206</v>
      </c>
      <c r="F188" t="s">
        <v>5207</v>
      </c>
      <c r="DI188" t="s">
        <v>3640</v>
      </c>
      <c r="DJ188" t="s">
        <v>3641</v>
      </c>
      <c r="DK188" t="s">
        <v>4223</v>
      </c>
      <c r="DL188" t="s">
        <v>4637</v>
      </c>
      <c r="FJ188" t="s">
        <v>5208</v>
      </c>
    </row>
    <row r="189" spans="5:166" ht="14.4" x14ac:dyDescent="0.3">
      <c r="E189" t="s">
        <v>5209</v>
      </c>
      <c r="F189" t="s">
        <v>5210</v>
      </c>
      <c r="DI189" t="s">
        <v>3640</v>
      </c>
      <c r="DJ189" t="s">
        <v>3641</v>
      </c>
      <c r="DK189" t="s">
        <v>4223</v>
      </c>
      <c r="DL189" t="s">
        <v>4642</v>
      </c>
      <c r="FJ189" t="s">
        <v>5211</v>
      </c>
    </row>
    <row r="190" spans="5:166" ht="14.4" x14ac:dyDescent="0.3">
      <c r="E190" t="s">
        <v>5212</v>
      </c>
      <c r="F190" t="s">
        <v>5213</v>
      </c>
      <c r="DI190" t="s">
        <v>3640</v>
      </c>
      <c r="DJ190" t="s">
        <v>3641</v>
      </c>
      <c r="DK190" t="s">
        <v>4223</v>
      </c>
      <c r="DL190" t="s">
        <v>4649</v>
      </c>
      <c r="FJ190" t="s">
        <v>5214</v>
      </c>
    </row>
    <row r="191" spans="5:166" ht="14.4" x14ac:dyDescent="0.3">
      <c r="E191" t="s">
        <v>5215</v>
      </c>
      <c r="F191" t="s">
        <v>5216</v>
      </c>
      <c r="DI191" t="s">
        <v>3640</v>
      </c>
      <c r="DJ191" t="s">
        <v>3641</v>
      </c>
      <c r="DK191" t="s">
        <v>4223</v>
      </c>
      <c r="DL191" t="s">
        <v>4655</v>
      </c>
      <c r="FJ191" t="s">
        <v>5217</v>
      </c>
    </row>
    <row r="192" spans="5:166" ht="14.4" x14ac:dyDescent="0.3">
      <c r="E192" t="s">
        <v>5218</v>
      </c>
      <c r="F192" t="s">
        <v>5219</v>
      </c>
      <c r="DI192" t="s">
        <v>3640</v>
      </c>
      <c r="DJ192" t="s">
        <v>3641</v>
      </c>
      <c r="DK192" t="s">
        <v>4223</v>
      </c>
      <c r="DL192" t="s">
        <v>4662</v>
      </c>
      <c r="FJ192" t="s">
        <v>5220</v>
      </c>
    </row>
    <row r="193" spans="5:166" ht="14.4" x14ac:dyDescent="0.3">
      <c r="E193" t="s">
        <v>5221</v>
      </c>
      <c r="F193" t="s">
        <v>5222</v>
      </c>
      <c r="DI193" t="s">
        <v>3640</v>
      </c>
      <c r="DJ193" t="s">
        <v>3641</v>
      </c>
      <c r="DK193" t="s">
        <v>4223</v>
      </c>
      <c r="DL193" t="s">
        <v>3966</v>
      </c>
      <c r="FJ193" t="s">
        <v>4492</v>
      </c>
    </row>
    <row r="194" spans="5:166" ht="14.4" x14ac:dyDescent="0.3">
      <c r="E194" t="s">
        <v>5223</v>
      </c>
      <c r="F194" t="s">
        <v>5224</v>
      </c>
      <c r="DI194" t="s">
        <v>3640</v>
      </c>
      <c r="DJ194" t="s">
        <v>3641</v>
      </c>
      <c r="DK194" t="s">
        <v>4223</v>
      </c>
      <c r="DL194" t="s">
        <v>4674</v>
      </c>
      <c r="FJ194" t="s">
        <v>5225</v>
      </c>
    </row>
    <row r="195" spans="5:166" ht="14.4" x14ac:dyDescent="0.3">
      <c r="E195" t="s">
        <v>5226</v>
      </c>
      <c r="F195" t="s">
        <v>5227</v>
      </c>
      <c r="DI195" t="s">
        <v>3640</v>
      </c>
      <c r="DJ195" t="s">
        <v>3641</v>
      </c>
      <c r="DK195" t="s">
        <v>4223</v>
      </c>
      <c r="DL195" t="s">
        <v>4682</v>
      </c>
      <c r="FJ195" t="s">
        <v>5228</v>
      </c>
    </row>
    <row r="196" spans="5:166" ht="14.4" x14ac:dyDescent="0.3">
      <c r="E196" t="s">
        <v>5229</v>
      </c>
      <c r="F196" t="s">
        <v>5230</v>
      </c>
      <c r="DI196" t="s">
        <v>3640</v>
      </c>
      <c r="DJ196" t="s">
        <v>3641</v>
      </c>
      <c r="DK196" t="s">
        <v>4223</v>
      </c>
      <c r="DL196" t="s">
        <v>4231</v>
      </c>
      <c r="FJ196" t="s">
        <v>5231</v>
      </c>
    </row>
    <row r="197" spans="5:166" ht="14.4" x14ac:dyDescent="0.3">
      <c r="E197" t="s">
        <v>5232</v>
      </c>
      <c r="F197" t="s">
        <v>5233</v>
      </c>
      <c r="DI197" t="s">
        <v>3640</v>
      </c>
      <c r="DJ197" t="s">
        <v>3641</v>
      </c>
      <c r="DK197" t="s">
        <v>4223</v>
      </c>
      <c r="DL197" t="s">
        <v>4656</v>
      </c>
      <c r="FJ197" t="s">
        <v>5234</v>
      </c>
    </row>
    <row r="198" spans="5:166" ht="14.4" x14ac:dyDescent="0.3">
      <c r="E198" t="s">
        <v>5235</v>
      </c>
      <c r="F198" t="s">
        <v>5236</v>
      </c>
      <c r="DI198" t="s">
        <v>3640</v>
      </c>
      <c r="DJ198" t="s">
        <v>3641</v>
      </c>
      <c r="DK198" t="s">
        <v>4223</v>
      </c>
      <c r="DL198" t="s">
        <v>4699</v>
      </c>
      <c r="FJ198" t="s">
        <v>4886</v>
      </c>
    </row>
    <row r="199" spans="5:166" ht="14.4" x14ac:dyDescent="0.3">
      <c r="E199" t="s">
        <v>5237</v>
      </c>
      <c r="F199" t="s">
        <v>5238</v>
      </c>
      <c r="DI199" t="s">
        <v>3640</v>
      </c>
      <c r="DJ199" t="s">
        <v>3641</v>
      </c>
      <c r="DK199" t="s">
        <v>4223</v>
      </c>
      <c r="DL199" t="s">
        <v>4705</v>
      </c>
      <c r="FJ199" t="s">
        <v>5239</v>
      </c>
    </row>
    <row r="200" spans="5:166" ht="14.4" x14ac:dyDescent="0.3">
      <c r="E200" t="s">
        <v>5240</v>
      </c>
      <c r="F200" t="s">
        <v>5241</v>
      </c>
      <c r="DI200" t="s">
        <v>3640</v>
      </c>
      <c r="DJ200" t="s">
        <v>3641</v>
      </c>
      <c r="DK200" t="s">
        <v>4223</v>
      </c>
      <c r="DL200" t="s">
        <v>4268</v>
      </c>
      <c r="FJ200" t="s">
        <v>5242</v>
      </c>
    </row>
    <row r="201" spans="5:166" ht="14.4" x14ac:dyDescent="0.3">
      <c r="E201" t="s">
        <v>5243</v>
      </c>
      <c r="F201" t="s">
        <v>5244</v>
      </c>
      <c r="DI201" t="s">
        <v>3640</v>
      </c>
      <c r="DJ201" t="s">
        <v>3641</v>
      </c>
      <c r="DK201" t="s">
        <v>4223</v>
      </c>
      <c r="DL201" t="s">
        <v>4716</v>
      </c>
      <c r="FJ201" t="s">
        <v>5245</v>
      </c>
    </row>
    <row r="202" spans="5:166" ht="14.4" x14ac:dyDescent="0.3">
      <c r="E202" t="s">
        <v>5246</v>
      </c>
      <c r="F202" t="s">
        <v>5247</v>
      </c>
      <c r="DI202" t="s">
        <v>3640</v>
      </c>
      <c r="DJ202" t="s">
        <v>3641</v>
      </c>
      <c r="DK202" t="s">
        <v>4245</v>
      </c>
      <c r="DL202" t="s">
        <v>4245</v>
      </c>
      <c r="FJ202" t="s">
        <v>5248</v>
      </c>
    </row>
    <row r="203" spans="5:166" ht="14.4" x14ac:dyDescent="0.3">
      <c r="E203" t="s">
        <v>5249</v>
      </c>
      <c r="F203" t="s">
        <v>5250</v>
      </c>
      <c r="DI203" t="s">
        <v>3640</v>
      </c>
      <c r="DJ203" t="s">
        <v>3641</v>
      </c>
      <c r="DK203" t="s">
        <v>4264</v>
      </c>
      <c r="DL203" t="s">
        <v>4728</v>
      </c>
      <c r="FJ203" t="s">
        <v>5251</v>
      </c>
    </row>
    <row r="204" spans="5:166" ht="14.4" x14ac:dyDescent="0.3">
      <c r="E204" t="s">
        <v>5252</v>
      </c>
      <c r="F204" t="s">
        <v>5253</v>
      </c>
      <c r="DI204" t="s">
        <v>3640</v>
      </c>
      <c r="DJ204" t="s">
        <v>3641</v>
      </c>
      <c r="DK204" t="s">
        <v>4264</v>
      </c>
      <c r="DL204" t="s">
        <v>4734</v>
      </c>
      <c r="FJ204" t="s">
        <v>5254</v>
      </c>
    </row>
    <row r="205" spans="5:166" ht="14.4" x14ac:dyDescent="0.3">
      <c r="E205" t="s">
        <v>5255</v>
      </c>
      <c r="F205" t="s">
        <v>5256</v>
      </c>
      <c r="DI205" t="s">
        <v>3640</v>
      </c>
      <c r="DJ205" t="s">
        <v>3641</v>
      </c>
      <c r="DK205" t="s">
        <v>4264</v>
      </c>
      <c r="DL205" t="s">
        <v>4740</v>
      </c>
      <c r="FJ205" t="s">
        <v>5257</v>
      </c>
    </row>
    <row r="206" spans="5:166" ht="14.4" x14ac:dyDescent="0.3">
      <c r="E206" t="s">
        <v>5258</v>
      </c>
      <c r="F206" t="s">
        <v>5259</v>
      </c>
      <c r="DI206" t="s">
        <v>3640</v>
      </c>
      <c r="DJ206" t="s">
        <v>4820</v>
      </c>
      <c r="DK206" t="s">
        <v>3554</v>
      </c>
      <c r="DL206" t="s">
        <v>3646</v>
      </c>
      <c r="FJ206" t="s">
        <v>5260</v>
      </c>
    </row>
    <row r="207" spans="5:166" ht="14.4" x14ac:dyDescent="0.3">
      <c r="E207" t="s">
        <v>5261</v>
      </c>
      <c r="F207" t="s">
        <v>5262</v>
      </c>
      <c r="DI207" t="s">
        <v>3640</v>
      </c>
      <c r="DJ207" t="s">
        <v>4820</v>
      </c>
      <c r="DK207" t="s">
        <v>3554</v>
      </c>
      <c r="DL207" t="s">
        <v>3731</v>
      </c>
      <c r="FJ207" t="s">
        <v>5263</v>
      </c>
    </row>
    <row r="208" spans="5:166" ht="14.4" x14ac:dyDescent="0.3">
      <c r="E208" t="s">
        <v>5264</v>
      </c>
      <c r="F208" t="s">
        <v>5265</v>
      </c>
      <c r="DI208" t="s">
        <v>3640</v>
      </c>
      <c r="DJ208" t="s">
        <v>4820</v>
      </c>
      <c r="DK208" t="s">
        <v>3554</v>
      </c>
      <c r="DL208" t="s">
        <v>3896</v>
      </c>
      <c r="FJ208" t="s">
        <v>5266</v>
      </c>
    </row>
    <row r="209" spans="5:166" ht="14.4" x14ac:dyDescent="0.3">
      <c r="E209" t="s">
        <v>5267</v>
      </c>
      <c r="F209" t="s">
        <v>5268</v>
      </c>
      <c r="DI209" t="s">
        <v>3640</v>
      </c>
      <c r="DJ209" t="s">
        <v>4820</v>
      </c>
      <c r="DK209" t="s">
        <v>3554</v>
      </c>
      <c r="DL209" t="s">
        <v>3963</v>
      </c>
      <c r="FJ209" t="s">
        <v>5269</v>
      </c>
    </row>
    <row r="210" spans="5:166" ht="14.4" x14ac:dyDescent="0.3">
      <c r="E210" t="s">
        <v>5270</v>
      </c>
      <c r="F210" t="s">
        <v>5271</v>
      </c>
      <c r="DI210" t="s">
        <v>3640</v>
      </c>
      <c r="DJ210" t="s">
        <v>4820</v>
      </c>
      <c r="DK210" t="s">
        <v>3554</v>
      </c>
      <c r="DL210" t="s">
        <v>4019</v>
      </c>
      <c r="FJ210" t="s">
        <v>5272</v>
      </c>
    </row>
    <row r="211" spans="5:166" ht="14.4" x14ac:dyDescent="0.3">
      <c r="E211" t="s">
        <v>5273</v>
      </c>
      <c r="F211" t="s">
        <v>5274</v>
      </c>
      <c r="DI211" t="s">
        <v>3640</v>
      </c>
      <c r="DJ211" t="s">
        <v>4820</v>
      </c>
      <c r="DK211" t="s">
        <v>3554</v>
      </c>
      <c r="DL211" t="s">
        <v>4055</v>
      </c>
      <c r="FJ211" t="s">
        <v>5275</v>
      </c>
    </row>
    <row r="212" spans="5:166" ht="14.4" x14ac:dyDescent="0.3">
      <c r="E212" t="s">
        <v>5276</v>
      </c>
      <c r="F212" t="s">
        <v>5277</v>
      </c>
      <c r="DI212" t="s">
        <v>3640</v>
      </c>
      <c r="DJ212" t="s">
        <v>4820</v>
      </c>
      <c r="DK212" t="s">
        <v>3554</v>
      </c>
      <c r="DL212" t="s">
        <v>4089</v>
      </c>
      <c r="FJ212" t="s">
        <v>5278</v>
      </c>
    </row>
    <row r="213" spans="5:166" ht="14.4" x14ac:dyDescent="0.3">
      <c r="E213" t="s">
        <v>5279</v>
      </c>
      <c r="F213" t="s">
        <v>5280</v>
      </c>
      <c r="DI213" t="s">
        <v>3640</v>
      </c>
      <c r="DJ213" t="s">
        <v>4820</v>
      </c>
      <c r="DK213" t="s">
        <v>3554</v>
      </c>
      <c r="DL213" t="s">
        <v>4121</v>
      </c>
      <c r="FJ213" t="s">
        <v>5281</v>
      </c>
    </row>
    <row r="214" spans="5:166" ht="14.4" x14ac:dyDescent="0.3">
      <c r="E214" t="s">
        <v>5282</v>
      </c>
      <c r="F214" t="s">
        <v>5283</v>
      </c>
      <c r="DI214" t="s">
        <v>3640</v>
      </c>
      <c r="DJ214" t="s">
        <v>4820</v>
      </c>
      <c r="DK214" t="s">
        <v>3554</v>
      </c>
      <c r="DL214" t="s">
        <v>4151</v>
      </c>
      <c r="FJ214" t="s">
        <v>5284</v>
      </c>
    </row>
    <row r="215" spans="5:166" ht="14.4" x14ac:dyDescent="0.3">
      <c r="E215" t="s">
        <v>5285</v>
      </c>
      <c r="F215" t="s">
        <v>5286</v>
      </c>
      <c r="DI215" t="s">
        <v>3640</v>
      </c>
      <c r="DJ215" t="s">
        <v>4820</v>
      </c>
      <c r="DK215" t="s">
        <v>3554</v>
      </c>
      <c r="DL215" t="s">
        <v>4175</v>
      </c>
      <c r="FJ215" t="s">
        <v>5287</v>
      </c>
    </row>
    <row r="216" spans="5:166" ht="14.4" x14ac:dyDescent="0.3">
      <c r="E216" t="s">
        <v>5288</v>
      </c>
      <c r="F216" t="s">
        <v>5289</v>
      </c>
      <c r="DI216" t="s">
        <v>3640</v>
      </c>
      <c r="DJ216" t="s">
        <v>4820</v>
      </c>
      <c r="DK216" t="s">
        <v>3554</v>
      </c>
      <c r="DL216" t="s">
        <v>4197</v>
      </c>
      <c r="FJ216" t="s">
        <v>5290</v>
      </c>
    </row>
    <row r="217" spans="5:166" ht="14.4" x14ac:dyDescent="0.3">
      <c r="E217" t="s">
        <v>5291</v>
      </c>
      <c r="F217" t="s">
        <v>5292</v>
      </c>
      <c r="DI217" t="s">
        <v>3640</v>
      </c>
      <c r="DJ217" t="s">
        <v>4820</v>
      </c>
      <c r="DK217" t="s">
        <v>3554</v>
      </c>
      <c r="DL217" s="69" t="s">
        <v>3554</v>
      </c>
      <c r="FJ217" t="s">
        <v>5293</v>
      </c>
    </row>
    <row r="218" spans="5:166" ht="14.4" x14ac:dyDescent="0.3">
      <c r="E218" t="s">
        <v>5294</v>
      </c>
      <c r="F218" t="s">
        <v>5295</v>
      </c>
      <c r="DI218" t="s">
        <v>3640</v>
      </c>
      <c r="DJ218" t="s">
        <v>4820</v>
      </c>
      <c r="DK218" t="s">
        <v>3554</v>
      </c>
      <c r="DL218" t="s">
        <v>4222</v>
      </c>
      <c r="FJ218" t="s">
        <v>5296</v>
      </c>
    </row>
    <row r="219" spans="5:166" ht="14.4" x14ac:dyDescent="0.3">
      <c r="E219" t="s">
        <v>5297</v>
      </c>
      <c r="F219" t="s">
        <v>5298</v>
      </c>
      <c r="DI219" t="s">
        <v>3640</v>
      </c>
      <c r="DJ219" t="s">
        <v>4820</v>
      </c>
      <c r="DK219" t="s">
        <v>3554</v>
      </c>
      <c r="DL219" t="s">
        <v>4244</v>
      </c>
      <c r="FJ219" t="s">
        <v>5299</v>
      </c>
    </row>
    <row r="220" spans="5:166" ht="14.4" x14ac:dyDescent="0.3">
      <c r="E220" t="s">
        <v>5300</v>
      </c>
      <c r="F220" t="s">
        <v>5301</v>
      </c>
      <c r="DI220" t="s">
        <v>3640</v>
      </c>
      <c r="DJ220" t="s">
        <v>4820</v>
      </c>
      <c r="DK220" t="s">
        <v>3554</v>
      </c>
      <c r="DL220" t="s">
        <v>4263</v>
      </c>
      <c r="FJ220" t="s">
        <v>5302</v>
      </c>
    </row>
    <row r="221" spans="5:166" ht="14.4" x14ac:dyDescent="0.3">
      <c r="E221" t="s">
        <v>5303</v>
      </c>
      <c r="F221" t="s">
        <v>5304</v>
      </c>
      <c r="DI221" t="s">
        <v>3640</v>
      </c>
      <c r="DJ221" t="s">
        <v>3641</v>
      </c>
      <c r="DK221" t="s">
        <v>4299</v>
      </c>
      <c r="DL221" t="s">
        <v>4746</v>
      </c>
      <c r="FJ221" t="s">
        <v>5305</v>
      </c>
    </row>
    <row r="222" spans="5:166" ht="14.4" x14ac:dyDescent="0.3">
      <c r="E222" t="s">
        <v>5306</v>
      </c>
      <c r="F222" t="s">
        <v>5307</v>
      </c>
      <c r="DI222" t="s">
        <v>3640</v>
      </c>
      <c r="DJ222" t="s">
        <v>3641</v>
      </c>
      <c r="DK222" t="s">
        <v>4299</v>
      </c>
      <c r="DL222" t="s">
        <v>4751</v>
      </c>
      <c r="FJ222" t="s">
        <v>5308</v>
      </c>
    </row>
    <row r="223" spans="5:166" ht="14.4" x14ac:dyDescent="0.3">
      <c r="E223" t="s">
        <v>5309</v>
      </c>
      <c r="F223" t="s">
        <v>5310</v>
      </c>
      <c r="DI223" t="s">
        <v>3640</v>
      </c>
      <c r="DJ223" t="s">
        <v>3641</v>
      </c>
      <c r="DK223" t="s">
        <v>4299</v>
      </c>
      <c r="DL223" t="s">
        <v>4756</v>
      </c>
      <c r="FJ223" t="s">
        <v>5311</v>
      </c>
    </row>
    <row r="224" spans="5:166" ht="14.4" x14ac:dyDescent="0.3">
      <c r="E224" t="s">
        <v>5312</v>
      </c>
      <c r="F224" t="s">
        <v>5313</v>
      </c>
      <c r="DI224" t="s">
        <v>3640</v>
      </c>
      <c r="DJ224" t="s">
        <v>3641</v>
      </c>
      <c r="DK224" t="s">
        <v>4299</v>
      </c>
      <c r="DL224" t="s">
        <v>4299</v>
      </c>
      <c r="FJ224" t="s">
        <v>5314</v>
      </c>
    </row>
    <row r="225" spans="5:166" ht="14.4" x14ac:dyDescent="0.3">
      <c r="E225" t="s">
        <v>5315</v>
      </c>
      <c r="F225" t="s">
        <v>5316</v>
      </c>
      <c r="DI225" t="s">
        <v>3640</v>
      </c>
      <c r="DJ225" t="s">
        <v>3641</v>
      </c>
      <c r="DK225" t="s">
        <v>4299</v>
      </c>
      <c r="DL225" t="s">
        <v>4766</v>
      </c>
      <c r="FJ225" t="s">
        <v>4140</v>
      </c>
    </row>
    <row r="226" spans="5:166" ht="14.4" x14ac:dyDescent="0.3">
      <c r="E226" t="s">
        <v>5317</v>
      </c>
      <c r="F226" t="s">
        <v>5318</v>
      </c>
      <c r="DI226" t="s">
        <v>3640</v>
      </c>
      <c r="DJ226" t="s">
        <v>3641</v>
      </c>
      <c r="DK226" t="s">
        <v>4299</v>
      </c>
      <c r="DL226" t="s">
        <v>4772</v>
      </c>
      <c r="FJ226" t="s">
        <v>5319</v>
      </c>
    </row>
    <row r="227" spans="5:166" ht="14.4" x14ac:dyDescent="0.3">
      <c r="E227" t="s">
        <v>5320</v>
      </c>
      <c r="F227" t="s">
        <v>5321</v>
      </c>
      <c r="DI227" t="s">
        <v>3640</v>
      </c>
      <c r="DJ227" t="s">
        <v>3641</v>
      </c>
      <c r="DK227" t="s">
        <v>4299</v>
      </c>
      <c r="DL227" t="s">
        <v>4779</v>
      </c>
      <c r="FJ227" t="s">
        <v>5322</v>
      </c>
    </row>
    <row r="228" spans="5:166" ht="14.4" x14ac:dyDescent="0.3">
      <c r="E228" t="s">
        <v>5323</v>
      </c>
      <c r="F228" t="s">
        <v>5324</v>
      </c>
      <c r="DI228" t="s">
        <v>3640</v>
      </c>
      <c r="DJ228" t="s">
        <v>3641</v>
      </c>
      <c r="DK228" t="s">
        <v>4299</v>
      </c>
      <c r="DL228" t="s">
        <v>4787</v>
      </c>
      <c r="FJ228" t="s">
        <v>5325</v>
      </c>
    </row>
    <row r="229" spans="5:166" ht="14.4" x14ac:dyDescent="0.3">
      <c r="E229" t="s">
        <v>5326</v>
      </c>
      <c r="F229" t="s">
        <v>5327</v>
      </c>
      <c r="DI229" t="s">
        <v>3640</v>
      </c>
      <c r="DJ229" t="s">
        <v>3641</v>
      </c>
      <c r="DK229" t="s">
        <v>4299</v>
      </c>
      <c r="DL229" t="s">
        <v>4339</v>
      </c>
      <c r="FJ229" t="s">
        <v>5328</v>
      </c>
    </row>
    <row r="230" spans="5:166" ht="14.4" x14ac:dyDescent="0.3">
      <c r="E230" t="s">
        <v>5329</v>
      </c>
      <c r="F230" t="s">
        <v>5330</v>
      </c>
      <c r="FJ230" t="s">
        <v>5331</v>
      </c>
    </row>
    <row r="231" spans="5:166" ht="14.4" x14ac:dyDescent="0.3">
      <c r="E231" t="s">
        <v>5332</v>
      </c>
      <c r="F231" t="s">
        <v>5333</v>
      </c>
      <c r="FJ231" t="s">
        <v>5334</v>
      </c>
    </row>
    <row r="232" spans="5:166" ht="14.4" x14ac:dyDescent="0.3">
      <c r="E232" t="s">
        <v>5335</v>
      </c>
      <c r="F232" t="s">
        <v>5336</v>
      </c>
      <c r="FJ232" t="s">
        <v>5337</v>
      </c>
    </row>
    <row r="233" spans="5:166" ht="14.4" x14ac:dyDescent="0.3">
      <c r="E233" t="s">
        <v>5338</v>
      </c>
      <c r="F233" t="s">
        <v>5339</v>
      </c>
      <c r="FJ233" t="s">
        <v>5340</v>
      </c>
    </row>
    <row r="234" spans="5:166" ht="14.4" x14ac:dyDescent="0.3">
      <c r="E234" t="s">
        <v>5341</v>
      </c>
      <c r="F234" t="s">
        <v>5342</v>
      </c>
      <c r="FJ234" t="s">
        <v>5343</v>
      </c>
    </row>
    <row r="235" spans="5:166" ht="14.4" x14ac:dyDescent="0.3">
      <c r="E235" t="s">
        <v>5344</v>
      </c>
      <c r="F235" s="70" t="s">
        <v>5345</v>
      </c>
      <c r="FJ235" t="s">
        <v>5346</v>
      </c>
    </row>
    <row r="236" spans="5:166" ht="14.4" x14ac:dyDescent="0.3">
      <c r="E236" t="s">
        <v>5347</v>
      </c>
      <c r="F236" t="s">
        <v>5348</v>
      </c>
      <c r="FJ236" t="s">
        <v>5349</v>
      </c>
    </row>
    <row r="237" spans="5:166" ht="14.4" x14ac:dyDescent="0.3">
      <c r="E237" t="s">
        <v>5350</v>
      </c>
      <c r="F237" t="s">
        <v>5351</v>
      </c>
      <c r="FJ237" t="s">
        <v>5352</v>
      </c>
    </row>
    <row r="238" spans="5:166" ht="14.4" x14ac:dyDescent="0.3">
      <c r="E238" t="s">
        <v>5353</v>
      </c>
      <c r="F238" t="s">
        <v>5354</v>
      </c>
      <c r="FJ238" t="s">
        <v>5355</v>
      </c>
    </row>
    <row r="239" spans="5:166" ht="14.4" x14ac:dyDescent="0.3">
      <c r="E239" t="s">
        <v>5356</v>
      </c>
      <c r="F239" t="s">
        <v>5357</v>
      </c>
      <c r="FJ239" t="s">
        <v>5358</v>
      </c>
    </row>
    <row r="240" spans="5:166" ht="14.4" x14ac:dyDescent="0.3">
      <c r="E240" t="s">
        <v>5359</v>
      </c>
      <c r="F240" t="s">
        <v>5360</v>
      </c>
      <c r="FJ240" t="s">
        <v>5361</v>
      </c>
    </row>
    <row r="241" spans="5:166" ht="14.4" x14ac:dyDescent="0.3">
      <c r="E241" t="s">
        <v>5362</v>
      </c>
      <c r="F241" t="s">
        <v>5363</v>
      </c>
      <c r="FJ241" t="s">
        <v>5364</v>
      </c>
    </row>
    <row r="242" spans="5:166" ht="14.4" x14ac:dyDescent="0.3">
      <c r="E242" t="s">
        <v>5365</v>
      </c>
      <c r="F242" t="s">
        <v>5366</v>
      </c>
      <c r="FJ242" t="s">
        <v>5367</v>
      </c>
    </row>
    <row r="243" spans="5:166" ht="14.4" x14ac:dyDescent="0.3">
      <c r="E243" t="s">
        <v>5368</v>
      </c>
      <c r="F243" t="s">
        <v>5369</v>
      </c>
      <c r="FJ243" t="s">
        <v>5370</v>
      </c>
    </row>
    <row r="244" spans="5:166" ht="14.4" x14ac:dyDescent="0.3">
      <c r="E244" t="s">
        <v>5371</v>
      </c>
      <c r="F244" t="s">
        <v>5372</v>
      </c>
      <c r="FJ244" t="s">
        <v>5373</v>
      </c>
    </row>
    <row r="245" spans="5:166" ht="14.4" x14ac:dyDescent="0.3">
      <c r="E245" t="s">
        <v>5374</v>
      </c>
      <c r="F245" t="s">
        <v>5375</v>
      </c>
      <c r="FJ245" t="s">
        <v>5376</v>
      </c>
    </row>
    <row r="246" spans="5:166" ht="14.4" x14ac:dyDescent="0.3">
      <c r="E246" t="s">
        <v>5377</v>
      </c>
      <c r="F246" t="s">
        <v>5378</v>
      </c>
      <c r="FJ246" t="s">
        <v>5379</v>
      </c>
    </row>
    <row r="247" spans="5:166" ht="14.4" x14ac:dyDescent="0.3">
      <c r="E247" t="s">
        <v>5380</v>
      </c>
      <c r="F247" t="s">
        <v>5381</v>
      </c>
      <c r="FJ247" t="s">
        <v>5382</v>
      </c>
    </row>
    <row r="248" spans="5:166" ht="14.4" x14ac:dyDescent="0.3">
      <c r="E248" t="s">
        <v>5383</v>
      </c>
      <c r="F248" t="s">
        <v>5384</v>
      </c>
      <c r="FJ248" t="s">
        <v>5385</v>
      </c>
    </row>
    <row r="249" spans="5:166" ht="14.4" x14ac:dyDescent="0.3">
      <c r="E249" t="s">
        <v>5386</v>
      </c>
      <c r="F249" t="s">
        <v>5387</v>
      </c>
      <c r="FJ249" t="s">
        <v>5388</v>
      </c>
    </row>
    <row r="250" spans="5:166" ht="14.4" x14ac:dyDescent="0.3">
      <c r="E250" t="s">
        <v>5389</v>
      </c>
      <c r="F250" t="s">
        <v>5390</v>
      </c>
      <c r="FJ250" t="s">
        <v>5391</v>
      </c>
    </row>
    <row r="251" spans="5:166" ht="14.4" x14ac:dyDescent="0.3">
      <c r="E251" t="s">
        <v>5392</v>
      </c>
      <c r="F251" t="s">
        <v>5393</v>
      </c>
      <c r="FJ251" t="s">
        <v>5394</v>
      </c>
    </row>
    <row r="252" spans="5:166" ht="14.4" x14ac:dyDescent="0.3">
      <c r="E252" t="s">
        <v>5395</v>
      </c>
      <c r="F252" t="s">
        <v>5396</v>
      </c>
      <c r="FJ252" t="s">
        <v>5397</v>
      </c>
    </row>
    <row r="253" spans="5:166" ht="14.4" x14ac:dyDescent="0.3">
      <c r="E253" t="s">
        <v>5398</v>
      </c>
      <c r="F253" t="s">
        <v>5399</v>
      </c>
      <c r="FJ253" t="s">
        <v>5400</v>
      </c>
    </row>
    <row r="254" spans="5:166" ht="14.4" x14ac:dyDescent="0.3">
      <c r="E254" t="s">
        <v>5401</v>
      </c>
      <c r="F254" t="s">
        <v>5402</v>
      </c>
      <c r="FJ254" t="s">
        <v>5403</v>
      </c>
    </row>
    <row r="255" spans="5:166" ht="14.4" x14ac:dyDescent="0.3">
      <c r="E255" t="s">
        <v>5404</v>
      </c>
      <c r="F255" t="s">
        <v>5405</v>
      </c>
      <c r="FJ255" t="s">
        <v>5406</v>
      </c>
    </row>
    <row r="256" spans="5:166" ht="14.4" x14ac:dyDescent="0.3">
      <c r="E256" t="s">
        <v>5407</v>
      </c>
      <c r="F256" t="s">
        <v>5408</v>
      </c>
      <c r="FJ256" t="s">
        <v>5409</v>
      </c>
    </row>
    <row r="257" spans="5:166" ht="14.4" x14ac:dyDescent="0.3">
      <c r="E257" t="s">
        <v>5410</v>
      </c>
      <c r="F257" t="s">
        <v>5411</v>
      </c>
      <c r="FJ257" t="s">
        <v>5412</v>
      </c>
    </row>
    <row r="258" spans="5:166" ht="14.4" x14ac:dyDescent="0.3">
      <c r="E258" t="s">
        <v>5413</v>
      </c>
      <c r="F258" t="s">
        <v>5414</v>
      </c>
      <c r="FJ258" t="s">
        <v>5415</v>
      </c>
    </row>
    <row r="259" spans="5:166" ht="14.4" x14ac:dyDescent="0.3">
      <c r="E259" t="s">
        <v>5416</v>
      </c>
      <c r="F259" t="s">
        <v>5417</v>
      </c>
      <c r="FJ259" t="s">
        <v>5418</v>
      </c>
    </row>
    <row r="260" spans="5:166" ht="14.4" x14ac:dyDescent="0.3">
      <c r="E260" t="s">
        <v>5419</v>
      </c>
      <c r="F260" t="s">
        <v>5420</v>
      </c>
      <c r="FJ260" t="s">
        <v>5421</v>
      </c>
    </row>
    <row r="261" spans="5:166" ht="14.4" x14ac:dyDescent="0.3">
      <c r="E261" t="s">
        <v>5422</v>
      </c>
      <c r="F261" t="s">
        <v>5423</v>
      </c>
      <c r="FJ261" t="s">
        <v>5424</v>
      </c>
    </row>
    <row r="262" spans="5:166" ht="14.4" x14ac:dyDescent="0.3">
      <c r="FJ262" t="s">
        <v>5425</v>
      </c>
    </row>
    <row r="263" spans="5:166" ht="14.4" x14ac:dyDescent="0.3">
      <c r="FJ263" t="s">
        <v>5426</v>
      </c>
    </row>
    <row r="264" spans="5:166" ht="14.4" x14ac:dyDescent="0.3">
      <c r="E264" s="77" t="s">
        <v>5427</v>
      </c>
      <c r="F264" t="s">
        <v>5428</v>
      </c>
      <c r="FJ264" t="s">
        <v>4709</v>
      </c>
    </row>
    <row r="265" spans="5:166" ht="14.4" x14ac:dyDescent="0.3">
      <c r="E265" s="96" t="s">
        <v>4550</v>
      </c>
      <c r="F265" s="97" t="s">
        <v>5429</v>
      </c>
      <c r="FJ265" t="s">
        <v>5430</v>
      </c>
    </row>
    <row r="266" spans="5:166" ht="14.4" x14ac:dyDescent="0.3">
      <c r="E266" s="47" t="s">
        <v>5431</v>
      </c>
      <c r="F266" s="97" t="s">
        <v>5432</v>
      </c>
      <c r="FJ266" t="s">
        <v>5433</v>
      </c>
    </row>
    <row r="267" spans="5:166" ht="14.4" x14ac:dyDescent="0.3">
      <c r="E267" s="96" t="s">
        <v>4499</v>
      </c>
      <c r="F267" s="97" t="s">
        <v>5434</v>
      </c>
      <c r="FJ267" t="s">
        <v>5435</v>
      </c>
    </row>
    <row r="268" spans="5:166" ht="14.4" x14ac:dyDescent="0.3">
      <c r="E268" s="98" t="s">
        <v>5436</v>
      </c>
      <c r="F268" s="99" t="s">
        <v>5437</v>
      </c>
      <c r="FJ268" t="s">
        <v>5438</v>
      </c>
    </row>
    <row r="269" spans="5:166" ht="14.4" x14ac:dyDescent="0.3">
      <c r="FJ269" t="s">
        <v>5439</v>
      </c>
    </row>
    <row r="270" spans="5:166" ht="14.4" x14ac:dyDescent="0.3">
      <c r="FJ270" t="s">
        <v>5440</v>
      </c>
    </row>
    <row r="271" spans="5:166" ht="14.4" x14ac:dyDescent="0.3">
      <c r="FJ271" t="s">
        <v>5441</v>
      </c>
    </row>
    <row r="272" spans="5:166" ht="14.4" x14ac:dyDescent="0.3">
      <c r="FJ272" t="s">
        <v>5442</v>
      </c>
    </row>
    <row r="273" spans="166:166" ht="14.4" x14ac:dyDescent="0.3">
      <c r="FJ273" t="s">
        <v>5443</v>
      </c>
    </row>
    <row r="274" spans="166:166" ht="14.4" x14ac:dyDescent="0.3">
      <c r="FJ274" t="s">
        <v>5444</v>
      </c>
    </row>
    <row r="275" spans="166:166" ht="14.4" x14ac:dyDescent="0.3">
      <c r="FJ275" t="s">
        <v>5445</v>
      </c>
    </row>
    <row r="276" spans="166:166" ht="14.4" x14ac:dyDescent="0.3">
      <c r="FJ276" t="s">
        <v>5446</v>
      </c>
    </row>
    <row r="277" spans="166:166" ht="14.4" x14ac:dyDescent="0.3">
      <c r="FJ277" t="s">
        <v>5447</v>
      </c>
    </row>
    <row r="278" spans="166:166" ht="14.4" x14ac:dyDescent="0.3">
      <c r="FJ278" t="s">
        <v>5448</v>
      </c>
    </row>
    <row r="279" spans="166:166" ht="14.4" x14ac:dyDescent="0.3">
      <c r="FJ279" t="s">
        <v>5449</v>
      </c>
    </row>
    <row r="280" spans="166:166" ht="14.4" x14ac:dyDescent="0.3">
      <c r="FJ280" t="s">
        <v>5450</v>
      </c>
    </row>
    <row r="281" spans="166:166" ht="14.4" x14ac:dyDescent="0.3">
      <c r="FJ281" t="s">
        <v>5451</v>
      </c>
    </row>
    <row r="282" spans="166:166" ht="14.4" x14ac:dyDescent="0.3">
      <c r="FJ282" t="s">
        <v>5452</v>
      </c>
    </row>
    <row r="283" spans="166:166" ht="14.4" x14ac:dyDescent="0.3">
      <c r="FJ283" t="s">
        <v>5453</v>
      </c>
    </row>
    <row r="284" spans="166:166" ht="14.4" x14ac:dyDescent="0.3">
      <c r="FJ284" t="s">
        <v>5454</v>
      </c>
    </row>
    <row r="285" spans="166:166" ht="14.4" x14ac:dyDescent="0.3">
      <c r="FJ285" t="s">
        <v>5455</v>
      </c>
    </row>
    <row r="286" spans="166:166" ht="14.4" x14ac:dyDescent="0.3">
      <c r="FJ286" t="s">
        <v>5456</v>
      </c>
    </row>
    <row r="287" spans="166:166" ht="14.4" x14ac:dyDescent="0.3">
      <c r="FJ287" t="s">
        <v>5457</v>
      </c>
    </row>
    <row r="288" spans="166:166" ht="14.4" x14ac:dyDescent="0.3">
      <c r="FJ288" t="s">
        <v>5458</v>
      </c>
    </row>
    <row r="289" spans="166:166" ht="14.4" x14ac:dyDescent="0.3">
      <c r="FJ289" t="s">
        <v>5459</v>
      </c>
    </row>
    <row r="290" spans="166:166" ht="14.4" x14ac:dyDescent="0.3">
      <c r="FJ290" t="s">
        <v>5460</v>
      </c>
    </row>
    <row r="291" spans="166:166" ht="14.4" x14ac:dyDescent="0.3">
      <c r="FJ291" t="s">
        <v>5461</v>
      </c>
    </row>
    <row r="292" spans="166:166" ht="14.4" x14ac:dyDescent="0.3">
      <c r="FJ292" t="s">
        <v>5462</v>
      </c>
    </row>
    <row r="293" spans="166:166" ht="14.4" x14ac:dyDescent="0.3">
      <c r="FJ293" t="s">
        <v>5463</v>
      </c>
    </row>
    <row r="294" spans="166:166" ht="14.4" x14ac:dyDescent="0.3">
      <c r="FJ294" t="s">
        <v>5464</v>
      </c>
    </row>
    <row r="295" spans="166:166" ht="14.4" x14ac:dyDescent="0.3">
      <c r="FJ295" t="s">
        <v>4043</v>
      </c>
    </row>
    <row r="296" spans="166:166" ht="14.4" x14ac:dyDescent="0.3">
      <c r="FJ296" t="s">
        <v>5465</v>
      </c>
    </row>
    <row r="297" spans="166:166" ht="14.4" x14ac:dyDescent="0.3">
      <c r="FJ297" t="s">
        <v>5466</v>
      </c>
    </row>
    <row r="298" spans="166:166" ht="14.4" x14ac:dyDescent="0.3">
      <c r="FJ298" t="s">
        <v>5467</v>
      </c>
    </row>
    <row r="299" spans="166:166" ht="14.4" x14ac:dyDescent="0.3">
      <c r="FJ299" t="s">
        <v>5468</v>
      </c>
    </row>
    <row r="300" spans="166:166" ht="14.4" x14ac:dyDescent="0.3">
      <c r="FJ300" t="s">
        <v>5469</v>
      </c>
    </row>
    <row r="301" spans="166:166" ht="14.4" x14ac:dyDescent="0.3">
      <c r="FJ301" t="s">
        <v>5470</v>
      </c>
    </row>
    <row r="302" spans="166:166" ht="14.4" x14ac:dyDescent="0.3">
      <c r="FJ302" t="s">
        <v>5471</v>
      </c>
    </row>
    <row r="303" spans="166:166" ht="14.4" x14ac:dyDescent="0.3">
      <c r="FJ303" t="s">
        <v>5472</v>
      </c>
    </row>
    <row r="304" spans="166:166" ht="14.4" x14ac:dyDescent="0.3">
      <c r="FJ304" t="s">
        <v>5473</v>
      </c>
    </row>
    <row r="305" spans="166:166" ht="14.4" x14ac:dyDescent="0.3">
      <c r="FJ305" t="s">
        <v>3692</v>
      </c>
    </row>
    <row r="306" spans="166:166" ht="14.4" x14ac:dyDescent="0.3">
      <c r="FJ306" t="s">
        <v>5474</v>
      </c>
    </row>
    <row r="307" spans="166:166" ht="14.4" x14ac:dyDescent="0.3">
      <c r="FJ307" t="s">
        <v>5475</v>
      </c>
    </row>
    <row r="308" spans="166:166" ht="14.4" x14ac:dyDescent="0.3">
      <c r="FJ308" t="s">
        <v>5476</v>
      </c>
    </row>
    <row r="309" spans="166:166" ht="14.4" x14ac:dyDescent="0.3">
      <c r="FJ309" t="s">
        <v>5477</v>
      </c>
    </row>
    <row r="310" spans="166:166" ht="14.4" x14ac:dyDescent="0.3">
      <c r="FJ310" t="s">
        <v>5478</v>
      </c>
    </row>
    <row r="311" spans="166:166" ht="14.4" x14ac:dyDescent="0.3">
      <c r="FJ311" t="s">
        <v>5479</v>
      </c>
    </row>
    <row r="312" spans="166:166" ht="14.4" x14ac:dyDescent="0.3">
      <c r="FJ312" t="s">
        <v>5480</v>
      </c>
    </row>
    <row r="313" spans="166:166" ht="14.4" x14ac:dyDescent="0.3">
      <c r="FJ313" t="s">
        <v>5481</v>
      </c>
    </row>
    <row r="314" spans="166:166" ht="14.4" x14ac:dyDescent="0.3">
      <c r="FJ314" t="s">
        <v>5482</v>
      </c>
    </row>
    <row r="315" spans="166:166" ht="14.4" x14ac:dyDescent="0.3">
      <c r="FJ315" t="s">
        <v>5483</v>
      </c>
    </row>
    <row r="316" spans="166:166" ht="14.4" x14ac:dyDescent="0.3">
      <c r="FJ316" t="s">
        <v>4640</v>
      </c>
    </row>
    <row r="317" spans="166:166" ht="14.4" x14ac:dyDescent="0.3">
      <c r="FJ317" t="s">
        <v>5484</v>
      </c>
    </row>
    <row r="318" spans="166:166" ht="14.4" x14ac:dyDescent="0.3">
      <c r="FJ318" t="s">
        <v>5485</v>
      </c>
    </row>
    <row r="319" spans="166:166" ht="14.4" x14ac:dyDescent="0.3">
      <c r="FJ319" t="s">
        <v>5486</v>
      </c>
    </row>
    <row r="320" spans="166:166" ht="14.4" x14ac:dyDescent="0.3">
      <c r="FJ320" t="s">
        <v>5487</v>
      </c>
    </row>
    <row r="321" spans="32:166" ht="14.4" x14ac:dyDescent="0.3">
      <c r="FJ321" t="s">
        <v>5488</v>
      </c>
    </row>
    <row r="322" spans="32:166" ht="14.4" x14ac:dyDescent="0.3">
      <c r="FJ322" t="s">
        <v>3696</v>
      </c>
    </row>
    <row r="323" spans="32:166" ht="14.4" x14ac:dyDescent="0.3">
      <c r="FJ323" t="s">
        <v>5489</v>
      </c>
    </row>
    <row r="324" spans="32:166" ht="14.4" x14ac:dyDescent="0.3">
      <c r="FJ324" t="s">
        <v>5490</v>
      </c>
    </row>
    <row r="325" spans="32:166" ht="14.4" x14ac:dyDescent="0.3">
      <c r="FJ325" t="s">
        <v>5491</v>
      </c>
    </row>
    <row r="326" spans="32:166" ht="14.4" x14ac:dyDescent="0.3">
      <c r="AF326" s="34"/>
      <c r="FJ326" t="s">
        <v>5492</v>
      </c>
    </row>
    <row r="327" spans="32:166" ht="14.4" x14ac:dyDescent="0.3">
      <c r="FJ327" t="s">
        <v>5493</v>
      </c>
    </row>
    <row r="328" spans="32:166" ht="14.4" x14ac:dyDescent="0.3">
      <c r="FJ328" t="s">
        <v>5494</v>
      </c>
    </row>
    <row r="329" spans="32:166" ht="14.4" x14ac:dyDescent="0.3">
      <c r="FJ329" t="s">
        <v>5495</v>
      </c>
    </row>
    <row r="330" spans="32:166" ht="14.4" x14ac:dyDescent="0.3">
      <c r="FJ330" t="s">
        <v>5496</v>
      </c>
    </row>
    <row r="331" spans="32:166" ht="14.4" x14ac:dyDescent="0.3">
      <c r="FJ331" t="s">
        <v>5497</v>
      </c>
    </row>
    <row r="332" spans="32:166" ht="14.4" x14ac:dyDescent="0.3">
      <c r="FJ332" t="s">
        <v>3785</v>
      </c>
    </row>
    <row r="333" spans="32:166" ht="14.4" x14ac:dyDescent="0.3">
      <c r="FJ333" t="s">
        <v>5498</v>
      </c>
    </row>
    <row r="334" spans="32:166" ht="14.4" x14ac:dyDescent="0.3">
      <c r="FJ334" t="s">
        <v>5499</v>
      </c>
    </row>
    <row r="335" spans="32:166" ht="14.4" x14ac:dyDescent="0.3">
      <c r="FJ335" t="s">
        <v>5500</v>
      </c>
    </row>
    <row r="336" spans="32:166" ht="14.4" x14ac:dyDescent="0.3">
      <c r="FJ336" t="s">
        <v>5501</v>
      </c>
    </row>
    <row r="337" spans="166:166" ht="14.4" x14ac:dyDescent="0.3">
      <c r="FJ337" t="s">
        <v>5502</v>
      </c>
    </row>
    <row r="338" spans="166:166" ht="14.4" x14ac:dyDescent="0.3">
      <c r="FJ338" t="s">
        <v>5503</v>
      </c>
    </row>
    <row r="339" spans="166:166" ht="14.4" x14ac:dyDescent="0.3">
      <c r="FJ339" t="s">
        <v>4609</v>
      </c>
    </row>
    <row r="340" spans="166:166" ht="14.4" x14ac:dyDescent="0.3">
      <c r="FJ340" t="s">
        <v>5504</v>
      </c>
    </row>
    <row r="341" spans="166:166" ht="14.4" x14ac:dyDescent="0.3">
      <c r="FJ341" t="s">
        <v>5505</v>
      </c>
    </row>
    <row r="342" spans="166:166" ht="14.4" x14ac:dyDescent="0.3">
      <c r="FJ342" t="s">
        <v>5506</v>
      </c>
    </row>
    <row r="343" spans="166:166" ht="14.4" x14ac:dyDescent="0.3">
      <c r="FJ343" t="s">
        <v>5507</v>
      </c>
    </row>
    <row r="344" spans="166:166" ht="14.4" x14ac:dyDescent="0.3">
      <c r="FJ344" t="s">
        <v>5508</v>
      </c>
    </row>
    <row r="345" spans="166:166" ht="14.4" x14ac:dyDescent="0.3">
      <c r="FJ345" t="s">
        <v>5509</v>
      </c>
    </row>
    <row r="346" spans="166:166" ht="14.4" x14ac:dyDescent="0.3">
      <c r="FJ346" t="s">
        <v>5510</v>
      </c>
    </row>
    <row r="347" spans="166:166" ht="14.4" x14ac:dyDescent="0.3">
      <c r="FJ347" t="s">
        <v>5511</v>
      </c>
    </row>
    <row r="348" spans="166:166" ht="14.4" x14ac:dyDescent="0.3">
      <c r="FJ348" t="s">
        <v>5512</v>
      </c>
    </row>
    <row r="349" spans="166:166" ht="14.4" x14ac:dyDescent="0.3">
      <c r="FJ349" t="s">
        <v>5513</v>
      </c>
    </row>
    <row r="350" spans="166:166" ht="14.4" x14ac:dyDescent="0.3">
      <c r="FJ350" t="s">
        <v>5514</v>
      </c>
    </row>
    <row r="351" spans="166:166" ht="14.4" x14ac:dyDescent="0.3">
      <c r="FJ351" t="s">
        <v>5515</v>
      </c>
    </row>
    <row r="352" spans="166:166" ht="14.4" x14ac:dyDescent="0.3">
      <c r="FJ352" t="s">
        <v>5516</v>
      </c>
    </row>
    <row r="353" spans="166:166" ht="14.4" x14ac:dyDescent="0.3">
      <c r="FJ353" t="s">
        <v>5517</v>
      </c>
    </row>
    <row r="354" spans="166:166" ht="14.4" x14ac:dyDescent="0.3">
      <c r="FJ354" t="s">
        <v>5518</v>
      </c>
    </row>
    <row r="355" spans="166:166" ht="14.4" x14ac:dyDescent="0.3">
      <c r="FJ355" t="s">
        <v>5519</v>
      </c>
    </row>
    <row r="356" spans="166:166" ht="14.4" x14ac:dyDescent="0.3">
      <c r="FJ356" t="s">
        <v>5520</v>
      </c>
    </row>
    <row r="357" spans="166:166" ht="14.4" x14ac:dyDescent="0.3">
      <c r="FJ357" t="s">
        <v>5521</v>
      </c>
    </row>
    <row r="358" spans="166:166" ht="14.4" x14ac:dyDescent="0.3">
      <c r="FJ358" t="s">
        <v>5522</v>
      </c>
    </row>
    <row r="359" spans="166:166" ht="14.4" x14ac:dyDescent="0.3">
      <c r="FJ359" t="s">
        <v>5523</v>
      </c>
    </row>
    <row r="360" spans="166:166" ht="14.4" x14ac:dyDescent="0.3">
      <c r="FJ360" t="s">
        <v>5524</v>
      </c>
    </row>
    <row r="361" spans="166:166" ht="14.4" x14ac:dyDescent="0.3">
      <c r="FJ361" t="s">
        <v>5525</v>
      </c>
    </row>
    <row r="362" spans="166:166" ht="14.4" x14ac:dyDescent="0.3">
      <c r="FJ362" t="s">
        <v>5526</v>
      </c>
    </row>
    <row r="363" spans="166:166" ht="14.4" x14ac:dyDescent="0.3">
      <c r="FJ363" t="s">
        <v>5527</v>
      </c>
    </row>
    <row r="364" spans="166:166" ht="14.4" x14ac:dyDescent="0.3">
      <c r="FJ364" t="s">
        <v>5528</v>
      </c>
    </row>
    <row r="365" spans="166:166" ht="14.4" x14ac:dyDescent="0.3">
      <c r="FJ365" t="s">
        <v>5529</v>
      </c>
    </row>
    <row r="366" spans="166:166" ht="14.4" x14ac:dyDescent="0.3">
      <c r="FJ366" t="s">
        <v>5530</v>
      </c>
    </row>
    <row r="367" spans="166:166" ht="14.4" x14ac:dyDescent="0.3">
      <c r="FJ367" t="s">
        <v>5531</v>
      </c>
    </row>
    <row r="368" spans="166:166" ht="14.4" x14ac:dyDescent="0.3">
      <c r="FJ368" t="s">
        <v>5532</v>
      </c>
    </row>
    <row r="369" spans="166:166" ht="14.4" x14ac:dyDescent="0.3">
      <c r="FJ369" t="s">
        <v>5533</v>
      </c>
    </row>
    <row r="370" spans="166:166" ht="14.4" x14ac:dyDescent="0.3">
      <c r="FJ370" t="s">
        <v>5534</v>
      </c>
    </row>
    <row r="371" spans="166:166" ht="14.4" x14ac:dyDescent="0.3">
      <c r="FJ371" t="s">
        <v>5535</v>
      </c>
    </row>
    <row r="372" spans="166:166" ht="14.4" x14ac:dyDescent="0.3">
      <c r="FJ372" t="s">
        <v>5536</v>
      </c>
    </row>
    <row r="373" spans="166:166" ht="14.4" x14ac:dyDescent="0.3">
      <c r="FJ373" t="s">
        <v>5537</v>
      </c>
    </row>
    <row r="374" spans="166:166" ht="14.4" x14ac:dyDescent="0.3">
      <c r="FJ374" t="s">
        <v>5538</v>
      </c>
    </row>
    <row r="375" spans="166:166" ht="14.4" x14ac:dyDescent="0.3">
      <c r="FJ375" t="s">
        <v>5539</v>
      </c>
    </row>
    <row r="376" spans="166:166" ht="14.4" x14ac:dyDescent="0.3">
      <c r="FJ376" t="s">
        <v>4529</v>
      </c>
    </row>
    <row r="377" spans="166:166" ht="14.4" x14ac:dyDescent="0.3">
      <c r="FJ377" t="s">
        <v>5540</v>
      </c>
    </row>
    <row r="378" spans="166:166" ht="14.4" x14ac:dyDescent="0.3">
      <c r="FJ378" t="s">
        <v>5541</v>
      </c>
    </row>
    <row r="379" spans="166:166" ht="14.4" x14ac:dyDescent="0.3">
      <c r="FJ379" t="s">
        <v>5542</v>
      </c>
    </row>
    <row r="380" spans="166:166" ht="14.4" x14ac:dyDescent="0.3">
      <c r="FJ380" t="s">
        <v>5543</v>
      </c>
    </row>
    <row r="381" spans="166:166" ht="14.4" x14ac:dyDescent="0.3">
      <c r="FJ381" t="s">
        <v>5544</v>
      </c>
    </row>
    <row r="382" spans="166:166" ht="14.4" x14ac:dyDescent="0.3">
      <c r="FJ382" t="s">
        <v>5545</v>
      </c>
    </row>
    <row r="383" spans="166:166" ht="14.4" x14ac:dyDescent="0.3">
      <c r="FJ383" t="s">
        <v>5546</v>
      </c>
    </row>
    <row r="384" spans="166:166" ht="14.4" x14ac:dyDescent="0.3">
      <c r="FJ384" t="s">
        <v>4483</v>
      </c>
    </row>
    <row r="385" spans="166:166" ht="14.4" x14ac:dyDescent="0.3">
      <c r="FJ385" t="s">
        <v>5547</v>
      </c>
    </row>
    <row r="386" spans="166:166" ht="14.4" x14ac:dyDescent="0.3">
      <c r="FJ386" t="s">
        <v>5548</v>
      </c>
    </row>
    <row r="387" spans="166:166" ht="14.4" x14ac:dyDescent="0.3">
      <c r="FJ387" t="s">
        <v>5549</v>
      </c>
    </row>
    <row r="388" spans="166:166" ht="14.4" x14ac:dyDescent="0.3">
      <c r="FJ388" t="s">
        <v>5550</v>
      </c>
    </row>
    <row r="389" spans="166:166" ht="14.4" x14ac:dyDescent="0.3">
      <c r="FJ389" t="s">
        <v>5551</v>
      </c>
    </row>
    <row r="390" spans="166:166" ht="14.4" x14ac:dyDescent="0.3">
      <c r="FJ390" t="s">
        <v>5552</v>
      </c>
    </row>
    <row r="391" spans="166:166" ht="14.4" x14ac:dyDescent="0.3">
      <c r="FJ391" t="s">
        <v>5553</v>
      </c>
    </row>
    <row r="392" spans="166:166" ht="14.4" x14ac:dyDescent="0.3">
      <c r="FJ392" t="s">
        <v>5554</v>
      </c>
    </row>
    <row r="393" spans="166:166" ht="14.4" x14ac:dyDescent="0.3">
      <c r="FJ393" t="s">
        <v>5555</v>
      </c>
    </row>
    <row r="394" spans="166:166" ht="14.4" x14ac:dyDescent="0.3">
      <c r="FJ394" t="s">
        <v>5556</v>
      </c>
    </row>
    <row r="395" spans="166:166" ht="14.4" x14ac:dyDescent="0.3">
      <c r="FJ395" t="s">
        <v>5557</v>
      </c>
    </row>
    <row r="396" spans="166:166" ht="14.4" x14ac:dyDescent="0.3">
      <c r="FJ396" t="s">
        <v>3872</v>
      </c>
    </row>
    <row r="397" spans="166:166" ht="14.4" x14ac:dyDescent="0.3">
      <c r="FJ397" t="s">
        <v>5558</v>
      </c>
    </row>
    <row r="398" spans="166:166" ht="14.4" x14ac:dyDescent="0.3">
      <c r="FJ398" t="s">
        <v>5559</v>
      </c>
    </row>
    <row r="399" spans="166:166" ht="14.4" x14ac:dyDescent="0.3">
      <c r="FJ399" t="s">
        <v>5560</v>
      </c>
    </row>
    <row r="400" spans="166:166" ht="14.4" x14ac:dyDescent="0.3">
      <c r="FJ400" t="s">
        <v>5561</v>
      </c>
    </row>
    <row r="401" spans="166:166" ht="14.4" x14ac:dyDescent="0.3">
      <c r="FJ401" t="s">
        <v>5562</v>
      </c>
    </row>
    <row r="402" spans="166:166" ht="14.4" x14ac:dyDescent="0.3">
      <c r="FJ402" t="s">
        <v>5563</v>
      </c>
    </row>
    <row r="403" spans="166:166" ht="14.4" x14ac:dyDescent="0.3">
      <c r="FJ403" t="s">
        <v>5564</v>
      </c>
    </row>
    <row r="404" spans="166:166" ht="14.4" x14ac:dyDescent="0.3">
      <c r="FJ404" t="s">
        <v>5565</v>
      </c>
    </row>
    <row r="405" spans="166:166" ht="14.4" x14ac:dyDescent="0.3">
      <c r="FJ405" t="s">
        <v>5566</v>
      </c>
    </row>
    <row r="406" spans="166:166" ht="14.4" x14ac:dyDescent="0.3">
      <c r="FJ406" t="s">
        <v>5567</v>
      </c>
    </row>
    <row r="407" spans="166:166" ht="14.4" x14ac:dyDescent="0.3">
      <c r="FJ407" t="s">
        <v>5568</v>
      </c>
    </row>
    <row r="408" spans="166:166" ht="14.4" x14ac:dyDescent="0.3">
      <c r="FJ408" t="s">
        <v>5569</v>
      </c>
    </row>
    <row r="409" spans="166:166" ht="14.4" x14ac:dyDescent="0.3">
      <c r="FJ409" t="s">
        <v>5570</v>
      </c>
    </row>
    <row r="410" spans="166:166" ht="14.4" x14ac:dyDescent="0.3">
      <c r="FJ410" t="s">
        <v>5571</v>
      </c>
    </row>
    <row r="411" spans="166:166" ht="14.4" x14ac:dyDescent="0.3">
      <c r="FJ411" t="s">
        <v>5572</v>
      </c>
    </row>
    <row r="412" spans="166:166" ht="14.4" x14ac:dyDescent="0.3">
      <c r="FJ412" t="s">
        <v>5573</v>
      </c>
    </row>
    <row r="413" spans="166:166" ht="14.4" x14ac:dyDescent="0.3">
      <c r="FJ413" t="s">
        <v>5574</v>
      </c>
    </row>
    <row r="414" spans="166:166" ht="14.4" x14ac:dyDescent="0.3">
      <c r="FJ414" t="s">
        <v>5575</v>
      </c>
    </row>
    <row r="415" spans="166:166" ht="14.4" x14ac:dyDescent="0.3">
      <c r="FJ415" t="s">
        <v>5576</v>
      </c>
    </row>
    <row r="416" spans="166:166" ht="14.4" x14ac:dyDescent="0.3">
      <c r="FJ416" t="s">
        <v>5577</v>
      </c>
    </row>
    <row r="417" spans="166:166" ht="14.4" x14ac:dyDescent="0.3">
      <c r="FJ417" t="s">
        <v>5578</v>
      </c>
    </row>
    <row r="418" spans="166:166" ht="14.4" x14ac:dyDescent="0.3">
      <c r="FJ418" t="s">
        <v>5579</v>
      </c>
    </row>
    <row r="419" spans="166:166" ht="14.4" x14ac:dyDescent="0.3">
      <c r="FJ419" t="s">
        <v>5580</v>
      </c>
    </row>
    <row r="420" spans="166:166" ht="14.4" x14ac:dyDescent="0.3">
      <c r="FJ420" t="s">
        <v>5581</v>
      </c>
    </row>
    <row r="421" spans="166:166" ht="14.4" x14ac:dyDescent="0.3">
      <c r="FJ421" t="s">
        <v>5582</v>
      </c>
    </row>
    <row r="422" spans="166:166" ht="14.4" x14ac:dyDescent="0.3">
      <c r="FJ422" t="s">
        <v>5583</v>
      </c>
    </row>
    <row r="423" spans="166:166" ht="14.4" x14ac:dyDescent="0.3">
      <c r="FJ423" t="s">
        <v>5584</v>
      </c>
    </row>
    <row r="424" spans="166:166" ht="14.4" x14ac:dyDescent="0.3">
      <c r="FJ424" t="s">
        <v>5585</v>
      </c>
    </row>
    <row r="425" spans="166:166" ht="14.4" x14ac:dyDescent="0.3">
      <c r="FJ425" t="s">
        <v>5586</v>
      </c>
    </row>
    <row r="426" spans="166:166" ht="14.4" x14ac:dyDescent="0.3">
      <c r="FJ426" t="s">
        <v>5587</v>
      </c>
    </row>
    <row r="427" spans="166:166" ht="14.4" x14ac:dyDescent="0.3">
      <c r="FJ427" t="s">
        <v>5588</v>
      </c>
    </row>
    <row r="428" spans="166:166" ht="14.4" x14ac:dyDescent="0.3">
      <c r="FJ428" t="s">
        <v>5589</v>
      </c>
    </row>
    <row r="429" spans="166:166" ht="14.4" x14ac:dyDescent="0.3">
      <c r="FJ429" t="s">
        <v>5590</v>
      </c>
    </row>
    <row r="430" spans="166:166" ht="14.4" x14ac:dyDescent="0.3">
      <c r="FJ430" t="s">
        <v>5591</v>
      </c>
    </row>
    <row r="431" spans="166:166" ht="14.4" x14ac:dyDescent="0.3">
      <c r="FJ431" t="s">
        <v>5592</v>
      </c>
    </row>
    <row r="432" spans="166:166" ht="14.4" x14ac:dyDescent="0.3">
      <c r="FJ432" t="s">
        <v>4992</v>
      </c>
    </row>
    <row r="433" spans="166:166" ht="14.4" x14ac:dyDescent="0.3">
      <c r="FJ433" t="s">
        <v>4079</v>
      </c>
    </row>
    <row r="434" spans="166:166" ht="14.4" x14ac:dyDescent="0.3">
      <c r="FJ434" t="s">
        <v>5593</v>
      </c>
    </row>
    <row r="435" spans="166:166" ht="14.4" x14ac:dyDescent="0.3">
      <c r="FJ435" t="s">
        <v>5594</v>
      </c>
    </row>
    <row r="436" spans="166:166" ht="14.4" x14ac:dyDescent="0.3">
      <c r="FJ436" t="s">
        <v>5595</v>
      </c>
    </row>
    <row r="437" spans="166:166" ht="14.4" x14ac:dyDescent="0.3">
      <c r="FJ437" t="s">
        <v>5596</v>
      </c>
    </row>
    <row r="438" spans="166:166" ht="14.4" x14ac:dyDescent="0.3">
      <c r="FJ438" t="s">
        <v>4188</v>
      </c>
    </row>
    <row r="439" spans="166:166" ht="14.4" x14ac:dyDescent="0.3">
      <c r="FJ439" t="s">
        <v>5597</v>
      </c>
    </row>
    <row r="440" spans="166:166" ht="14.4" x14ac:dyDescent="0.3">
      <c r="FJ440" t="s">
        <v>5598</v>
      </c>
    </row>
    <row r="441" spans="166:166" ht="14.4" x14ac:dyDescent="0.3">
      <c r="FJ441" t="s">
        <v>5599</v>
      </c>
    </row>
    <row r="442" spans="166:166" ht="14.4" x14ac:dyDescent="0.3">
      <c r="FJ442" t="s">
        <v>5600</v>
      </c>
    </row>
    <row r="443" spans="166:166" ht="14.4" x14ac:dyDescent="0.3">
      <c r="FJ443" t="s">
        <v>5601</v>
      </c>
    </row>
    <row r="444" spans="166:166" ht="14.4" x14ac:dyDescent="0.3">
      <c r="FJ444" t="s">
        <v>5602</v>
      </c>
    </row>
    <row r="445" spans="166:166" ht="14.4" x14ac:dyDescent="0.3">
      <c r="FJ445" t="s">
        <v>5603</v>
      </c>
    </row>
    <row r="446" spans="166:166" ht="14.4" x14ac:dyDescent="0.3">
      <c r="FJ446" t="s">
        <v>5604</v>
      </c>
    </row>
    <row r="447" spans="166:166" ht="14.4" x14ac:dyDescent="0.3">
      <c r="FJ447" t="s">
        <v>5605</v>
      </c>
    </row>
    <row r="448" spans="166:166" ht="14.4" x14ac:dyDescent="0.3">
      <c r="FJ448" t="s">
        <v>5606</v>
      </c>
    </row>
    <row r="449" spans="166:166" ht="14.4" x14ac:dyDescent="0.3">
      <c r="FJ449" t="s">
        <v>5607</v>
      </c>
    </row>
    <row r="450" spans="166:166" ht="14.4" x14ac:dyDescent="0.3">
      <c r="FJ450" t="s">
        <v>5608</v>
      </c>
    </row>
    <row r="451" spans="166:166" ht="14.4" x14ac:dyDescent="0.3">
      <c r="FJ451" t="s">
        <v>5609</v>
      </c>
    </row>
    <row r="452" spans="166:166" ht="14.4" x14ac:dyDescent="0.3">
      <c r="FJ452" t="s">
        <v>5610</v>
      </c>
    </row>
    <row r="453" spans="166:166" ht="14.4" x14ac:dyDescent="0.3">
      <c r="FJ453" t="s">
        <v>5611</v>
      </c>
    </row>
    <row r="454" spans="166:166" ht="14.4" x14ac:dyDescent="0.3">
      <c r="FJ454" t="s">
        <v>5612</v>
      </c>
    </row>
    <row r="455" spans="166:166" ht="14.4" x14ac:dyDescent="0.3">
      <c r="FJ455" t="s">
        <v>5613</v>
      </c>
    </row>
    <row r="456" spans="166:166" ht="14.4" x14ac:dyDescent="0.3">
      <c r="FJ456" t="s">
        <v>5614</v>
      </c>
    </row>
    <row r="457" spans="166:166" ht="14.4" x14ac:dyDescent="0.3">
      <c r="FJ457" t="s">
        <v>5615</v>
      </c>
    </row>
    <row r="458" spans="166:166" ht="14.4" x14ac:dyDescent="0.3">
      <c r="FJ458" t="s">
        <v>5616</v>
      </c>
    </row>
    <row r="459" spans="166:166" ht="14.4" x14ac:dyDescent="0.3">
      <c r="FJ459" t="s">
        <v>5617</v>
      </c>
    </row>
    <row r="460" spans="166:166" ht="14.4" x14ac:dyDescent="0.3">
      <c r="FJ460" t="s">
        <v>4625</v>
      </c>
    </row>
    <row r="461" spans="166:166" ht="14.4" x14ac:dyDescent="0.3">
      <c r="FJ461" t="s">
        <v>5618</v>
      </c>
    </row>
    <row r="462" spans="166:166" ht="14.4" x14ac:dyDescent="0.3">
      <c r="FJ462" t="s">
        <v>5619</v>
      </c>
    </row>
    <row r="463" spans="166:166" ht="14.4" x14ac:dyDescent="0.3">
      <c r="FJ463" t="s">
        <v>5620</v>
      </c>
    </row>
    <row r="464" spans="166:166" ht="14.4" x14ac:dyDescent="0.3">
      <c r="FJ464" t="s">
        <v>5621</v>
      </c>
    </row>
    <row r="465" spans="166:166" ht="14.4" x14ac:dyDescent="0.3">
      <c r="FJ465" t="s">
        <v>5622</v>
      </c>
    </row>
    <row r="466" spans="166:166" ht="14.4" x14ac:dyDescent="0.3">
      <c r="FJ466" t="s">
        <v>5623</v>
      </c>
    </row>
    <row r="467" spans="166:166" ht="14.4" x14ac:dyDescent="0.3">
      <c r="FJ467" t="s">
        <v>5624</v>
      </c>
    </row>
    <row r="468" spans="166:166" ht="14.4" x14ac:dyDescent="0.3">
      <c r="FJ468" t="s">
        <v>5625</v>
      </c>
    </row>
    <row r="469" spans="166:166" ht="14.4" x14ac:dyDescent="0.3">
      <c r="FJ469" t="s">
        <v>5626</v>
      </c>
    </row>
    <row r="470" spans="166:166" ht="14.4" x14ac:dyDescent="0.3">
      <c r="FJ470" t="s">
        <v>5627</v>
      </c>
    </row>
    <row r="471" spans="166:166" ht="14.4" x14ac:dyDescent="0.3">
      <c r="FJ471" t="s">
        <v>5628</v>
      </c>
    </row>
    <row r="472" spans="166:166" ht="14.4" x14ac:dyDescent="0.3">
      <c r="FJ472" t="s">
        <v>5629</v>
      </c>
    </row>
    <row r="473" spans="166:166" ht="14.4" x14ac:dyDescent="0.3">
      <c r="FJ473" t="s">
        <v>5630</v>
      </c>
    </row>
    <row r="474" spans="166:166" ht="14.4" x14ac:dyDescent="0.3">
      <c r="FJ474" t="s">
        <v>5631</v>
      </c>
    </row>
    <row r="475" spans="166:166" ht="14.4" x14ac:dyDescent="0.3">
      <c r="FJ475" t="s">
        <v>5632</v>
      </c>
    </row>
    <row r="476" spans="166:166" ht="14.4" x14ac:dyDescent="0.3">
      <c r="FJ476" t="s">
        <v>5633</v>
      </c>
    </row>
    <row r="477" spans="166:166" ht="14.4" x14ac:dyDescent="0.3">
      <c r="FJ477" t="s">
        <v>5634</v>
      </c>
    </row>
    <row r="478" spans="166:166" ht="14.4" x14ac:dyDescent="0.3">
      <c r="FJ478" t="s">
        <v>5635</v>
      </c>
    </row>
    <row r="479" spans="166:166" ht="14.4" x14ac:dyDescent="0.3">
      <c r="FJ479" t="s">
        <v>5636</v>
      </c>
    </row>
    <row r="480" spans="166:166" ht="14.4" x14ac:dyDescent="0.3">
      <c r="FJ480" t="s">
        <v>5637</v>
      </c>
    </row>
    <row r="481" spans="166:166" ht="14.4" x14ac:dyDescent="0.3">
      <c r="FJ481" t="s">
        <v>5638</v>
      </c>
    </row>
    <row r="482" spans="166:166" ht="14.4" x14ac:dyDescent="0.3">
      <c r="FJ482" t="s">
        <v>4348</v>
      </c>
    </row>
    <row r="483" spans="166:166" ht="14.4" x14ac:dyDescent="0.3">
      <c r="FJ483" t="s">
        <v>4680</v>
      </c>
    </row>
    <row r="484" spans="166:166" ht="14.4" x14ac:dyDescent="0.3">
      <c r="FJ484" t="s">
        <v>5639</v>
      </c>
    </row>
    <row r="485" spans="166:166" ht="14.4" x14ac:dyDescent="0.3">
      <c r="FJ485" t="s">
        <v>5640</v>
      </c>
    </row>
    <row r="486" spans="166:166" ht="14.4" x14ac:dyDescent="0.3">
      <c r="FJ486" t="s">
        <v>5641</v>
      </c>
    </row>
    <row r="487" spans="166:166" ht="14.4" x14ac:dyDescent="0.3">
      <c r="FJ487" t="s">
        <v>5642</v>
      </c>
    </row>
    <row r="488" spans="166:166" ht="14.4" x14ac:dyDescent="0.3">
      <c r="FJ488" t="s">
        <v>5643</v>
      </c>
    </row>
    <row r="489" spans="166:166" ht="14.4" x14ac:dyDescent="0.3">
      <c r="FJ489" t="s">
        <v>5644</v>
      </c>
    </row>
    <row r="490" spans="166:166" ht="14.4" x14ac:dyDescent="0.3">
      <c r="FJ490" t="s">
        <v>5645</v>
      </c>
    </row>
    <row r="491" spans="166:166" ht="14.4" x14ac:dyDescent="0.3">
      <c r="FJ491" t="s">
        <v>5646</v>
      </c>
    </row>
    <row r="492" spans="166:166" ht="14.4" x14ac:dyDescent="0.3">
      <c r="FJ492" t="s">
        <v>5647</v>
      </c>
    </row>
    <row r="493" spans="166:166" ht="14.4" x14ac:dyDescent="0.3">
      <c r="FJ493" t="s">
        <v>5648</v>
      </c>
    </row>
    <row r="494" spans="166:166" ht="14.4" x14ac:dyDescent="0.3">
      <c r="FJ494" t="s">
        <v>5649</v>
      </c>
    </row>
    <row r="495" spans="166:166" ht="14.4" x14ac:dyDescent="0.3">
      <c r="FJ495" t="s">
        <v>5650</v>
      </c>
    </row>
    <row r="496" spans="166:166" ht="14.4" x14ac:dyDescent="0.3">
      <c r="FJ496" t="s">
        <v>5651</v>
      </c>
    </row>
    <row r="497" spans="166:166" ht="14.4" x14ac:dyDescent="0.3">
      <c r="FJ497" t="s">
        <v>5652</v>
      </c>
    </row>
    <row r="498" spans="166:166" ht="14.4" x14ac:dyDescent="0.3">
      <c r="FJ498" t="s">
        <v>5653</v>
      </c>
    </row>
    <row r="499" spans="166:166" ht="14.4" x14ac:dyDescent="0.3">
      <c r="FJ499" t="s">
        <v>5654</v>
      </c>
    </row>
    <row r="500" spans="166:166" ht="14.4" x14ac:dyDescent="0.3">
      <c r="FJ500" t="s">
        <v>3695</v>
      </c>
    </row>
    <row r="501" spans="166:166" ht="14.4" x14ac:dyDescent="0.3">
      <c r="FJ501" t="s">
        <v>5655</v>
      </c>
    </row>
    <row r="502" spans="166:166" ht="14.4" x14ac:dyDescent="0.3">
      <c r="FJ502" t="s">
        <v>5656</v>
      </c>
    </row>
    <row r="503" spans="166:166" ht="14.4" x14ac:dyDescent="0.3">
      <c r="FJ503" t="s">
        <v>5657</v>
      </c>
    </row>
    <row r="504" spans="166:166" ht="14.4" x14ac:dyDescent="0.3">
      <c r="FJ504" t="s">
        <v>5658</v>
      </c>
    </row>
    <row r="505" spans="166:166" ht="14.4" x14ac:dyDescent="0.3">
      <c r="FJ505" t="s">
        <v>5659</v>
      </c>
    </row>
    <row r="506" spans="166:166" ht="14.4" x14ac:dyDescent="0.3">
      <c r="FJ506" t="s">
        <v>5660</v>
      </c>
    </row>
    <row r="507" spans="166:166" ht="14.4" x14ac:dyDescent="0.3">
      <c r="FJ507" t="s">
        <v>5661</v>
      </c>
    </row>
    <row r="508" spans="166:166" ht="14.4" x14ac:dyDescent="0.3">
      <c r="FJ508" t="s">
        <v>5662</v>
      </c>
    </row>
    <row r="509" spans="166:166" ht="14.4" x14ac:dyDescent="0.3">
      <c r="FJ509" t="s">
        <v>5663</v>
      </c>
    </row>
    <row r="510" spans="166:166" ht="14.4" x14ac:dyDescent="0.3">
      <c r="FJ510" t="s">
        <v>5664</v>
      </c>
    </row>
    <row r="511" spans="166:166" ht="14.4" x14ac:dyDescent="0.3">
      <c r="FJ511" t="s">
        <v>5665</v>
      </c>
    </row>
    <row r="512" spans="166:166" ht="14.4" x14ac:dyDescent="0.3">
      <c r="FJ512" t="s">
        <v>5666</v>
      </c>
    </row>
    <row r="513" spans="166:166" ht="14.4" x14ac:dyDescent="0.3">
      <c r="FJ513" t="s">
        <v>5667</v>
      </c>
    </row>
    <row r="514" spans="166:166" ht="14.4" x14ac:dyDescent="0.3">
      <c r="FJ514" t="s">
        <v>5668</v>
      </c>
    </row>
    <row r="515" spans="166:166" ht="14.4" x14ac:dyDescent="0.3">
      <c r="FJ515" t="s">
        <v>5669</v>
      </c>
    </row>
    <row r="516" spans="166:166" ht="14.4" x14ac:dyDescent="0.3">
      <c r="FJ516" t="s">
        <v>5670</v>
      </c>
    </row>
    <row r="517" spans="166:166" ht="14.4" x14ac:dyDescent="0.3">
      <c r="FJ517" t="s">
        <v>5671</v>
      </c>
    </row>
    <row r="518" spans="166:166" ht="14.4" x14ac:dyDescent="0.3">
      <c r="FJ518" t="s">
        <v>5672</v>
      </c>
    </row>
    <row r="519" spans="166:166" ht="14.4" x14ac:dyDescent="0.3">
      <c r="FJ519" t="s">
        <v>5673</v>
      </c>
    </row>
    <row r="520" spans="166:166" ht="14.4" x14ac:dyDescent="0.3">
      <c r="FJ520" t="s">
        <v>5674</v>
      </c>
    </row>
    <row r="521" spans="166:166" ht="14.4" x14ac:dyDescent="0.3">
      <c r="FJ521" t="s">
        <v>5675</v>
      </c>
    </row>
    <row r="522" spans="166:166" ht="14.4" x14ac:dyDescent="0.3">
      <c r="FJ522" t="s">
        <v>5676</v>
      </c>
    </row>
    <row r="523" spans="166:166" ht="14.4" x14ac:dyDescent="0.3">
      <c r="FJ523" t="s">
        <v>5677</v>
      </c>
    </row>
    <row r="524" spans="166:166" ht="14.4" x14ac:dyDescent="0.3">
      <c r="FJ524" t="s">
        <v>5678</v>
      </c>
    </row>
    <row r="525" spans="166:166" ht="14.4" x14ac:dyDescent="0.3">
      <c r="FJ525" t="s">
        <v>5679</v>
      </c>
    </row>
    <row r="526" spans="166:166" ht="14.4" x14ac:dyDescent="0.3">
      <c r="FJ526" t="s">
        <v>5680</v>
      </c>
    </row>
    <row r="527" spans="166:166" ht="14.4" x14ac:dyDescent="0.3">
      <c r="FJ527" t="s">
        <v>5681</v>
      </c>
    </row>
    <row r="528" spans="166:166" ht="14.4" x14ac:dyDescent="0.3">
      <c r="FJ528" t="s">
        <v>5682</v>
      </c>
    </row>
    <row r="529" spans="166:166" ht="14.4" x14ac:dyDescent="0.3">
      <c r="FJ529" t="s">
        <v>5683</v>
      </c>
    </row>
    <row r="530" spans="166:166" ht="14.4" x14ac:dyDescent="0.3">
      <c r="FJ530" t="s">
        <v>5684</v>
      </c>
    </row>
    <row r="531" spans="166:166" ht="14.4" x14ac:dyDescent="0.3">
      <c r="FJ531" t="s">
        <v>5685</v>
      </c>
    </row>
    <row r="532" spans="166:166" ht="14.4" x14ac:dyDescent="0.3">
      <c r="FJ532" t="s">
        <v>5686</v>
      </c>
    </row>
    <row r="533" spans="166:166" ht="14.4" x14ac:dyDescent="0.3">
      <c r="FJ533" t="s">
        <v>5687</v>
      </c>
    </row>
    <row r="534" spans="166:166" ht="14.4" x14ac:dyDescent="0.3">
      <c r="FJ534" t="s">
        <v>5688</v>
      </c>
    </row>
    <row r="535" spans="166:166" ht="14.4" x14ac:dyDescent="0.3">
      <c r="FJ535" t="s">
        <v>5689</v>
      </c>
    </row>
    <row r="536" spans="166:166" ht="14.4" x14ac:dyDescent="0.3">
      <c r="FJ536" t="s">
        <v>5690</v>
      </c>
    </row>
    <row r="537" spans="166:166" ht="14.4" x14ac:dyDescent="0.3">
      <c r="FJ537" t="s">
        <v>5691</v>
      </c>
    </row>
    <row r="538" spans="166:166" ht="14.4" x14ac:dyDescent="0.3">
      <c r="FJ538" t="s">
        <v>5692</v>
      </c>
    </row>
    <row r="539" spans="166:166" ht="14.4" x14ac:dyDescent="0.3">
      <c r="FJ539" t="s">
        <v>5693</v>
      </c>
    </row>
    <row r="540" spans="166:166" ht="14.4" x14ac:dyDescent="0.3">
      <c r="FJ540" t="s">
        <v>5694</v>
      </c>
    </row>
    <row r="541" spans="166:166" ht="14.4" x14ac:dyDescent="0.3">
      <c r="FJ541" t="s">
        <v>5695</v>
      </c>
    </row>
    <row r="542" spans="166:166" ht="14.4" x14ac:dyDescent="0.3">
      <c r="FJ542" t="s">
        <v>5696</v>
      </c>
    </row>
    <row r="543" spans="166:166" ht="14.4" x14ac:dyDescent="0.3">
      <c r="FJ543" t="s">
        <v>5697</v>
      </c>
    </row>
    <row r="544" spans="166:166" ht="14.4" x14ac:dyDescent="0.3">
      <c r="FJ544" t="s">
        <v>5698</v>
      </c>
    </row>
    <row r="545" spans="166:166" ht="14.4" x14ac:dyDescent="0.3">
      <c r="FJ545" t="s">
        <v>5699</v>
      </c>
    </row>
    <row r="546" spans="166:166" ht="14.4" x14ac:dyDescent="0.3">
      <c r="FJ546" t="s">
        <v>5700</v>
      </c>
    </row>
    <row r="547" spans="166:166" ht="14.4" x14ac:dyDescent="0.3">
      <c r="FJ547" t="s">
        <v>5701</v>
      </c>
    </row>
    <row r="548" spans="166:166" ht="14.4" x14ac:dyDescent="0.3">
      <c r="FJ548" t="s">
        <v>5702</v>
      </c>
    </row>
    <row r="549" spans="166:166" ht="14.4" x14ac:dyDescent="0.3">
      <c r="FJ549" t="s">
        <v>5703</v>
      </c>
    </row>
    <row r="550" spans="166:166" ht="14.4" x14ac:dyDescent="0.3">
      <c r="FJ550" t="s">
        <v>5704</v>
      </c>
    </row>
    <row r="551" spans="166:166" ht="14.4" x14ac:dyDescent="0.3">
      <c r="FJ551" t="s">
        <v>5705</v>
      </c>
    </row>
    <row r="552" spans="166:166" ht="14.4" x14ac:dyDescent="0.3">
      <c r="FJ552" t="s">
        <v>5706</v>
      </c>
    </row>
    <row r="553" spans="166:166" ht="14.4" x14ac:dyDescent="0.3">
      <c r="FJ553" t="s">
        <v>5707</v>
      </c>
    </row>
    <row r="554" spans="166:166" ht="14.4" x14ac:dyDescent="0.3">
      <c r="FJ554" t="s">
        <v>5708</v>
      </c>
    </row>
    <row r="555" spans="166:166" ht="14.4" x14ac:dyDescent="0.3">
      <c r="FJ555" t="s">
        <v>5709</v>
      </c>
    </row>
    <row r="556" spans="166:166" ht="14.4" x14ac:dyDescent="0.3">
      <c r="FJ556" t="s">
        <v>5710</v>
      </c>
    </row>
    <row r="557" spans="166:166" ht="14.4" x14ac:dyDescent="0.3">
      <c r="FJ557" t="s">
        <v>5711</v>
      </c>
    </row>
    <row r="558" spans="166:166" ht="14.4" x14ac:dyDescent="0.3">
      <c r="FJ558" t="s">
        <v>5712</v>
      </c>
    </row>
    <row r="559" spans="166:166" ht="14.4" x14ac:dyDescent="0.3">
      <c r="FJ559" t="s">
        <v>4921</v>
      </c>
    </row>
    <row r="560" spans="166:166" ht="14.4" x14ac:dyDescent="0.3">
      <c r="FJ560" t="s">
        <v>5713</v>
      </c>
    </row>
    <row r="561" spans="166:166" ht="14.4" x14ac:dyDescent="0.3">
      <c r="FJ561" t="s">
        <v>3614</v>
      </c>
    </row>
    <row r="562" spans="166:166" ht="14.4" x14ac:dyDescent="0.3">
      <c r="FJ562" t="s">
        <v>5714</v>
      </c>
    </row>
    <row r="563" spans="166:166" ht="14.4" x14ac:dyDescent="0.3">
      <c r="FJ563" t="s">
        <v>3938</v>
      </c>
    </row>
    <row r="564" spans="166:166" ht="14.4" x14ac:dyDescent="0.3">
      <c r="FJ564" t="s">
        <v>5715</v>
      </c>
    </row>
    <row r="565" spans="166:166" ht="14.4" x14ac:dyDescent="0.3">
      <c r="FJ565" t="s">
        <v>5716</v>
      </c>
    </row>
    <row r="566" spans="166:166" ht="14.4" x14ac:dyDescent="0.3">
      <c r="FJ566" t="s">
        <v>5717</v>
      </c>
    </row>
    <row r="567" spans="166:166" ht="14.4" x14ac:dyDescent="0.3">
      <c r="FJ567" t="s">
        <v>5718</v>
      </c>
    </row>
    <row r="568" spans="166:166" ht="14.4" x14ac:dyDescent="0.3">
      <c r="FJ568" t="s">
        <v>5719</v>
      </c>
    </row>
    <row r="569" spans="166:166" ht="14.4" x14ac:dyDescent="0.3">
      <c r="FJ569" t="s">
        <v>5720</v>
      </c>
    </row>
    <row r="570" spans="166:166" ht="14.4" x14ac:dyDescent="0.3">
      <c r="FJ570" t="s">
        <v>5721</v>
      </c>
    </row>
    <row r="571" spans="166:166" ht="14.4" x14ac:dyDescent="0.3">
      <c r="FJ571" t="s">
        <v>5722</v>
      </c>
    </row>
    <row r="572" spans="166:166" ht="14.4" x14ac:dyDescent="0.3">
      <c r="FJ572" t="s">
        <v>5723</v>
      </c>
    </row>
    <row r="573" spans="166:166" ht="14.4" x14ac:dyDescent="0.3">
      <c r="FJ573" t="s">
        <v>5724</v>
      </c>
    </row>
    <row r="574" spans="166:166" ht="14.4" x14ac:dyDescent="0.3">
      <c r="FJ574" t="s">
        <v>5725</v>
      </c>
    </row>
    <row r="575" spans="166:166" ht="14.4" x14ac:dyDescent="0.3">
      <c r="FJ575" t="s">
        <v>5726</v>
      </c>
    </row>
    <row r="576" spans="166:166" ht="14.4" x14ac:dyDescent="0.3">
      <c r="FJ576" t="s">
        <v>5727</v>
      </c>
    </row>
    <row r="577" spans="166:166" ht="14.4" x14ac:dyDescent="0.3">
      <c r="FJ577" t="s">
        <v>5728</v>
      </c>
    </row>
    <row r="578" spans="166:166" ht="14.4" x14ac:dyDescent="0.3">
      <c r="FJ578" t="s">
        <v>5729</v>
      </c>
    </row>
    <row r="579" spans="166:166" ht="14.4" x14ac:dyDescent="0.3">
      <c r="FJ579" t="s">
        <v>5730</v>
      </c>
    </row>
    <row r="580" spans="166:166" ht="14.4" x14ac:dyDescent="0.3">
      <c r="FJ580" t="s">
        <v>5731</v>
      </c>
    </row>
    <row r="581" spans="166:166" ht="14.4" x14ac:dyDescent="0.3">
      <c r="FJ581" t="s">
        <v>5732</v>
      </c>
    </row>
    <row r="582" spans="166:166" ht="14.4" x14ac:dyDescent="0.3">
      <c r="FJ582" t="s">
        <v>5733</v>
      </c>
    </row>
    <row r="583" spans="166:166" ht="14.4" x14ac:dyDescent="0.3">
      <c r="FJ583" t="s">
        <v>5734</v>
      </c>
    </row>
    <row r="584" spans="166:166" ht="14.4" x14ac:dyDescent="0.3">
      <c r="FJ584" t="s">
        <v>5735</v>
      </c>
    </row>
    <row r="585" spans="166:166" ht="14.4" x14ac:dyDescent="0.3">
      <c r="FJ585" t="s">
        <v>5736</v>
      </c>
    </row>
    <row r="586" spans="166:166" ht="14.4" x14ac:dyDescent="0.3">
      <c r="FJ586" t="s">
        <v>5737</v>
      </c>
    </row>
    <row r="587" spans="166:166" ht="14.4" x14ac:dyDescent="0.3">
      <c r="FJ587" t="s">
        <v>5738</v>
      </c>
    </row>
    <row r="588" spans="166:166" ht="14.4" x14ac:dyDescent="0.3">
      <c r="FJ588" t="s">
        <v>5739</v>
      </c>
    </row>
    <row r="589" spans="166:166" ht="14.4" x14ac:dyDescent="0.3">
      <c r="FJ589" t="s">
        <v>5740</v>
      </c>
    </row>
    <row r="590" spans="166:166" ht="14.4" x14ac:dyDescent="0.3">
      <c r="FJ590" t="s">
        <v>5741</v>
      </c>
    </row>
    <row r="591" spans="166:166" ht="14.4" x14ac:dyDescent="0.3">
      <c r="FJ591" t="s">
        <v>5742</v>
      </c>
    </row>
    <row r="592" spans="166:166" ht="14.4" x14ac:dyDescent="0.3">
      <c r="FJ592" t="s">
        <v>5743</v>
      </c>
    </row>
    <row r="593" spans="166:166" ht="14.4" x14ac:dyDescent="0.3">
      <c r="FJ593" t="s">
        <v>5744</v>
      </c>
    </row>
    <row r="594" spans="166:166" ht="14.4" x14ac:dyDescent="0.3">
      <c r="FJ594" t="s">
        <v>5745</v>
      </c>
    </row>
    <row r="595" spans="166:166" ht="14.4" x14ac:dyDescent="0.3">
      <c r="FJ595" t="s">
        <v>5746</v>
      </c>
    </row>
    <row r="596" spans="166:166" ht="14.4" x14ac:dyDescent="0.3">
      <c r="FJ596" t="s">
        <v>5747</v>
      </c>
    </row>
    <row r="597" spans="166:166" ht="14.4" x14ac:dyDescent="0.3">
      <c r="FJ597" t="s">
        <v>5748</v>
      </c>
    </row>
    <row r="598" spans="166:166" ht="14.4" x14ac:dyDescent="0.3">
      <c r="FJ598" t="s">
        <v>5749</v>
      </c>
    </row>
    <row r="599" spans="166:166" ht="14.4" x14ac:dyDescent="0.3">
      <c r="FJ599" t="s">
        <v>5750</v>
      </c>
    </row>
    <row r="600" spans="166:166" ht="14.4" x14ac:dyDescent="0.3">
      <c r="FJ600" t="s">
        <v>5751</v>
      </c>
    </row>
    <row r="601" spans="166:166" ht="14.4" x14ac:dyDescent="0.3">
      <c r="FJ601" t="s">
        <v>5752</v>
      </c>
    </row>
    <row r="602" spans="166:166" ht="14.4" x14ac:dyDescent="0.3">
      <c r="FJ602" t="s">
        <v>5753</v>
      </c>
    </row>
    <row r="603" spans="166:166" ht="14.4" x14ac:dyDescent="0.3">
      <c r="FJ603" t="s">
        <v>5754</v>
      </c>
    </row>
    <row r="604" spans="166:166" ht="14.4" x14ac:dyDescent="0.3">
      <c r="FJ604" t="s">
        <v>5755</v>
      </c>
    </row>
    <row r="605" spans="166:166" ht="14.4" x14ac:dyDescent="0.3">
      <c r="FJ605" t="s">
        <v>5756</v>
      </c>
    </row>
    <row r="606" spans="166:166" ht="14.4" x14ac:dyDescent="0.3">
      <c r="FJ606" t="s">
        <v>5757</v>
      </c>
    </row>
    <row r="607" spans="166:166" ht="14.4" x14ac:dyDescent="0.3">
      <c r="FJ607" t="s">
        <v>4597</v>
      </c>
    </row>
    <row r="608" spans="166:166" ht="14.4" x14ac:dyDescent="0.3">
      <c r="FJ608" t="s">
        <v>5758</v>
      </c>
    </row>
    <row r="609" spans="166:166" ht="14.4" x14ac:dyDescent="0.3">
      <c r="FJ609" t="s">
        <v>5759</v>
      </c>
    </row>
    <row r="610" spans="166:166" ht="14.4" x14ac:dyDescent="0.3">
      <c r="FJ610" t="s">
        <v>5760</v>
      </c>
    </row>
    <row r="611" spans="166:166" ht="14.4" x14ac:dyDescent="0.3">
      <c r="FJ611" t="s">
        <v>5761</v>
      </c>
    </row>
    <row r="612" spans="166:166" ht="14.4" x14ac:dyDescent="0.3">
      <c r="FJ612" t="s">
        <v>4044</v>
      </c>
    </row>
    <row r="613" spans="166:166" ht="14.4" x14ac:dyDescent="0.3">
      <c r="FJ613" t="s">
        <v>5762</v>
      </c>
    </row>
    <row r="614" spans="166:166" ht="14.4" x14ac:dyDescent="0.3">
      <c r="FJ614" t="s">
        <v>5763</v>
      </c>
    </row>
    <row r="615" spans="166:166" ht="14.4" x14ac:dyDescent="0.3">
      <c r="FJ615" t="s">
        <v>5764</v>
      </c>
    </row>
    <row r="616" spans="166:166" ht="14.4" x14ac:dyDescent="0.3">
      <c r="FJ616" t="s">
        <v>4045</v>
      </c>
    </row>
    <row r="617" spans="166:166" ht="14.4" x14ac:dyDescent="0.3">
      <c r="FJ617" t="s">
        <v>5765</v>
      </c>
    </row>
    <row r="618" spans="166:166" ht="14.4" x14ac:dyDescent="0.3">
      <c r="FJ618" t="s">
        <v>5766</v>
      </c>
    </row>
    <row r="619" spans="166:166" ht="14.4" x14ac:dyDescent="0.3">
      <c r="FJ619" t="s">
        <v>5767</v>
      </c>
    </row>
    <row r="620" spans="166:166" ht="14.4" x14ac:dyDescent="0.3">
      <c r="FJ620" t="s">
        <v>5768</v>
      </c>
    </row>
    <row r="621" spans="166:166" ht="14.4" x14ac:dyDescent="0.3">
      <c r="FJ621" t="s">
        <v>5769</v>
      </c>
    </row>
    <row r="622" spans="166:166" ht="14.4" x14ac:dyDescent="0.3">
      <c r="FJ622" t="s">
        <v>5770</v>
      </c>
    </row>
    <row r="623" spans="166:166" ht="14.4" x14ac:dyDescent="0.3">
      <c r="FJ623" t="s">
        <v>5771</v>
      </c>
    </row>
    <row r="624" spans="166:166" ht="14.4" x14ac:dyDescent="0.3">
      <c r="FJ624" t="s">
        <v>5772</v>
      </c>
    </row>
    <row r="625" spans="166:166" ht="14.4" x14ac:dyDescent="0.3">
      <c r="FJ625" t="s">
        <v>5773</v>
      </c>
    </row>
    <row r="626" spans="166:166" ht="14.4" x14ac:dyDescent="0.3">
      <c r="FJ626" t="s">
        <v>5774</v>
      </c>
    </row>
    <row r="627" spans="166:166" ht="14.4" x14ac:dyDescent="0.3">
      <c r="FJ627" t="s">
        <v>5775</v>
      </c>
    </row>
    <row r="628" spans="166:166" ht="14.4" x14ac:dyDescent="0.3">
      <c r="FJ628" t="s">
        <v>5776</v>
      </c>
    </row>
    <row r="629" spans="166:166" ht="14.4" x14ac:dyDescent="0.3">
      <c r="FJ629" t="s">
        <v>5777</v>
      </c>
    </row>
    <row r="630" spans="166:166" ht="14.4" x14ac:dyDescent="0.3">
      <c r="FJ630" t="s">
        <v>5778</v>
      </c>
    </row>
    <row r="631" spans="166:166" ht="14.4" x14ac:dyDescent="0.3">
      <c r="FJ631" t="s">
        <v>5779</v>
      </c>
    </row>
    <row r="632" spans="166:166" ht="14.4" x14ac:dyDescent="0.3">
      <c r="FJ632" t="s">
        <v>5780</v>
      </c>
    </row>
    <row r="633" spans="166:166" ht="14.4" x14ac:dyDescent="0.3">
      <c r="FJ633" t="s">
        <v>5781</v>
      </c>
    </row>
    <row r="634" spans="166:166" ht="14.4" x14ac:dyDescent="0.3">
      <c r="FJ634" t="s">
        <v>5782</v>
      </c>
    </row>
    <row r="635" spans="166:166" ht="14.4" x14ac:dyDescent="0.3">
      <c r="FJ635" t="s">
        <v>5783</v>
      </c>
    </row>
    <row r="636" spans="166:166" ht="14.4" x14ac:dyDescent="0.3">
      <c r="FJ636" t="s">
        <v>5784</v>
      </c>
    </row>
    <row r="637" spans="166:166" ht="14.4" x14ac:dyDescent="0.3">
      <c r="FJ637" t="s">
        <v>5785</v>
      </c>
    </row>
    <row r="638" spans="166:166" ht="14.4" x14ac:dyDescent="0.3">
      <c r="FJ638" t="s">
        <v>5786</v>
      </c>
    </row>
    <row r="639" spans="166:166" ht="14.4" x14ac:dyDescent="0.3">
      <c r="FJ639" t="s">
        <v>5787</v>
      </c>
    </row>
    <row r="640" spans="166:166" ht="14.4" x14ac:dyDescent="0.3">
      <c r="FJ640" t="s">
        <v>5788</v>
      </c>
    </row>
    <row r="641" spans="166:166" ht="14.4" x14ac:dyDescent="0.3">
      <c r="FJ641" t="s">
        <v>5789</v>
      </c>
    </row>
    <row r="642" spans="166:166" ht="14.4" x14ac:dyDescent="0.3">
      <c r="FJ642" t="s">
        <v>5790</v>
      </c>
    </row>
    <row r="643" spans="166:166" ht="14.4" x14ac:dyDescent="0.3">
      <c r="FJ643" t="s">
        <v>4076</v>
      </c>
    </row>
    <row r="644" spans="166:166" ht="14.4" x14ac:dyDescent="0.3">
      <c r="FJ644" t="s">
        <v>5791</v>
      </c>
    </row>
    <row r="645" spans="166:166" ht="14.4" x14ac:dyDescent="0.3">
      <c r="FJ645" t="s">
        <v>5792</v>
      </c>
    </row>
    <row r="646" spans="166:166" ht="14.4" x14ac:dyDescent="0.3">
      <c r="FJ646" t="s">
        <v>5793</v>
      </c>
    </row>
    <row r="647" spans="166:166" ht="14.4" x14ac:dyDescent="0.3"/>
    <row r="648" spans="166:166" ht="14.4" x14ac:dyDescent="0.3"/>
    <row r="649" spans="166:166" ht="14.4" x14ac:dyDescent="0.3"/>
    <row r="650" spans="166:166" ht="14.4" x14ac:dyDescent="0.3"/>
    <row r="651" spans="166:166" ht="14.4" x14ac:dyDescent="0.3"/>
    <row r="652" spans="166:166" ht="14.4" x14ac:dyDescent="0.3"/>
    <row r="653" spans="166:166" ht="14.4" x14ac:dyDescent="0.3"/>
    <row r="654" spans="166:166" ht="14.4" x14ac:dyDescent="0.3"/>
    <row r="655" spans="166:166" ht="14.4" x14ac:dyDescent="0.3"/>
    <row r="656" spans="166:166" ht="14.4" x14ac:dyDescent="0.3"/>
    <row r="657" ht="14.4" x14ac:dyDescent="0.3"/>
    <row r="658" ht="14.4" x14ac:dyDescent="0.3"/>
    <row r="659" ht="14.4" x14ac:dyDescent="0.3"/>
    <row r="660" ht="14.4" x14ac:dyDescent="0.3"/>
    <row r="661" ht="14.4" x14ac:dyDescent="0.3"/>
    <row r="662" ht="14.4" x14ac:dyDescent="0.3"/>
    <row r="663" ht="14.4" x14ac:dyDescent="0.3"/>
    <row r="664" ht="14.4" x14ac:dyDescent="0.3"/>
    <row r="665" ht="14.4" x14ac:dyDescent="0.3"/>
    <row r="666" ht="14.4" x14ac:dyDescent="0.3"/>
    <row r="667" ht="14.4" x14ac:dyDescent="0.3"/>
    <row r="668" ht="14.4" x14ac:dyDescent="0.3"/>
    <row r="669" ht="14.4" x14ac:dyDescent="0.3"/>
    <row r="670" ht="14.4" x14ac:dyDescent="0.3"/>
    <row r="671" ht="14.4" x14ac:dyDescent="0.3"/>
    <row r="672" ht="14.4" x14ac:dyDescent="0.3"/>
    <row r="673" ht="14.4" x14ac:dyDescent="0.3"/>
    <row r="674" ht="14.4" x14ac:dyDescent="0.3"/>
    <row r="675" ht="14.4" x14ac:dyDescent="0.3"/>
    <row r="676" ht="14.4" x14ac:dyDescent="0.3"/>
    <row r="677" ht="14.4" x14ac:dyDescent="0.3"/>
    <row r="678" ht="14.4" x14ac:dyDescent="0.3"/>
    <row r="679" ht="14.4" x14ac:dyDescent="0.3"/>
    <row r="680" ht="14.4" x14ac:dyDescent="0.3"/>
    <row r="681" ht="14.4" x14ac:dyDescent="0.3"/>
    <row r="682" ht="14.4" x14ac:dyDescent="0.3"/>
    <row r="683" ht="14.4" x14ac:dyDescent="0.3"/>
    <row r="684" ht="14.4" x14ac:dyDescent="0.3"/>
    <row r="685" ht="14.4" x14ac:dyDescent="0.3"/>
    <row r="686" ht="14.4" x14ac:dyDescent="0.3"/>
    <row r="687" ht="14.4" x14ac:dyDescent="0.3"/>
    <row r="688" ht="14.4" x14ac:dyDescent="0.3"/>
    <row r="689" ht="14.4" x14ac:dyDescent="0.3"/>
    <row r="690" ht="14.4" x14ac:dyDescent="0.3"/>
    <row r="691" ht="14.4" x14ac:dyDescent="0.3"/>
    <row r="692" ht="14.4" x14ac:dyDescent="0.3"/>
    <row r="693" ht="14.4" x14ac:dyDescent="0.3"/>
    <row r="694" ht="14.4" x14ac:dyDescent="0.3"/>
    <row r="695" ht="14.4" x14ac:dyDescent="0.3"/>
    <row r="696" ht="14.4" x14ac:dyDescent="0.3"/>
    <row r="697" ht="14.4" x14ac:dyDescent="0.3"/>
    <row r="698" ht="14.4" x14ac:dyDescent="0.3"/>
    <row r="699" ht="14.4" x14ac:dyDescent="0.3"/>
    <row r="700" ht="14.4" x14ac:dyDescent="0.3"/>
    <row r="701" ht="14.4" x14ac:dyDescent="0.3"/>
    <row r="702" ht="14.4" x14ac:dyDescent="0.3"/>
    <row r="703" ht="14.4" x14ac:dyDescent="0.3"/>
    <row r="704" ht="14.4" x14ac:dyDescent="0.3"/>
    <row r="705" ht="14.4" x14ac:dyDescent="0.3"/>
    <row r="706" ht="14.4" x14ac:dyDescent="0.3"/>
    <row r="707" ht="14.4" x14ac:dyDescent="0.3"/>
    <row r="708" ht="14.4" x14ac:dyDescent="0.3"/>
    <row r="709" ht="14.4" x14ac:dyDescent="0.3"/>
    <row r="710" ht="14.4" x14ac:dyDescent="0.3"/>
    <row r="711" ht="14.4" x14ac:dyDescent="0.3"/>
    <row r="712" ht="14.4" x14ac:dyDescent="0.3"/>
    <row r="713" ht="14.4" x14ac:dyDescent="0.3"/>
    <row r="714" ht="14.4" x14ac:dyDescent="0.3"/>
    <row r="715" ht="14.4" x14ac:dyDescent="0.3"/>
    <row r="716" ht="14.4" x14ac:dyDescent="0.3"/>
    <row r="717" ht="14.4" x14ac:dyDescent="0.3"/>
    <row r="718" ht="14.4" x14ac:dyDescent="0.3"/>
    <row r="719" ht="14.4" x14ac:dyDescent="0.3"/>
    <row r="720" ht="14.4" x14ac:dyDescent="0.3"/>
    <row r="721" ht="14.4" x14ac:dyDescent="0.3"/>
    <row r="722" ht="14.4" x14ac:dyDescent="0.3"/>
    <row r="723" ht="14.4" x14ac:dyDescent="0.3"/>
    <row r="724" ht="14.4" x14ac:dyDescent="0.3"/>
    <row r="725" ht="14.4" x14ac:dyDescent="0.3"/>
    <row r="726" ht="14.4" x14ac:dyDescent="0.3"/>
    <row r="727" ht="14.4" x14ac:dyDescent="0.3"/>
    <row r="728" ht="14.4" x14ac:dyDescent="0.3"/>
    <row r="729" ht="14.4" x14ac:dyDescent="0.3"/>
    <row r="730" ht="14.4" x14ac:dyDescent="0.3"/>
    <row r="731" ht="14.4" x14ac:dyDescent="0.3"/>
    <row r="732" ht="14.4" x14ac:dyDescent="0.3"/>
    <row r="733" ht="14.4" x14ac:dyDescent="0.3"/>
    <row r="734" ht="14.4" x14ac:dyDescent="0.3"/>
    <row r="735" ht="14.4" x14ac:dyDescent="0.3"/>
    <row r="736" ht="14.4" x14ac:dyDescent="0.3"/>
    <row r="737" ht="14.4" x14ac:dyDescent="0.3"/>
    <row r="738" ht="14.4" x14ac:dyDescent="0.3"/>
    <row r="739" ht="14.4" x14ac:dyDescent="0.3"/>
    <row r="740" ht="14.4" x14ac:dyDescent="0.3"/>
    <row r="741" ht="14.4" x14ac:dyDescent="0.3"/>
    <row r="742" ht="14.4" x14ac:dyDescent="0.3"/>
    <row r="743" ht="14.4" x14ac:dyDescent="0.3"/>
    <row r="744" ht="14.4" x14ac:dyDescent="0.3"/>
    <row r="745" ht="14.4" x14ac:dyDescent="0.3"/>
    <row r="746" ht="14.4" x14ac:dyDescent="0.3"/>
    <row r="747" ht="14.4" x14ac:dyDescent="0.3"/>
    <row r="748" ht="14.4" x14ac:dyDescent="0.3"/>
    <row r="749" ht="14.4" x14ac:dyDescent="0.3"/>
    <row r="750" ht="14.4" x14ac:dyDescent="0.3"/>
    <row r="751" ht="14.4" x14ac:dyDescent="0.3"/>
    <row r="752" ht="14.4" x14ac:dyDescent="0.3"/>
    <row r="753" ht="14.4" x14ac:dyDescent="0.3"/>
    <row r="754" ht="14.4" x14ac:dyDescent="0.3"/>
    <row r="755" ht="14.4" x14ac:dyDescent="0.3"/>
    <row r="756" ht="14.4" x14ac:dyDescent="0.3"/>
    <row r="757" ht="14.4" x14ac:dyDescent="0.3"/>
    <row r="758" ht="14.4" x14ac:dyDescent="0.3"/>
    <row r="759" ht="14.4" x14ac:dyDescent="0.3"/>
    <row r="760" ht="14.4" x14ac:dyDescent="0.3"/>
    <row r="761" ht="14.4" x14ac:dyDescent="0.3"/>
    <row r="762" ht="14.4" x14ac:dyDescent="0.3"/>
    <row r="763" ht="14.4" x14ac:dyDescent="0.3"/>
    <row r="764" ht="14.4" x14ac:dyDescent="0.3"/>
    <row r="765" ht="14.4" x14ac:dyDescent="0.3"/>
    <row r="766" ht="14.4" x14ac:dyDescent="0.3"/>
    <row r="767" ht="14.4" x14ac:dyDescent="0.3"/>
    <row r="768" ht="14.4" x14ac:dyDescent="0.3"/>
    <row r="769" ht="14.4" x14ac:dyDescent="0.3"/>
    <row r="770" ht="14.4" x14ac:dyDescent="0.3"/>
    <row r="771" ht="14.4" x14ac:dyDescent="0.3"/>
    <row r="772" ht="14.4" x14ac:dyDescent="0.3"/>
    <row r="773" ht="14.4" x14ac:dyDescent="0.3"/>
    <row r="774" ht="14.4" x14ac:dyDescent="0.3"/>
    <row r="775" ht="14.4" x14ac:dyDescent="0.3"/>
    <row r="776" ht="14.4" x14ac:dyDescent="0.3"/>
    <row r="777" ht="14.4" x14ac:dyDescent="0.3"/>
    <row r="778" ht="14.4" x14ac:dyDescent="0.3"/>
    <row r="779" ht="14.4" x14ac:dyDescent="0.3"/>
    <row r="780" ht="14.4" x14ac:dyDescent="0.3"/>
    <row r="781" ht="14.4" x14ac:dyDescent="0.3"/>
    <row r="782" ht="14.4" x14ac:dyDescent="0.3"/>
    <row r="783" ht="14.4" x14ac:dyDescent="0.3"/>
    <row r="784" ht="14.4" x14ac:dyDescent="0.3"/>
    <row r="785" ht="14.4" x14ac:dyDescent="0.3"/>
    <row r="786" ht="14.4" x14ac:dyDescent="0.3"/>
    <row r="787" ht="14.4" x14ac:dyDescent="0.3"/>
    <row r="788" ht="14.4" x14ac:dyDescent="0.3"/>
    <row r="789" ht="14.4" x14ac:dyDescent="0.3"/>
    <row r="790" ht="14.4" x14ac:dyDescent="0.3"/>
    <row r="791" ht="14.4" x14ac:dyDescent="0.3"/>
    <row r="792" ht="14.4" x14ac:dyDescent="0.3"/>
    <row r="793" ht="14.4" x14ac:dyDescent="0.3"/>
    <row r="794" ht="14.4" x14ac:dyDescent="0.3"/>
    <row r="795" ht="14.4" x14ac:dyDescent="0.3"/>
    <row r="796" ht="14.4" x14ac:dyDescent="0.3"/>
    <row r="797" ht="14.4" x14ac:dyDescent="0.3"/>
    <row r="798" ht="14.4" x14ac:dyDescent="0.3"/>
    <row r="799" ht="14.4" x14ac:dyDescent="0.3"/>
    <row r="800" ht="14.4" x14ac:dyDescent="0.3"/>
    <row r="801" ht="14.4" x14ac:dyDescent="0.3"/>
    <row r="802" ht="14.4" x14ac:dyDescent="0.3"/>
    <row r="803" ht="14.4" x14ac:dyDescent="0.3"/>
    <row r="804" ht="14.4" x14ac:dyDescent="0.3"/>
    <row r="805" ht="14.4" x14ac:dyDescent="0.3"/>
    <row r="806" ht="14.4" x14ac:dyDescent="0.3"/>
    <row r="807" ht="14.4" x14ac:dyDescent="0.3"/>
    <row r="808" ht="14.4" x14ac:dyDescent="0.3"/>
    <row r="809" ht="14.4" x14ac:dyDescent="0.3"/>
    <row r="810" ht="14.4" x14ac:dyDescent="0.3"/>
    <row r="811" ht="14.4" x14ac:dyDescent="0.3"/>
    <row r="812" ht="14.4" x14ac:dyDescent="0.3"/>
    <row r="813" ht="14.4" x14ac:dyDescent="0.3"/>
    <row r="814" ht="14.4" x14ac:dyDescent="0.3"/>
    <row r="815" ht="14.4" x14ac:dyDescent="0.3"/>
    <row r="816" ht="14.4" x14ac:dyDescent="0.3"/>
    <row r="817" ht="14.4" x14ac:dyDescent="0.3"/>
    <row r="818" ht="14.4" x14ac:dyDescent="0.3"/>
    <row r="819" ht="14.4" x14ac:dyDescent="0.3"/>
    <row r="820" ht="14.4" x14ac:dyDescent="0.3"/>
    <row r="821" ht="14.4" x14ac:dyDescent="0.3"/>
    <row r="822" ht="14.4" x14ac:dyDescent="0.3"/>
    <row r="823" ht="14.4" x14ac:dyDescent="0.3"/>
    <row r="824" ht="14.4" x14ac:dyDescent="0.3"/>
    <row r="825" ht="14.4" x14ac:dyDescent="0.3"/>
    <row r="826" ht="14.4" x14ac:dyDescent="0.3"/>
    <row r="827" ht="14.4" x14ac:dyDescent="0.3"/>
    <row r="828" ht="14.4" x14ac:dyDescent="0.3"/>
    <row r="829" ht="14.4" x14ac:dyDescent="0.3"/>
    <row r="830" ht="14.4" x14ac:dyDescent="0.3"/>
    <row r="831" ht="14.4" x14ac:dyDescent="0.3"/>
    <row r="832" ht="14.4" x14ac:dyDescent="0.3"/>
    <row r="833" ht="14.4" x14ac:dyDescent="0.3"/>
    <row r="834" ht="14.4" x14ac:dyDescent="0.3"/>
    <row r="835" ht="14.4" x14ac:dyDescent="0.3"/>
    <row r="836" ht="14.4" x14ac:dyDescent="0.3"/>
    <row r="837" ht="14.4" x14ac:dyDescent="0.3"/>
    <row r="838" ht="14.4" x14ac:dyDescent="0.3"/>
    <row r="839" ht="14.4" x14ac:dyDescent="0.3"/>
    <row r="840" ht="14.4" x14ac:dyDescent="0.3"/>
    <row r="841" ht="14.4" x14ac:dyDescent="0.3"/>
    <row r="842" ht="14.4" x14ac:dyDescent="0.3"/>
    <row r="843" ht="14.4" x14ac:dyDescent="0.3"/>
    <row r="844" ht="14.4" x14ac:dyDescent="0.3"/>
    <row r="845" ht="14.4" x14ac:dyDescent="0.3"/>
    <row r="846" ht="14.4" x14ac:dyDescent="0.3"/>
    <row r="847" ht="14.4" x14ac:dyDescent="0.3"/>
    <row r="848" ht="14.4" x14ac:dyDescent="0.3"/>
    <row r="849" ht="14.4" x14ac:dyDescent="0.3"/>
    <row r="850" ht="14.4" x14ac:dyDescent="0.3"/>
    <row r="851" ht="14.4" x14ac:dyDescent="0.3"/>
    <row r="852" ht="14.4" x14ac:dyDescent="0.3"/>
    <row r="853" ht="14.4" x14ac:dyDescent="0.3"/>
    <row r="854" ht="14.4" x14ac:dyDescent="0.3"/>
    <row r="855" ht="14.4" x14ac:dyDescent="0.3"/>
    <row r="856" ht="14.4" x14ac:dyDescent="0.3"/>
    <row r="857" ht="14.4" x14ac:dyDescent="0.3"/>
    <row r="858" ht="14.4" x14ac:dyDescent="0.3"/>
    <row r="859" ht="14.4" x14ac:dyDescent="0.3"/>
    <row r="860" ht="14.4" x14ac:dyDescent="0.3"/>
    <row r="861" ht="14.4" x14ac:dyDescent="0.3"/>
    <row r="862" ht="14.4" x14ac:dyDescent="0.3"/>
    <row r="863" ht="14.4" x14ac:dyDescent="0.3"/>
    <row r="864" ht="14.4" x14ac:dyDescent="0.3"/>
    <row r="865" ht="14.4" x14ac:dyDescent="0.3"/>
    <row r="866" ht="14.4" x14ac:dyDescent="0.3"/>
    <row r="867" ht="14.4" x14ac:dyDescent="0.3"/>
    <row r="868" ht="14.4" x14ac:dyDescent="0.3"/>
    <row r="869" ht="14.4" x14ac:dyDescent="0.3"/>
    <row r="870" ht="14.4" x14ac:dyDescent="0.3"/>
    <row r="871" ht="14.4" x14ac:dyDescent="0.3"/>
    <row r="872" ht="14.4" x14ac:dyDescent="0.3"/>
    <row r="873" ht="14.4" x14ac:dyDescent="0.3"/>
    <row r="874" ht="14.4" x14ac:dyDescent="0.3"/>
    <row r="875" ht="14.4" x14ac:dyDescent="0.3"/>
    <row r="876" ht="14.4" x14ac:dyDescent="0.3"/>
    <row r="877" ht="14.4" x14ac:dyDescent="0.3"/>
    <row r="878" ht="14.4" x14ac:dyDescent="0.3"/>
    <row r="879" ht="14.4" x14ac:dyDescent="0.3"/>
    <row r="880" ht="14.4" x14ac:dyDescent="0.3"/>
    <row r="881" ht="14.4" x14ac:dyDescent="0.3"/>
    <row r="882" ht="14.4" x14ac:dyDescent="0.3"/>
    <row r="883" ht="14.4" x14ac:dyDescent="0.3"/>
    <row r="884" ht="14.4" x14ac:dyDescent="0.3"/>
    <row r="885" ht="14.4" x14ac:dyDescent="0.3"/>
    <row r="886" ht="14.4" x14ac:dyDescent="0.3"/>
    <row r="887" ht="14.4" x14ac:dyDescent="0.3"/>
    <row r="888" ht="14.4" x14ac:dyDescent="0.3"/>
    <row r="889" ht="14.4" x14ac:dyDescent="0.3"/>
    <row r="890" ht="14.4" x14ac:dyDescent="0.3"/>
    <row r="891" ht="14.4" x14ac:dyDescent="0.3"/>
    <row r="892" ht="14.4" x14ac:dyDescent="0.3"/>
    <row r="893" ht="14.4" x14ac:dyDescent="0.3"/>
    <row r="894" ht="14.4" x14ac:dyDescent="0.3"/>
    <row r="895" ht="14.4" x14ac:dyDescent="0.3"/>
    <row r="896" ht="14.4" x14ac:dyDescent="0.3"/>
    <row r="897" ht="14.4" x14ac:dyDescent="0.3"/>
    <row r="898" ht="14.4" x14ac:dyDescent="0.3"/>
    <row r="899" ht="14.4" x14ac:dyDescent="0.3"/>
    <row r="900" ht="14.4" x14ac:dyDescent="0.3"/>
    <row r="901" ht="14.4" x14ac:dyDescent="0.3"/>
    <row r="902" ht="14.4" x14ac:dyDescent="0.3"/>
    <row r="903" ht="14.4" x14ac:dyDescent="0.3"/>
    <row r="904" ht="14.4" x14ac:dyDescent="0.3"/>
    <row r="905" ht="14.4" x14ac:dyDescent="0.3"/>
    <row r="906" ht="14.4" x14ac:dyDescent="0.3"/>
    <row r="907" ht="14.4" x14ac:dyDescent="0.3"/>
    <row r="908" ht="14.4" x14ac:dyDescent="0.3"/>
    <row r="909" ht="14.4" x14ac:dyDescent="0.3"/>
    <row r="910" ht="14.4" x14ac:dyDescent="0.3"/>
    <row r="911" ht="14.4" x14ac:dyDescent="0.3"/>
    <row r="912" ht="14.4" x14ac:dyDescent="0.3"/>
    <row r="913" ht="14.4" x14ac:dyDescent="0.3"/>
    <row r="914" ht="14.4" x14ac:dyDescent="0.3"/>
    <row r="915" ht="14.4" x14ac:dyDescent="0.3"/>
    <row r="916" ht="14.4" x14ac:dyDescent="0.3"/>
    <row r="917" ht="14.4" x14ac:dyDescent="0.3"/>
    <row r="918" ht="14.4" x14ac:dyDescent="0.3"/>
    <row r="919" ht="14.4" x14ac:dyDescent="0.3"/>
    <row r="920" ht="14.4" x14ac:dyDescent="0.3"/>
    <row r="921" ht="14.4" x14ac:dyDescent="0.3"/>
    <row r="922" ht="14.4" x14ac:dyDescent="0.3"/>
    <row r="923" ht="14.4" x14ac:dyDescent="0.3"/>
    <row r="924" ht="14.4" x14ac:dyDescent="0.3"/>
    <row r="925" ht="14.4" x14ac:dyDescent="0.3"/>
    <row r="926" ht="14.4" x14ac:dyDescent="0.3"/>
    <row r="927" ht="14.4" x14ac:dyDescent="0.3"/>
    <row r="928" ht="14.4" x14ac:dyDescent="0.3"/>
    <row r="929" ht="14.4" x14ac:dyDescent="0.3"/>
    <row r="930" ht="14.4" x14ac:dyDescent="0.3"/>
    <row r="931" ht="14.4" x14ac:dyDescent="0.3"/>
    <row r="932" ht="14.4" x14ac:dyDescent="0.3"/>
    <row r="933" ht="14.4" x14ac:dyDescent="0.3"/>
    <row r="934" ht="14.4" x14ac:dyDescent="0.3"/>
    <row r="935" ht="14.4" x14ac:dyDescent="0.3"/>
    <row r="936" ht="14.4" x14ac:dyDescent="0.3"/>
    <row r="937" ht="14.4" x14ac:dyDescent="0.3"/>
    <row r="938" ht="14.4" x14ac:dyDescent="0.3"/>
    <row r="939" ht="14.4" x14ac:dyDescent="0.3"/>
    <row r="940" ht="14.4" x14ac:dyDescent="0.3"/>
    <row r="941" ht="14.4" x14ac:dyDescent="0.3"/>
    <row r="942" ht="14.4" x14ac:dyDescent="0.3"/>
    <row r="943" ht="14.4" x14ac:dyDescent="0.3"/>
    <row r="944" ht="14.4" x14ac:dyDescent="0.3"/>
    <row r="945" ht="14.4" x14ac:dyDescent="0.3"/>
    <row r="946" ht="14.4" x14ac:dyDescent="0.3"/>
    <row r="947" ht="14.4" x14ac:dyDescent="0.3"/>
    <row r="948" ht="14.4" x14ac:dyDescent="0.3"/>
    <row r="949" ht="14.4" x14ac:dyDescent="0.3"/>
    <row r="950" ht="14.4" x14ac:dyDescent="0.3"/>
    <row r="951" ht="14.4" x14ac:dyDescent="0.3"/>
    <row r="952" ht="14.4" x14ac:dyDescent="0.3"/>
    <row r="953" ht="14.4" x14ac:dyDescent="0.3"/>
    <row r="954" ht="14.4" x14ac:dyDescent="0.3"/>
    <row r="955" ht="14.4" x14ac:dyDescent="0.3"/>
    <row r="956" ht="14.4" x14ac:dyDescent="0.3"/>
    <row r="957" ht="14.4" x14ac:dyDescent="0.3"/>
    <row r="958" ht="14.4" x14ac:dyDescent="0.3"/>
    <row r="959" ht="14.4" x14ac:dyDescent="0.3"/>
    <row r="960" ht="14.4" x14ac:dyDescent="0.3"/>
    <row r="961" ht="14.4" x14ac:dyDescent="0.3"/>
    <row r="962" ht="14.4" x14ac:dyDescent="0.3"/>
    <row r="963" ht="14.4" x14ac:dyDescent="0.3"/>
    <row r="964" ht="14.4" x14ac:dyDescent="0.3"/>
    <row r="965" ht="14.4" x14ac:dyDescent="0.3"/>
    <row r="966" ht="14.4" x14ac:dyDescent="0.3"/>
    <row r="967" ht="14.4" x14ac:dyDescent="0.3"/>
    <row r="968" ht="14.4" x14ac:dyDescent="0.3"/>
    <row r="969" ht="14.4" x14ac:dyDescent="0.3"/>
    <row r="970" ht="14.4" x14ac:dyDescent="0.3"/>
    <row r="971" ht="14.4" x14ac:dyDescent="0.3"/>
    <row r="972" ht="14.4" x14ac:dyDescent="0.3"/>
    <row r="973" ht="14.4" x14ac:dyDescent="0.3"/>
    <row r="974" ht="14.4" x14ac:dyDescent="0.3"/>
    <row r="975" ht="14.4" x14ac:dyDescent="0.3"/>
    <row r="976" ht="14.4" x14ac:dyDescent="0.3"/>
    <row r="977" ht="14.4" x14ac:dyDescent="0.3"/>
    <row r="978" ht="14.4" x14ac:dyDescent="0.3"/>
    <row r="979" ht="14.4" x14ac:dyDescent="0.3"/>
    <row r="980" ht="14.4" x14ac:dyDescent="0.3"/>
    <row r="981" ht="14.4" x14ac:dyDescent="0.3"/>
    <row r="982" ht="14.4" x14ac:dyDescent="0.3"/>
    <row r="983" ht="14.4" x14ac:dyDescent="0.3"/>
    <row r="984" ht="14.4" x14ac:dyDescent="0.3"/>
    <row r="985" ht="14.4" x14ac:dyDescent="0.3"/>
    <row r="986" ht="14.4" x14ac:dyDescent="0.3"/>
    <row r="987" ht="14.4" x14ac:dyDescent="0.3"/>
    <row r="988" ht="14.4" x14ac:dyDescent="0.3"/>
    <row r="989" ht="14.4" x14ac:dyDescent="0.3"/>
    <row r="990" ht="14.4" x14ac:dyDescent="0.3"/>
    <row r="991" ht="14.4" x14ac:dyDescent="0.3"/>
    <row r="992" ht="14.4" x14ac:dyDescent="0.3"/>
    <row r="993" ht="14.4" x14ac:dyDescent="0.3"/>
    <row r="994" ht="14.4" x14ac:dyDescent="0.3"/>
    <row r="995" ht="14.4" x14ac:dyDescent="0.3"/>
    <row r="996" ht="14.4" x14ac:dyDescent="0.3"/>
    <row r="997" ht="14.4" x14ac:dyDescent="0.3"/>
    <row r="998" ht="14.4" x14ac:dyDescent="0.3"/>
    <row r="999" ht="14.4" x14ac:dyDescent="0.3"/>
    <row r="1000" ht="14.4" x14ac:dyDescent="0.3"/>
    <row r="1001" ht="14.4" x14ac:dyDescent="0.3"/>
    <row r="1002" ht="14.4" x14ac:dyDescent="0.3"/>
    <row r="1003" ht="14.4" x14ac:dyDescent="0.3"/>
    <row r="1004" ht="14.4" x14ac:dyDescent="0.3"/>
    <row r="1005" ht="14.4" x14ac:dyDescent="0.3"/>
    <row r="1006" ht="14.4" x14ac:dyDescent="0.3"/>
    <row r="1007" ht="14.4" x14ac:dyDescent="0.3"/>
    <row r="1008" ht="14.4" x14ac:dyDescent="0.3"/>
    <row r="1009" ht="14.4" x14ac:dyDescent="0.3"/>
    <row r="1010" ht="14.4" x14ac:dyDescent="0.3"/>
    <row r="1011" ht="14.4" x14ac:dyDescent="0.3"/>
    <row r="1012" ht="14.4" x14ac:dyDescent="0.3"/>
    <row r="1013" ht="14.4" x14ac:dyDescent="0.3"/>
    <row r="1014" ht="14.4" x14ac:dyDescent="0.3"/>
    <row r="1015" ht="14.4" x14ac:dyDescent="0.3"/>
    <row r="1016" ht="14.4" x14ac:dyDescent="0.3"/>
    <row r="1017" ht="14.4" x14ac:dyDescent="0.3"/>
    <row r="1018" ht="14.4" x14ac:dyDescent="0.3"/>
    <row r="1019" ht="14.4" x14ac:dyDescent="0.3"/>
    <row r="1020" ht="14.4" x14ac:dyDescent="0.3"/>
    <row r="1021" ht="14.4" x14ac:dyDescent="0.3"/>
    <row r="1022" ht="14.4" x14ac:dyDescent="0.3"/>
    <row r="1023" ht="14.4" x14ac:dyDescent="0.3"/>
    <row r="1024" ht="14.4" x14ac:dyDescent="0.3"/>
    <row r="1025" ht="14.4" x14ac:dyDescent="0.3"/>
    <row r="1026" ht="14.4" x14ac:dyDescent="0.3"/>
    <row r="1027" ht="14.4" x14ac:dyDescent="0.3"/>
    <row r="1028" ht="14.4" x14ac:dyDescent="0.3"/>
    <row r="1029" ht="14.4" x14ac:dyDescent="0.3"/>
    <row r="1030" ht="14.4" x14ac:dyDescent="0.3"/>
    <row r="1031" ht="14.4" x14ac:dyDescent="0.3"/>
    <row r="1032" ht="14.4" x14ac:dyDescent="0.3"/>
    <row r="1033" ht="14.4" x14ac:dyDescent="0.3"/>
    <row r="1034" ht="14.4" x14ac:dyDescent="0.3"/>
    <row r="1035" ht="14.4" x14ac:dyDescent="0.3"/>
    <row r="1036" ht="14.4" x14ac:dyDescent="0.3"/>
    <row r="1037" ht="14.4" x14ac:dyDescent="0.3"/>
    <row r="1038" ht="14.4" x14ac:dyDescent="0.3"/>
    <row r="1039" ht="14.4" x14ac:dyDescent="0.3"/>
    <row r="1040" ht="14.4" x14ac:dyDescent="0.3"/>
    <row r="1041" ht="14.4" x14ac:dyDescent="0.3"/>
    <row r="1042" ht="14.4" x14ac:dyDescent="0.3"/>
    <row r="1043" ht="14.4" x14ac:dyDescent="0.3"/>
    <row r="1044" ht="14.4" x14ac:dyDescent="0.3"/>
    <row r="1045" ht="14.4" x14ac:dyDescent="0.3"/>
    <row r="1046" ht="14.4" x14ac:dyDescent="0.3"/>
    <row r="1047" ht="14.4" x14ac:dyDescent="0.3"/>
    <row r="1048" ht="14.4" x14ac:dyDescent="0.3"/>
    <row r="1049" ht="14.4" x14ac:dyDescent="0.3"/>
    <row r="1050" ht="14.4" x14ac:dyDescent="0.3"/>
    <row r="1051" ht="14.4" x14ac:dyDescent="0.3"/>
    <row r="1052" ht="14.4" x14ac:dyDescent="0.3"/>
    <row r="1053" ht="14.4" x14ac:dyDescent="0.3"/>
    <row r="1054" ht="14.4" x14ac:dyDescent="0.3"/>
    <row r="1055" ht="14.4" x14ac:dyDescent="0.3"/>
    <row r="1056" ht="14.4" x14ac:dyDescent="0.3"/>
    <row r="1057" ht="14.4" x14ac:dyDescent="0.3"/>
    <row r="1058" ht="14.4" x14ac:dyDescent="0.3"/>
    <row r="1059" ht="14.4" x14ac:dyDescent="0.3"/>
    <row r="1060" ht="14.4" x14ac:dyDescent="0.3"/>
    <row r="1061" ht="14.4" x14ac:dyDescent="0.3"/>
    <row r="1062" ht="14.4" x14ac:dyDescent="0.3"/>
    <row r="1063" ht="14.4" x14ac:dyDescent="0.3"/>
    <row r="1064" ht="14.4" x14ac:dyDescent="0.3"/>
    <row r="1065" ht="14.4" x14ac:dyDescent="0.3"/>
    <row r="1066" ht="14.4" x14ac:dyDescent="0.3"/>
    <row r="1067" ht="14.4" x14ac:dyDescent="0.3"/>
    <row r="1068" ht="14.4" x14ac:dyDescent="0.3"/>
    <row r="1069" ht="14.4" x14ac:dyDescent="0.3"/>
    <row r="1070" ht="14.4" x14ac:dyDescent="0.3"/>
    <row r="1071" ht="14.4" x14ac:dyDescent="0.3"/>
    <row r="1072" ht="14.4" x14ac:dyDescent="0.3"/>
    <row r="1073" ht="14.4" x14ac:dyDescent="0.3"/>
    <row r="1074" ht="14.4" x14ac:dyDescent="0.3"/>
    <row r="1075" ht="14.4" x14ac:dyDescent="0.3"/>
    <row r="1076" ht="14.4" x14ac:dyDescent="0.3"/>
    <row r="1077" ht="14.4" x14ac:dyDescent="0.3"/>
    <row r="1078" ht="14.4" x14ac:dyDescent="0.3"/>
    <row r="1079" ht="14.4" x14ac:dyDescent="0.3"/>
    <row r="1080" ht="14.4" x14ac:dyDescent="0.3"/>
    <row r="1081" ht="14.4" x14ac:dyDescent="0.3"/>
    <row r="1082" ht="14.4" x14ac:dyDescent="0.3"/>
    <row r="1083" ht="14.4" x14ac:dyDescent="0.3"/>
    <row r="1084" ht="14.4" x14ac:dyDescent="0.3"/>
    <row r="1085" ht="14.4" x14ac:dyDescent="0.3"/>
    <row r="1086" ht="14.4" x14ac:dyDescent="0.3"/>
    <row r="1087" ht="14.4" x14ac:dyDescent="0.3"/>
    <row r="1088" ht="14.4" x14ac:dyDescent="0.3"/>
    <row r="1089" ht="14.4" x14ac:dyDescent="0.3"/>
    <row r="1090" ht="14.4" x14ac:dyDescent="0.3"/>
    <row r="1091" ht="14.4" x14ac:dyDescent="0.3"/>
    <row r="1092" ht="14.4" x14ac:dyDescent="0.3"/>
    <row r="1093" ht="14.4" x14ac:dyDescent="0.3"/>
    <row r="1094" ht="14.4" x14ac:dyDescent="0.3"/>
    <row r="1095" ht="14.4" x14ac:dyDescent="0.3"/>
    <row r="1096" ht="14.4" x14ac:dyDescent="0.3"/>
    <row r="1097" ht="14.4" x14ac:dyDescent="0.3"/>
    <row r="1098" ht="14.4" x14ac:dyDescent="0.3"/>
    <row r="1099" ht="14.4" x14ac:dyDescent="0.3"/>
    <row r="1100" ht="14.4" x14ac:dyDescent="0.3"/>
    <row r="1101" ht="14.4" x14ac:dyDescent="0.3"/>
    <row r="1102" ht="14.4" x14ac:dyDescent="0.3"/>
    <row r="1103" ht="14.4" x14ac:dyDescent="0.3"/>
    <row r="1104" ht="14.4" x14ac:dyDescent="0.3"/>
    <row r="1105" ht="14.4" x14ac:dyDescent="0.3"/>
    <row r="1106" ht="14.4" x14ac:dyDescent="0.3"/>
    <row r="1107" ht="14.4" x14ac:dyDescent="0.3"/>
    <row r="1108" ht="14.4" x14ac:dyDescent="0.3"/>
    <row r="1109" ht="14.4" x14ac:dyDescent="0.3"/>
    <row r="1110" ht="14.4" x14ac:dyDescent="0.3"/>
    <row r="1111" ht="14.4" x14ac:dyDescent="0.3"/>
    <row r="1112" ht="14.4" x14ac:dyDescent="0.3"/>
    <row r="1113" ht="14.4" x14ac:dyDescent="0.3"/>
    <row r="1114" ht="14.4" x14ac:dyDescent="0.3"/>
    <row r="1115" ht="14.4" x14ac:dyDescent="0.3"/>
    <row r="1116" ht="14.4" x14ac:dyDescent="0.3"/>
    <row r="1117" ht="14.4" x14ac:dyDescent="0.3"/>
    <row r="1118" ht="14.4" x14ac:dyDescent="0.3"/>
    <row r="1119" ht="14.4" x14ac:dyDescent="0.3"/>
    <row r="1120" ht="14.4" x14ac:dyDescent="0.3"/>
    <row r="1121" ht="14.4" x14ac:dyDescent="0.3"/>
    <row r="1122" ht="14.4" x14ac:dyDescent="0.3"/>
    <row r="1123" ht="14.4" x14ac:dyDescent="0.3"/>
    <row r="1124" ht="14.4" x14ac:dyDescent="0.3"/>
    <row r="1125" ht="14.4" x14ac:dyDescent="0.3"/>
    <row r="1126" ht="14.4" x14ac:dyDescent="0.3"/>
    <row r="1127" ht="14.4" x14ac:dyDescent="0.3"/>
    <row r="1128" ht="14.4" x14ac:dyDescent="0.3"/>
    <row r="1129" ht="14.4" x14ac:dyDescent="0.3"/>
    <row r="1130" ht="14.4" x14ac:dyDescent="0.3"/>
    <row r="1131" ht="14.4" x14ac:dyDescent="0.3"/>
    <row r="1132" ht="14.4" x14ac:dyDescent="0.3"/>
    <row r="1133" ht="14.4" x14ac:dyDescent="0.3"/>
    <row r="1134" ht="14.4" x14ac:dyDescent="0.3"/>
    <row r="1135" ht="14.4" x14ac:dyDescent="0.3"/>
    <row r="1136" ht="14.4" x14ac:dyDescent="0.3"/>
    <row r="1137" ht="14.4" x14ac:dyDescent="0.3"/>
    <row r="1138" ht="14.4" x14ac:dyDescent="0.3"/>
    <row r="1139" ht="14.4" x14ac:dyDescent="0.3"/>
    <row r="1140" ht="14.4" x14ac:dyDescent="0.3"/>
    <row r="1141" ht="14.4" x14ac:dyDescent="0.3"/>
    <row r="1142" ht="14.4" x14ac:dyDescent="0.3"/>
    <row r="1143" ht="14.4" x14ac:dyDescent="0.3"/>
    <row r="1144" ht="14.4" x14ac:dyDescent="0.3"/>
    <row r="1145" ht="14.4" x14ac:dyDescent="0.3"/>
    <row r="1146" ht="14.4" x14ac:dyDescent="0.3"/>
    <row r="1147" ht="14.4" x14ac:dyDescent="0.3"/>
    <row r="1148" ht="14.4" x14ac:dyDescent="0.3"/>
    <row r="1149" ht="14.4" x14ac:dyDescent="0.3"/>
    <row r="1150" ht="14.4" x14ac:dyDescent="0.3"/>
    <row r="1151" ht="14.4" x14ac:dyDescent="0.3"/>
    <row r="1152" ht="14.4" x14ac:dyDescent="0.3"/>
    <row r="1153" ht="14.4" x14ac:dyDescent="0.3"/>
    <row r="1154" ht="14.4" x14ac:dyDescent="0.3"/>
    <row r="1155" ht="14.4" x14ac:dyDescent="0.3"/>
    <row r="1156" ht="14.4" x14ac:dyDescent="0.3"/>
    <row r="1157" ht="14.4" x14ac:dyDescent="0.3"/>
    <row r="1158" ht="14.4" x14ac:dyDescent="0.3"/>
    <row r="1159" ht="14.4" x14ac:dyDescent="0.3"/>
    <row r="1160" ht="14.4" x14ac:dyDescent="0.3"/>
    <row r="1161" ht="14.4" x14ac:dyDescent="0.3"/>
    <row r="1162" ht="14.4" x14ac:dyDescent="0.3"/>
    <row r="1163" ht="14.4" x14ac:dyDescent="0.3"/>
    <row r="1164" ht="14.4" x14ac:dyDescent="0.3"/>
    <row r="1165" ht="14.4" x14ac:dyDescent="0.3"/>
    <row r="1166" ht="14.4" x14ac:dyDescent="0.3"/>
    <row r="1167" ht="14.4" x14ac:dyDescent="0.3"/>
    <row r="1168" ht="14.4" x14ac:dyDescent="0.3"/>
    <row r="1169" ht="14.4" x14ac:dyDescent="0.3"/>
    <row r="1170" ht="14.4" x14ac:dyDescent="0.3"/>
    <row r="1171" ht="14.4" x14ac:dyDescent="0.3"/>
    <row r="1172" ht="14.4" x14ac:dyDescent="0.3"/>
    <row r="1173" ht="14.4" x14ac:dyDescent="0.3"/>
    <row r="1174" ht="14.4" x14ac:dyDescent="0.3"/>
    <row r="1175" ht="14.4" x14ac:dyDescent="0.3"/>
    <row r="1176" ht="14.4" x14ac:dyDescent="0.3"/>
    <row r="1177" ht="14.4" x14ac:dyDescent="0.3"/>
    <row r="1178" ht="14.4" x14ac:dyDescent="0.3"/>
    <row r="1179" ht="14.4" x14ac:dyDescent="0.3"/>
    <row r="1180" ht="14.4" x14ac:dyDescent="0.3"/>
    <row r="1181" ht="14.4" x14ac:dyDescent="0.3"/>
    <row r="1182" ht="14.4" x14ac:dyDescent="0.3"/>
    <row r="1183" ht="14.4" x14ac:dyDescent="0.3"/>
    <row r="1184" ht="14.4" x14ac:dyDescent="0.3"/>
    <row r="1185" ht="14.4" x14ac:dyDescent="0.3"/>
    <row r="1186" ht="14.4" x14ac:dyDescent="0.3"/>
    <row r="1187" ht="14.4" x14ac:dyDescent="0.3"/>
    <row r="1188" ht="14.4" x14ac:dyDescent="0.3"/>
    <row r="1189" ht="14.4" x14ac:dyDescent="0.3"/>
    <row r="1190" ht="14.4" x14ac:dyDescent="0.3"/>
    <row r="1191" ht="14.4" x14ac:dyDescent="0.3"/>
    <row r="1192" ht="14.4" x14ac:dyDescent="0.3"/>
    <row r="1193" ht="14.4" x14ac:dyDescent="0.3"/>
    <row r="1194" ht="14.4" x14ac:dyDescent="0.3"/>
    <row r="1195" ht="14.4" x14ac:dyDescent="0.3"/>
    <row r="1196" ht="14.4" x14ac:dyDescent="0.3"/>
    <row r="1197" ht="14.4" x14ac:dyDescent="0.3"/>
    <row r="1198" ht="14.4" x14ac:dyDescent="0.3"/>
    <row r="1199" ht="14.4" x14ac:dyDescent="0.3"/>
    <row r="1200" ht="14.4" x14ac:dyDescent="0.3"/>
    <row r="1201" ht="14.4" x14ac:dyDescent="0.3"/>
    <row r="1202" ht="14.4" x14ac:dyDescent="0.3"/>
    <row r="1203" ht="14.4" x14ac:dyDescent="0.3"/>
    <row r="1204" ht="14.4" x14ac:dyDescent="0.3"/>
    <row r="1205" ht="14.4" x14ac:dyDescent="0.3"/>
    <row r="1206" ht="14.4" x14ac:dyDescent="0.3"/>
    <row r="1207" ht="14.4" x14ac:dyDescent="0.3"/>
    <row r="1208" ht="14.4" x14ac:dyDescent="0.3"/>
    <row r="1209" ht="14.4" x14ac:dyDescent="0.3"/>
    <row r="1210" ht="14.4" x14ac:dyDescent="0.3"/>
    <row r="1211" ht="14.4" x14ac:dyDescent="0.3"/>
    <row r="1212" ht="14.4" x14ac:dyDescent="0.3"/>
    <row r="1213" ht="14.4" x14ac:dyDescent="0.3"/>
    <row r="1214" ht="14.4" x14ac:dyDescent="0.3"/>
    <row r="1215" ht="14.4" x14ac:dyDescent="0.3"/>
    <row r="1216" ht="14.4" x14ac:dyDescent="0.3"/>
    <row r="1217" ht="14.4" x14ac:dyDescent="0.3"/>
    <row r="1218" ht="14.4" x14ac:dyDescent="0.3"/>
    <row r="1219" ht="14.4" x14ac:dyDescent="0.3"/>
    <row r="1220" ht="14.4" x14ac:dyDescent="0.3"/>
    <row r="1221" ht="14.4" x14ac:dyDescent="0.3"/>
    <row r="1222" ht="14.4" x14ac:dyDescent="0.3"/>
    <row r="1223" ht="14.4" x14ac:dyDescent="0.3"/>
    <row r="1224" ht="14.4" x14ac:dyDescent="0.3"/>
    <row r="1225" ht="14.4" x14ac:dyDescent="0.3"/>
    <row r="1226" ht="14.4" x14ac:dyDescent="0.3"/>
    <row r="1227" ht="14.4" x14ac:dyDescent="0.3"/>
    <row r="1228" ht="14.4" x14ac:dyDescent="0.3"/>
    <row r="1229" ht="14.4" x14ac:dyDescent="0.3"/>
    <row r="1230" ht="14.4" x14ac:dyDescent="0.3"/>
    <row r="1231" ht="14.4" x14ac:dyDescent="0.3"/>
    <row r="1232" ht="14.4" x14ac:dyDescent="0.3"/>
    <row r="1233" ht="14.4" x14ac:dyDescent="0.3"/>
    <row r="1234" ht="14.4" x14ac:dyDescent="0.3"/>
    <row r="1235" ht="14.4" x14ac:dyDescent="0.3"/>
    <row r="1236" ht="14.4" x14ac:dyDescent="0.3"/>
    <row r="1237" ht="14.4" x14ac:dyDescent="0.3"/>
    <row r="1238" ht="14.4" x14ac:dyDescent="0.3"/>
    <row r="1239" ht="14.4" x14ac:dyDescent="0.3"/>
    <row r="1240" ht="14.4" x14ac:dyDescent="0.3"/>
    <row r="1241" ht="14.4" x14ac:dyDescent="0.3"/>
    <row r="1242" ht="14.4" x14ac:dyDescent="0.3"/>
    <row r="1243" ht="14.4" x14ac:dyDescent="0.3"/>
    <row r="1244" ht="14.4" x14ac:dyDescent="0.3"/>
    <row r="1245" ht="14.4" x14ac:dyDescent="0.3"/>
    <row r="1246" ht="14.4" x14ac:dyDescent="0.3"/>
    <row r="1247" ht="14.4" x14ac:dyDescent="0.3"/>
    <row r="1248" ht="14.4" x14ac:dyDescent="0.3"/>
    <row r="1249" ht="14.4" x14ac:dyDescent="0.3"/>
    <row r="1250" ht="14.4" x14ac:dyDescent="0.3"/>
    <row r="1251" ht="14.4" x14ac:dyDescent="0.3"/>
    <row r="1252" ht="14.4" x14ac:dyDescent="0.3"/>
    <row r="1253" ht="14.4" x14ac:dyDescent="0.3"/>
    <row r="1254" ht="14.4" x14ac:dyDescent="0.3"/>
    <row r="1255" ht="14.4" x14ac:dyDescent="0.3"/>
    <row r="1256" ht="14.4" x14ac:dyDescent="0.3"/>
    <row r="1257" ht="14.4" x14ac:dyDescent="0.3"/>
    <row r="1258" ht="14.4" x14ac:dyDescent="0.3"/>
    <row r="1259" ht="14.4" x14ac:dyDescent="0.3"/>
    <row r="1260" ht="14.4" x14ac:dyDescent="0.3"/>
    <row r="1261" ht="14.4" x14ac:dyDescent="0.3"/>
    <row r="1262" ht="14.4" x14ac:dyDescent="0.3"/>
    <row r="1263" ht="14.4" x14ac:dyDescent="0.3"/>
    <row r="1264" ht="14.4" x14ac:dyDescent="0.3"/>
    <row r="1265" ht="14.4" x14ac:dyDescent="0.3"/>
    <row r="1266" ht="14.4" x14ac:dyDescent="0.3"/>
    <row r="1267" ht="14.4" x14ac:dyDescent="0.3"/>
    <row r="1268" ht="14.4" x14ac:dyDescent="0.3"/>
    <row r="1269" ht="14.4" x14ac:dyDescent="0.3"/>
    <row r="1270" ht="14.4" x14ac:dyDescent="0.3"/>
    <row r="1271" ht="14.4" x14ac:dyDescent="0.3"/>
    <row r="1272" ht="14.4" x14ac:dyDescent="0.3"/>
    <row r="1273" ht="14.4" x14ac:dyDescent="0.3"/>
    <row r="1274" ht="14.4" x14ac:dyDescent="0.3"/>
    <row r="1275" ht="14.4" x14ac:dyDescent="0.3"/>
    <row r="1276" ht="14.4" x14ac:dyDescent="0.3"/>
    <row r="1277" ht="14.4" x14ac:dyDescent="0.3"/>
    <row r="1278" ht="14.4" x14ac:dyDescent="0.3"/>
    <row r="1279" ht="14.4" x14ac:dyDescent="0.3"/>
    <row r="1280" ht="14.4" x14ac:dyDescent="0.3"/>
    <row r="1281" ht="14.4" x14ac:dyDescent="0.3"/>
    <row r="1282" ht="14.4" x14ac:dyDescent="0.3"/>
    <row r="1283" ht="14.4" x14ac:dyDescent="0.3"/>
    <row r="1284" ht="14.4" x14ac:dyDescent="0.3"/>
    <row r="1285" ht="14.4" x14ac:dyDescent="0.3"/>
    <row r="1286" ht="14.4" x14ac:dyDescent="0.3"/>
    <row r="1287" ht="14.4" x14ac:dyDescent="0.3"/>
    <row r="1288" ht="14.4" x14ac:dyDescent="0.3"/>
    <row r="1289" ht="14.4" x14ac:dyDescent="0.3"/>
    <row r="1290" ht="14.4" x14ac:dyDescent="0.3"/>
    <row r="1291" ht="14.4" x14ac:dyDescent="0.3"/>
    <row r="1292" ht="14.4" x14ac:dyDescent="0.3"/>
    <row r="1293" ht="14.4" x14ac:dyDescent="0.3"/>
    <row r="1294" ht="14.4" x14ac:dyDescent="0.3"/>
    <row r="1295" ht="14.4" x14ac:dyDescent="0.3"/>
    <row r="1296" ht="14.4" x14ac:dyDescent="0.3"/>
    <row r="1297" ht="14.4" x14ac:dyDescent="0.3"/>
    <row r="1298" ht="14.4" x14ac:dyDescent="0.3"/>
    <row r="1299" ht="14.4" x14ac:dyDescent="0.3"/>
    <row r="1300" ht="14.4" x14ac:dyDescent="0.3"/>
    <row r="1301" ht="14.4" x14ac:dyDescent="0.3"/>
    <row r="1302" ht="14.4" x14ac:dyDescent="0.3"/>
    <row r="1303" ht="14.4" x14ac:dyDescent="0.3"/>
    <row r="1304" ht="14.4" x14ac:dyDescent="0.3"/>
    <row r="1305" ht="14.4" x14ac:dyDescent="0.3"/>
    <row r="1306" ht="14.4" x14ac:dyDescent="0.3"/>
    <row r="1307" ht="14.4" x14ac:dyDescent="0.3"/>
    <row r="1308" ht="14.4" x14ac:dyDescent="0.3"/>
    <row r="1309" ht="14.4" x14ac:dyDescent="0.3"/>
    <row r="1310" ht="14.4" x14ac:dyDescent="0.3"/>
    <row r="1311" ht="14.4" x14ac:dyDescent="0.3"/>
    <row r="1312" ht="14.4" x14ac:dyDescent="0.3"/>
    <row r="1313" ht="14.4" x14ac:dyDescent="0.3"/>
    <row r="1314" ht="14.4" x14ac:dyDescent="0.3"/>
    <row r="1315" ht="14.4" x14ac:dyDescent="0.3"/>
    <row r="1316" ht="14.4" x14ac:dyDescent="0.3"/>
    <row r="1317" ht="14.4" x14ac:dyDescent="0.3"/>
    <row r="1318" ht="14.4" x14ac:dyDescent="0.3"/>
    <row r="1319" ht="14.4" x14ac:dyDescent="0.3"/>
    <row r="1320" ht="14.4" x14ac:dyDescent="0.3"/>
    <row r="1321" ht="14.4" x14ac:dyDescent="0.3"/>
    <row r="1322" ht="14.4" x14ac:dyDescent="0.3"/>
    <row r="1323" ht="14.4" x14ac:dyDescent="0.3"/>
    <row r="1324" ht="14.4" x14ac:dyDescent="0.3"/>
    <row r="1325" ht="14.4" x14ac:dyDescent="0.3"/>
    <row r="1326" ht="14.4" x14ac:dyDescent="0.3"/>
    <row r="1327" ht="14.4" x14ac:dyDescent="0.3"/>
    <row r="1328" ht="14.4" x14ac:dyDescent="0.3"/>
    <row r="1329" ht="14.4" x14ac:dyDescent="0.3"/>
    <row r="1330" ht="14.4" x14ac:dyDescent="0.3"/>
    <row r="1331" ht="14.4" x14ac:dyDescent="0.3"/>
    <row r="1332" ht="14.4" x14ac:dyDescent="0.3"/>
    <row r="1333" ht="14.4" x14ac:dyDescent="0.3"/>
    <row r="1334" ht="14.4" x14ac:dyDescent="0.3"/>
    <row r="1335" ht="14.4" x14ac:dyDescent="0.3"/>
    <row r="1336" ht="14.4" x14ac:dyDescent="0.3"/>
    <row r="1337" ht="14.4" x14ac:dyDescent="0.3"/>
    <row r="1338" ht="14.4" x14ac:dyDescent="0.3"/>
    <row r="1339" ht="14.4" x14ac:dyDescent="0.3"/>
    <row r="1340" ht="14.4" x14ac:dyDescent="0.3"/>
    <row r="1341" ht="14.4" x14ac:dyDescent="0.3"/>
    <row r="1342" ht="14.4" x14ac:dyDescent="0.3"/>
    <row r="1343" ht="14.4" x14ac:dyDescent="0.3"/>
    <row r="1344" ht="14.4" x14ac:dyDescent="0.3"/>
    <row r="1345" ht="14.4" x14ac:dyDescent="0.3"/>
    <row r="1346" ht="14.4" x14ac:dyDescent="0.3"/>
    <row r="1347" ht="14.4" x14ac:dyDescent="0.3"/>
    <row r="1348" ht="14.4" x14ac:dyDescent="0.3"/>
    <row r="1349" ht="14.4" x14ac:dyDescent="0.3"/>
    <row r="1350" ht="14.4" x14ac:dyDescent="0.3"/>
    <row r="1351" ht="14.4" x14ac:dyDescent="0.3"/>
    <row r="1352" ht="14.4" x14ac:dyDescent="0.3"/>
    <row r="1353" ht="14.4" x14ac:dyDescent="0.3"/>
    <row r="1354" ht="14.4" x14ac:dyDescent="0.3"/>
    <row r="1355" ht="14.4" x14ac:dyDescent="0.3"/>
    <row r="1356" ht="14.4" x14ac:dyDescent="0.3"/>
    <row r="1357" ht="14.4" x14ac:dyDescent="0.3"/>
    <row r="1358" ht="14.4" x14ac:dyDescent="0.3"/>
    <row r="1359" ht="14.4" x14ac:dyDescent="0.3"/>
    <row r="1360" ht="14.4" x14ac:dyDescent="0.3"/>
    <row r="1361" ht="14.4" x14ac:dyDescent="0.3"/>
    <row r="1362" ht="14.4" x14ac:dyDescent="0.3"/>
    <row r="1363" ht="14.4" x14ac:dyDescent="0.3"/>
    <row r="1364" ht="14.4" x14ac:dyDescent="0.3"/>
    <row r="1365" ht="14.4" x14ac:dyDescent="0.3"/>
    <row r="1366" ht="14.4" x14ac:dyDescent="0.3"/>
    <row r="1367" ht="14.4" x14ac:dyDescent="0.3"/>
    <row r="1368" ht="14.4" x14ac:dyDescent="0.3"/>
    <row r="1369" ht="14.4" x14ac:dyDescent="0.3"/>
    <row r="1370" ht="14.4" x14ac:dyDescent="0.3"/>
    <row r="1371" ht="14.4" x14ac:dyDescent="0.3"/>
    <row r="1372" ht="14.4" x14ac:dyDescent="0.3"/>
    <row r="1373" ht="14.4" x14ac:dyDescent="0.3"/>
    <row r="1374" ht="14.4" x14ac:dyDescent="0.3"/>
    <row r="1375" ht="14.4" x14ac:dyDescent="0.3"/>
    <row r="1376" ht="14.4" x14ac:dyDescent="0.3"/>
    <row r="1377" ht="14.4" x14ac:dyDescent="0.3"/>
    <row r="1378" ht="14.4" x14ac:dyDescent="0.3"/>
    <row r="1379" ht="14.4" x14ac:dyDescent="0.3"/>
    <row r="1380" ht="14.4" x14ac:dyDescent="0.3"/>
    <row r="1381" ht="14.4" x14ac:dyDescent="0.3"/>
    <row r="1382" ht="14.4" x14ac:dyDescent="0.3"/>
    <row r="1383" ht="14.4" x14ac:dyDescent="0.3"/>
    <row r="1384" ht="14.4" x14ac:dyDescent="0.3"/>
    <row r="1385" ht="14.4" x14ac:dyDescent="0.3"/>
    <row r="1386" ht="14.4" x14ac:dyDescent="0.3"/>
    <row r="1387" ht="14.4" x14ac:dyDescent="0.3"/>
    <row r="1388" ht="14.4" x14ac:dyDescent="0.3"/>
    <row r="1389" ht="14.4" x14ac:dyDescent="0.3"/>
    <row r="1390" ht="14.4" x14ac:dyDescent="0.3"/>
    <row r="1391" ht="14.4" x14ac:dyDescent="0.3"/>
    <row r="1392" ht="14.4" x14ac:dyDescent="0.3"/>
    <row r="1393" ht="14.4" x14ac:dyDescent="0.3"/>
    <row r="1394" ht="14.4" x14ac:dyDescent="0.3"/>
    <row r="1395" ht="14.4" x14ac:dyDescent="0.3"/>
    <row r="1396" ht="14.4" x14ac:dyDescent="0.3"/>
    <row r="1397" ht="14.4" x14ac:dyDescent="0.3"/>
    <row r="1398" ht="14.4" x14ac:dyDescent="0.3"/>
    <row r="1399" ht="14.4" x14ac:dyDescent="0.3"/>
    <row r="1400" ht="14.4" x14ac:dyDescent="0.3"/>
    <row r="1401" ht="14.4" x14ac:dyDescent="0.3"/>
    <row r="1402" ht="14.4" x14ac:dyDescent="0.3"/>
    <row r="1403" ht="14.4" x14ac:dyDescent="0.3"/>
    <row r="1404" ht="14.4" x14ac:dyDescent="0.3"/>
    <row r="1405" ht="14.4" x14ac:dyDescent="0.3"/>
    <row r="1406" ht="14.4" x14ac:dyDescent="0.3"/>
    <row r="1407" ht="14.4" x14ac:dyDescent="0.3"/>
    <row r="1408" ht="14.4" x14ac:dyDescent="0.3"/>
    <row r="1409" ht="14.4" x14ac:dyDescent="0.3"/>
    <row r="1410" ht="14.4" x14ac:dyDescent="0.3"/>
    <row r="1411" ht="14.4" x14ac:dyDescent="0.3"/>
    <row r="1412" ht="14.4" x14ac:dyDescent="0.3"/>
    <row r="1413" ht="14.4" x14ac:dyDescent="0.3"/>
    <row r="1414" ht="14.4" x14ac:dyDescent="0.3"/>
    <row r="1415" ht="14.4" x14ac:dyDescent="0.3"/>
    <row r="1416" ht="14.4" x14ac:dyDescent="0.3"/>
    <row r="1417" ht="14.4" x14ac:dyDescent="0.3"/>
    <row r="1418" ht="14.4" x14ac:dyDescent="0.3"/>
    <row r="1419" ht="14.4" x14ac:dyDescent="0.3"/>
    <row r="1420" ht="14.4" x14ac:dyDescent="0.3"/>
    <row r="1421" ht="14.4" x14ac:dyDescent="0.3"/>
    <row r="1422" ht="14.4" x14ac:dyDescent="0.3"/>
    <row r="1423" ht="14.4" x14ac:dyDescent="0.3"/>
    <row r="1424" ht="14.4" x14ac:dyDescent="0.3"/>
    <row r="1425" ht="14.4" x14ac:dyDescent="0.3"/>
    <row r="1426" ht="14.4" x14ac:dyDescent="0.3"/>
    <row r="1427" ht="14.4" x14ac:dyDescent="0.3"/>
    <row r="1428" ht="14.4" x14ac:dyDescent="0.3"/>
    <row r="1429" ht="14.4" x14ac:dyDescent="0.3"/>
    <row r="1430" ht="14.4" x14ac:dyDescent="0.3"/>
    <row r="1431" ht="14.4" x14ac:dyDescent="0.3"/>
    <row r="1432" ht="14.4" x14ac:dyDescent="0.3"/>
    <row r="1433" ht="14.4" x14ac:dyDescent="0.3"/>
    <row r="1434" ht="14.4" x14ac:dyDescent="0.3"/>
    <row r="1435" ht="14.4" x14ac:dyDescent="0.3"/>
    <row r="1436" ht="14.4" x14ac:dyDescent="0.3"/>
    <row r="1437" ht="14.4" x14ac:dyDescent="0.3"/>
    <row r="1438" ht="14.4" x14ac:dyDescent="0.3"/>
    <row r="1439" ht="14.4" x14ac:dyDescent="0.3"/>
    <row r="1440" ht="14.4" x14ac:dyDescent="0.3"/>
    <row r="1441" ht="14.4" x14ac:dyDescent="0.3"/>
    <row r="1442" ht="14.4" x14ac:dyDescent="0.3"/>
    <row r="1443" ht="14.4" x14ac:dyDescent="0.3"/>
    <row r="1444" ht="14.4" x14ac:dyDescent="0.3"/>
    <row r="1445" ht="14.4" x14ac:dyDescent="0.3"/>
    <row r="1446" ht="14.4" x14ac:dyDescent="0.3"/>
    <row r="1447" ht="14.4" x14ac:dyDescent="0.3"/>
    <row r="1448" ht="14.4" x14ac:dyDescent="0.3"/>
    <row r="1449" ht="14.4" x14ac:dyDescent="0.3"/>
    <row r="1450" ht="14.4" x14ac:dyDescent="0.3"/>
    <row r="1451" ht="14.4" x14ac:dyDescent="0.3"/>
    <row r="1452" ht="14.4" x14ac:dyDescent="0.3"/>
    <row r="1453" ht="14.4" x14ac:dyDescent="0.3"/>
    <row r="1454" ht="14.4" x14ac:dyDescent="0.3"/>
    <row r="1455" ht="14.4" x14ac:dyDescent="0.3"/>
    <row r="1456" ht="14.4" x14ac:dyDescent="0.3"/>
    <row r="1457" ht="14.4" x14ac:dyDescent="0.3"/>
    <row r="1458" ht="14.4" x14ac:dyDescent="0.3"/>
    <row r="1459" ht="14.4" x14ac:dyDescent="0.3"/>
    <row r="1460" ht="14.4" x14ac:dyDescent="0.3"/>
    <row r="1461" ht="14.4" x14ac:dyDescent="0.3"/>
    <row r="1462" ht="14.4" x14ac:dyDescent="0.3"/>
    <row r="1463" ht="14.4" x14ac:dyDescent="0.3"/>
    <row r="1464" ht="14.4" x14ac:dyDescent="0.3"/>
    <row r="1465" ht="14.4" x14ac:dyDescent="0.3"/>
    <row r="1466" ht="14.4" x14ac:dyDescent="0.3"/>
    <row r="1467" ht="14.4" x14ac:dyDescent="0.3"/>
    <row r="1468" ht="14.4" x14ac:dyDescent="0.3"/>
    <row r="1469" ht="14.4" x14ac:dyDescent="0.3"/>
    <row r="1470" ht="14.4" x14ac:dyDescent="0.3"/>
    <row r="1471" ht="14.4" x14ac:dyDescent="0.3"/>
    <row r="1472" ht="14.4" x14ac:dyDescent="0.3"/>
    <row r="1473" ht="14.4" x14ac:dyDescent="0.3"/>
    <row r="1474" ht="14.4" x14ac:dyDescent="0.3"/>
    <row r="1475" ht="14.4" x14ac:dyDescent="0.3"/>
    <row r="1476" ht="14.4" x14ac:dyDescent="0.3"/>
    <row r="1477" ht="14.4" x14ac:dyDescent="0.3"/>
    <row r="1478" ht="14.4" x14ac:dyDescent="0.3"/>
    <row r="1479" ht="14.4" x14ac:dyDescent="0.3"/>
    <row r="1480" ht="14.4" x14ac:dyDescent="0.3"/>
    <row r="1481" ht="14.4" x14ac:dyDescent="0.3"/>
    <row r="1482" ht="14.4" x14ac:dyDescent="0.3"/>
    <row r="1483" ht="14.4" x14ac:dyDescent="0.3"/>
    <row r="1484" ht="14.4" x14ac:dyDescent="0.3"/>
    <row r="1485" ht="14.4" x14ac:dyDescent="0.3"/>
    <row r="1486" ht="14.4" x14ac:dyDescent="0.3"/>
    <row r="1487" ht="14.4" x14ac:dyDescent="0.3"/>
    <row r="1488" ht="14.4" x14ac:dyDescent="0.3"/>
    <row r="1489" ht="14.4" x14ac:dyDescent="0.3"/>
    <row r="1490" ht="14.4" x14ac:dyDescent="0.3"/>
    <row r="1491" ht="14.4" x14ac:dyDescent="0.3"/>
    <row r="1492" ht="14.4" x14ac:dyDescent="0.3"/>
    <row r="1493" ht="14.4" x14ac:dyDescent="0.3"/>
    <row r="1494" ht="14.4" x14ac:dyDescent="0.3"/>
    <row r="1495" ht="14.4" x14ac:dyDescent="0.3"/>
    <row r="1496" ht="14.4" x14ac:dyDescent="0.3"/>
    <row r="1497" ht="14.4" x14ac:dyDescent="0.3"/>
    <row r="1498" ht="14.4" x14ac:dyDescent="0.3"/>
    <row r="1499" ht="14.4" x14ac:dyDescent="0.3"/>
    <row r="1500" ht="14.4" x14ac:dyDescent="0.3"/>
    <row r="1501" ht="14.4" x14ac:dyDescent="0.3"/>
    <row r="1502" ht="14.4" x14ac:dyDescent="0.3"/>
    <row r="1503" ht="14.4" x14ac:dyDescent="0.3"/>
    <row r="1504" ht="14.4" x14ac:dyDescent="0.3"/>
    <row r="1505" ht="14.4" x14ac:dyDescent="0.3"/>
    <row r="1506" ht="14.4" x14ac:dyDescent="0.3"/>
    <row r="1507" ht="14.4" x14ac:dyDescent="0.3"/>
    <row r="1508" ht="14.4" x14ac:dyDescent="0.3"/>
    <row r="1509" ht="14.4" x14ac:dyDescent="0.3"/>
    <row r="1510" ht="14.4" x14ac:dyDescent="0.3"/>
    <row r="1511" ht="14.4" x14ac:dyDescent="0.3"/>
    <row r="1512" ht="14.4" x14ac:dyDescent="0.3"/>
    <row r="1513" ht="14.4" x14ac:dyDescent="0.3"/>
    <row r="1514" ht="14.4" x14ac:dyDescent="0.3"/>
    <row r="1515" ht="14.4" x14ac:dyDescent="0.3"/>
    <row r="1516" ht="14.4" x14ac:dyDescent="0.3"/>
    <row r="1517" ht="14.4" x14ac:dyDescent="0.3"/>
    <row r="1518" ht="14.4" x14ac:dyDescent="0.3"/>
    <row r="1519" ht="14.4" x14ac:dyDescent="0.3"/>
    <row r="1520" ht="14.4" x14ac:dyDescent="0.3"/>
    <row r="1521" ht="14.4" x14ac:dyDescent="0.3"/>
    <row r="1522" ht="14.4" x14ac:dyDescent="0.3"/>
    <row r="1523" ht="14.4" x14ac:dyDescent="0.3"/>
    <row r="1524" ht="14.4" x14ac:dyDescent="0.3"/>
    <row r="1525" ht="14.4" x14ac:dyDescent="0.3"/>
    <row r="1526" ht="14.4" x14ac:dyDescent="0.3"/>
    <row r="1527" ht="14.4" x14ac:dyDescent="0.3"/>
    <row r="1528" ht="14.4" x14ac:dyDescent="0.3"/>
    <row r="1529" ht="14.4" x14ac:dyDescent="0.3"/>
    <row r="1530" ht="14.4" x14ac:dyDescent="0.3"/>
    <row r="1531" ht="14.4" x14ac:dyDescent="0.3"/>
    <row r="1532" ht="14.4" x14ac:dyDescent="0.3"/>
    <row r="1533" ht="14.4" x14ac:dyDescent="0.3"/>
    <row r="1534" ht="14.4" x14ac:dyDescent="0.3"/>
    <row r="1535" ht="14.4" x14ac:dyDescent="0.3"/>
    <row r="1536" ht="14.4" x14ac:dyDescent="0.3"/>
    <row r="1537" ht="14.4" x14ac:dyDescent="0.3"/>
    <row r="1538" ht="14.4" x14ac:dyDescent="0.3"/>
    <row r="1539" ht="14.4" x14ac:dyDescent="0.3"/>
    <row r="1540" ht="14.4" x14ac:dyDescent="0.3"/>
    <row r="1541" ht="14.4" x14ac:dyDescent="0.3"/>
    <row r="1542" ht="14.4" x14ac:dyDescent="0.3"/>
    <row r="1543" ht="14.4" x14ac:dyDescent="0.3"/>
    <row r="1544" ht="14.4" x14ac:dyDescent="0.3"/>
    <row r="1545" ht="14.4" x14ac:dyDescent="0.3"/>
    <row r="1546" ht="14.4" x14ac:dyDescent="0.3"/>
    <row r="1547" ht="14.4" x14ac:dyDescent="0.3"/>
    <row r="1548" ht="14.4" x14ac:dyDescent="0.3"/>
    <row r="1549" ht="14.4" x14ac:dyDescent="0.3"/>
    <row r="1550" ht="14.4" x14ac:dyDescent="0.3"/>
    <row r="1551" ht="14.4" x14ac:dyDescent="0.3"/>
    <row r="1552" ht="14.4" x14ac:dyDescent="0.3"/>
    <row r="1553" ht="14.4" x14ac:dyDescent="0.3"/>
    <row r="1554" ht="14.4" x14ac:dyDescent="0.3"/>
    <row r="1555" ht="14.4" x14ac:dyDescent="0.3"/>
    <row r="1556" ht="14.4" x14ac:dyDescent="0.3"/>
    <row r="1557" ht="14.4" x14ac:dyDescent="0.3"/>
    <row r="1558" ht="14.4" x14ac:dyDescent="0.3"/>
    <row r="1559" ht="14.4" x14ac:dyDescent="0.3"/>
    <row r="1560" ht="14.4" x14ac:dyDescent="0.3"/>
    <row r="1561" ht="14.4" x14ac:dyDescent="0.3"/>
    <row r="1562" ht="14.4" x14ac:dyDescent="0.3"/>
    <row r="1563" ht="14.4" x14ac:dyDescent="0.3"/>
    <row r="1564" ht="14.4" x14ac:dyDescent="0.3"/>
    <row r="1565" ht="14.4" x14ac:dyDescent="0.3"/>
    <row r="1566" ht="14.4" x14ac:dyDescent="0.3"/>
    <row r="1567" ht="14.4" x14ac:dyDescent="0.3"/>
    <row r="1568" ht="14.4" x14ac:dyDescent="0.3"/>
    <row r="1569" ht="14.4" x14ac:dyDescent="0.3"/>
    <row r="1570" ht="14.4" x14ac:dyDescent="0.3"/>
    <row r="1571" ht="14.4" x14ac:dyDescent="0.3"/>
    <row r="1572" ht="14.4" x14ac:dyDescent="0.3"/>
    <row r="1573" ht="14.4" x14ac:dyDescent="0.3"/>
    <row r="1574" ht="14.4" x14ac:dyDescent="0.3"/>
    <row r="1575" ht="14.4" x14ac:dyDescent="0.3"/>
    <row r="1576" ht="14.4" x14ac:dyDescent="0.3"/>
    <row r="1577" ht="14.4" x14ac:dyDescent="0.3"/>
    <row r="1578" ht="14.4" x14ac:dyDescent="0.3"/>
    <row r="1579" ht="14.4" x14ac:dyDescent="0.3"/>
    <row r="1580" ht="14.4" x14ac:dyDescent="0.3"/>
    <row r="1581" ht="14.4" x14ac:dyDescent="0.3"/>
    <row r="1582" ht="14.4" x14ac:dyDescent="0.3"/>
    <row r="1583" ht="14.4" x14ac:dyDescent="0.3"/>
    <row r="1584" ht="14.4" x14ac:dyDescent="0.3"/>
    <row r="1585" ht="14.4" x14ac:dyDescent="0.3"/>
    <row r="1586" ht="14.4" x14ac:dyDescent="0.3"/>
    <row r="1587" ht="14.4" x14ac:dyDescent="0.3"/>
    <row r="1588" ht="14.4" x14ac:dyDescent="0.3"/>
    <row r="1589" ht="14.4" x14ac:dyDescent="0.3"/>
    <row r="1590" ht="14.4" x14ac:dyDescent="0.3"/>
    <row r="1591" ht="14.4" x14ac:dyDescent="0.3"/>
    <row r="1592" ht="14.4" x14ac:dyDescent="0.3"/>
    <row r="1593" ht="14.4" x14ac:dyDescent="0.3"/>
    <row r="1594" ht="14.4" x14ac:dyDescent="0.3"/>
    <row r="1595" ht="14.4" x14ac:dyDescent="0.3"/>
    <row r="1596" ht="14.4" x14ac:dyDescent="0.3"/>
    <row r="1597" ht="14.4" x14ac:dyDescent="0.3"/>
    <row r="1598" ht="14.4" x14ac:dyDescent="0.3"/>
    <row r="1599" ht="14.4" x14ac:dyDescent="0.3"/>
    <row r="1600" ht="14.4" x14ac:dyDescent="0.3"/>
    <row r="1601" ht="14.4" x14ac:dyDescent="0.3"/>
    <row r="1602" ht="14.4" x14ac:dyDescent="0.3"/>
    <row r="1603" ht="14.4" x14ac:dyDescent="0.3"/>
    <row r="1604" ht="14.4" x14ac:dyDescent="0.3"/>
    <row r="1605" ht="14.4" x14ac:dyDescent="0.3"/>
    <row r="1606" ht="14.4" x14ac:dyDescent="0.3"/>
    <row r="1607" ht="14.4" x14ac:dyDescent="0.3"/>
    <row r="1608" ht="14.4" x14ac:dyDescent="0.3"/>
    <row r="1609" ht="14.4" x14ac:dyDescent="0.3"/>
    <row r="1610" ht="14.4" x14ac:dyDescent="0.3"/>
    <row r="1611" ht="14.4" x14ac:dyDescent="0.3"/>
    <row r="1612" ht="14.4" x14ac:dyDescent="0.3"/>
    <row r="1613" ht="14.4" x14ac:dyDescent="0.3"/>
    <row r="1614" ht="14.4" x14ac:dyDescent="0.3"/>
    <row r="1615" ht="14.4" x14ac:dyDescent="0.3"/>
    <row r="1616" ht="14.4" x14ac:dyDescent="0.3"/>
    <row r="1617" ht="14.4" x14ac:dyDescent="0.3"/>
    <row r="1618" ht="14.4" x14ac:dyDescent="0.3"/>
    <row r="1619" ht="14.4" x14ac:dyDescent="0.3"/>
    <row r="1620" ht="14.4" x14ac:dyDescent="0.3"/>
    <row r="1621" ht="14.4" x14ac:dyDescent="0.3"/>
    <row r="1622" ht="14.4" x14ac:dyDescent="0.3"/>
    <row r="1623" ht="14.4" x14ac:dyDescent="0.3"/>
    <row r="1624" ht="14.4" x14ac:dyDescent="0.3"/>
    <row r="1625" ht="14.4" x14ac:dyDescent="0.3"/>
    <row r="1626" ht="14.4" x14ac:dyDescent="0.3"/>
    <row r="1627" ht="14.4" x14ac:dyDescent="0.3"/>
    <row r="1628" ht="14.4" x14ac:dyDescent="0.3"/>
    <row r="1629" ht="14.4" x14ac:dyDescent="0.3"/>
    <row r="1630" ht="14.4" x14ac:dyDescent="0.3"/>
    <row r="1631" ht="14.4" x14ac:dyDescent="0.3"/>
    <row r="1632" ht="14.4" x14ac:dyDescent="0.3"/>
    <row r="1633" ht="14.4" x14ac:dyDescent="0.3"/>
    <row r="1634" ht="14.4" x14ac:dyDescent="0.3"/>
    <row r="1635" ht="14.4" x14ac:dyDescent="0.3"/>
    <row r="1636" ht="14.4" x14ac:dyDescent="0.3"/>
    <row r="1637" ht="14.4" x14ac:dyDescent="0.3"/>
    <row r="1638" ht="14.4" x14ac:dyDescent="0.3"/>
    <row r="1639" ht="14.4" x14ac:dyDescent="0.3"/>
    <row r="1640" ht="14.4" x14ac:dyDescent="0.3"/>
    <row r="1641" ht="14.4" x14ac:dyDescent="0.3"/>
    <row r="1642" ht="14.4" x14ac:dyDescent="0.3"/>
    <row r="1643" ht="14.4" x14ac:dyDescent="0.3"/>
    <row r="1644" ht="14.4" x14ac:dyDescent="0.3"/>
    <row r="1645" ht="14.4" x14ac:dyDescent="0.3"/>
    <row r="1646" ht="14.4" x14ac:dyDescent="0.3"/>
    <row r="1647" ht="14.4" x14ac:dyDescent="0.3"/>
    <row r="1648" ht="14.4" x14ac:dyDescent="0.3"/>
    <row r="1649" ht="14.4" x14ac:dyDescent="0.3"/>
    <row r="1650" ht="14.4" x14ac:dyDescent="0.3"/>
    <row r="1651" ht="14.4" x14ac:dyDescent="0.3"/>
    <row r="1652" ht="14.4" x14ac:dyDescent="0.3"/>
    <row r="1653" ht="14.4" x14ac:dyDescent="0.3"/>
    <row r="1654" ht="14.4" x14ac:dyDescent="0.3"/>
    <row r="1655" ht="14.4" x14ac:dyDescent="0.3"/>
    <row r="1656" ht="14.4" x14ac:dyDescent="0.3"/>
    <row r="1657" ht="14.4" x14ac:dyDescent="0.3"/>
    <row r="1658" ht="14.4" x14ac:dyDescent="0.3"/>
    <row r="1659" ht="14.4" x14ac:dyDescent="0.3"/>
    <row r="1660" ht="14.4" x14ac:dyDescent="0.3"/>
    <row r="1661" ht="14.4" x14ac:dyDescent="0.3"/>
    <row r="1662" ht="14.4" x14ac:dyDescent="0.3"/>
    <row r="1663" ht="14.4" x14ac:dyDescent="0.3"/>
    <row r="1664" ht="14.4" x14ac:dyDescent="0.3"/>
    <row r="1665" ht="14.4" x14ac:dyDescent="0.3"/>
    <row r="1666" ht="14.4" x14ac:dyDescent="0.3"/>
    <row r="1667" ht="14.4" x14ac:dyDescent="0.3"/>
    <row r="1668" ht="14.4" x14ac:dyDescent="0.3"/>
    <row r="1669" ht="14.4" x14ac:dyDescent="0.3"/>
    <row r="1670" ht="14.4" x14ac:dyDescent="0.3"/>
    <row r="1671" ht="14.4" x14ac:dyDescent="0.3"/>
    <row r="1672" ht="14.4" x14ac:dyDescent="0.3"/>
    <row r="1673" ht="14.4" x14ac:dyDescent="0.3"/>
    <row r="1674" ht="14.4" x14ac:dyDescent="0.3"/>
    <row r="1675" ht="14.4" x14ac:dyDescent="0.3"/>
    <row r="1676" ht="14.4" x14ac:dyDescent="0.3"/>
    <row r="1677" ht="14.4" x14ac:dyDescent="0.3"/>
    <row r="1678" ht="14.4" x14ac:dyDescent="0.3"/>
    <row r="1679" ht="14.4" x14ac:dyDescent="0.3"/>
    <row r="1680" ht="14.4" x14ac:dyDescent="0.3"/>
    <row r="1681" ht="14.4" x14ac:dyDescent="0.3"/>
    <row r="1682" ht="14.4" x14ac:dyDescent="0.3"/>
    <row r="1683" ht="14.4" x14ac:dyDescent="0.3"/>
    <row r="1684" ht="14.4" x14ac:dyDescent="0.3"/>
    <row r="1685" ht="14.4" x14ac:dyDescent="0.3"/>
    <row r="1686" ht="14.4" x14ac:dyDescent="0.3"/>
    <row r="1687" ht="14.4" x14ac:dyDescent="0.3"/>
    <row r="1688" ht="14.4" x14ac:dyDescent="0.3"/>
    <row r="1689" ht="14.4" x14ac:dyDescent="0.3"/>
    <row r="1690" ht="14.4" x14ac:dyDescent="0.3"/>
    <row r="1691" ht="14.4" x14ac:dyDescent="0.3"/>
    <row r="1692" ht="14.4" x14ac:dyDescent="0.3"/>
    <row r="1693" ht="14.4" x14ac:dyDescent="0.3"/>
    <row r="1694" ht="14.4" x14ac:dyDescent="0.3"/>
    <row r="1695" ht="14.4" x14ac:dyDescent="0.3"/>
    <row r="1696" ht="14.4" x14ac:dyDescent="0.3"/>
    <row r="1697" ht="14.4" x14ac:dyDescent="0.3"/>
    <row r="1698" ht="14.4" x14ac:dyDescent="0.3"/>
    <row r="1699" ht="14.4" x14ac:dyDescent="0.3"/>
    <row r="1700" ht="14.4" x14ac:dyDescent="0.3"/>
    <row r="1701" ht="14.4" x14ac:dyDescent="0.3"/>
    <row r="1702" ht="14.4" x14ac:dyDescent="0.3"/>
    <row r="1703" ht="14.4" x14ac:dyDescent="0.3"/>
    <row r="1704" ht="14.4" x14ac:dyDescent="0.3"/>
    <row r="1705" ht="14.4" x14ac:dyDescent="0.3"/>
    <row r="1706" ht="14.4" x14ac:dyDescent="0.3"/>
    <row r="1707" ht="14.4" x14ac:dyDescent="0.3"/>
    <row r="1708" ht="14.4" x14ac:dyDescent="0.3"/>
    <row r="1709" ht="14.4" x14ac:dyDescent="0.3"/>
    <row r="1710" ht="14.4" x14ac:dyDescent="0.3"/>
    <row r="1711" ht="14.4" x14ac:dyDescent="0.3"/>
    <row r="1712" ht="14.4" x14ac:dyDescent="0.3"/>
    <row r="1713" ht="14.4" x14ac:dyDescent="0.3"/>
    <row r="1714" ht="14.4" x14ac:dyDescent="0.3"/>
    <row r="1715" ht="14.4" x14ac:dyDescent="0.3"/>
    <row r="1716" ht="14.4" x14ac:dyDescent="0.3"/>
    <row r="1717" ht="14.4" x14ac:dyDescent="0.3"/>
    <row r="1718" ht="14.4" x14ac:dyDescent="0.3"/>
    <row r="1719" ht="14.4" x14ac:dyDescent="0.3"/>
    <row r="1720" ht="14.4" x14ac:dyDescent="0.3"/>
    <row r="1721" ht="14.4" x14ac:dyDescent="0.3"/>
    <row r="1722" ht="14.4" x14ac:dyDescent="0.3"/>
    <row r="1723" ht="14.4" x14ac:dyDescent="0.3"/>
    <row r="1724" ht="14.4" x14ac:dyDescent="0.3"/>
    <row r="1725" ht="14.4" x14ac:dyDescent="0.3"/>
    <row r="1726" ht="14.4" x14ac:dyDescent="0.3"/>
    <row r="1727" ht="14.4" x14ac:dyDescent="0.3"/>
    <row r="1728" ht="14.4" x14ac:dyDescent="0.3"/>
    <row r="1729" ht="14.4" x14ac:dyDescent="0.3"/>
    <row r="1730" ht="14.4" x14ac:dyDescent="0.3"/>
    <row r="1731" ht="14.4" x14ac:dyDescent="0.3"/>
    <row r="1732" ht="14.4" x14ac:dyDescent="0.3"/>
    <row r="1733" ht="14.4" x14ac:dyDescent="0.3"/>
    <row r="1734" ht="14.4" x14ac:dyDescent="0.3"/>
    <row r="1735" ht="14.4" x14ac:dyDescent="0.3"/>
    <row r="1736" ht="14.4" x14ac:dyDescent="0.3"/>
    <row r="1737" ht="14.4" x14ac:dyDescent="0.3"/>
    <row r="1738" ht="14.4" x14ac:dyDescent="0.3"/>
    <row r="1739" ht="14.4" x14ac:dyDescent="0.3"/>
    <row r="1740" ht="14.4" x14ac:dyDescent="0.3"/>
    <row r="1741" ht="14.4" x14ac:dyDescent="0.3"/>
    <row r="1742" ht="14.4" x14ac:dyDescent="0.3"/>
    <row r="1743" ht="14.4" x14ac:dyDescent="0.3"/>
    <row r="1744" ht="14.4" x14ac:dyDescent="0.3"/>
    <row r="1745" ht="14.4" x14ac:dyDescent="0.3"/>
    <row r="1746" ht="14.4" x14ac:dyDescent="0.3"/>
    <row r="1747" ht="14.4" x14ac:dyDescent="0.3"/>
    <row r="1748" ht="14.4" x14ac:dyDescent="0.3"/>
    <row r="1749" ht="14.4" x14ac:dyDescent="0.3"/>
    <row r="1750" ht="14.4" x14ac:dyDescent="0.3"/>
    <row r="1751" ht="14.4" x14ac:dyDescent="0.3"/>
    <row r="1752" ht="14.4" x14ac:dyDescent="0.3"/>
    <row r="1753" ht="14.4" x14ac:dyDescent="0.3"/>
    <row r="1754" ht="14.4" x14ac:dyDescent="0.3"/>
    <row r="1755" ht="14.4" x14ac:dyDescent="0.3"/>
    <row r="1756" ht="14.4" x14ac:dyDescent="0.3"/>
    <row r="1757" ht="14.4" x14ac:dyDescent="0.3"/>
    <row r="1758" ht="14.4" x14ac:dyDescent="0.3"/>
    <row r="1759" ht="14.4" x14ac:dyDescent="0.3"/>
    <row r="1760" ht="14.4" x14ac:dyDescent="0.3"/>
    <row r="1761" ht="14.4" x14ac:dyDescent="0.3"/>
    <row r="1762" ht="14.4" x14ac:dyDescent="0.3"/>
    <row r="1763" ht="14.4" x14ac:dyDescent="0.3"/>
    <row r="1764" ht="14.4" x14ac:dyDescent="0.3"/>
    <row r="1765" ht="14.4" x14ac:dyDescent="0.3"/>
    <row r="1766" ht="14.4" x14ac:dyDescent="0.3"/>
    <row r="1767" ht="14.4" x14ac:dyDescent="0.3"/>
    <row r="1768" ht="14.4" x14ac:dyDescent="0.3"/>
    <row r="1769" ht="14.4" x14ac:dyDescent="0.3"/>
    <row r="1770" ht="14.4" x14ac:dyDescent="0.3"/>
    <row r="1771" ht="14.4" x14ac:dyDescent="0.3"/>
    <row r="1772" ht="14.4" x14ac:dyDescent="0.3"/>
    <row r="1773" ht="14.4" x14ac:dyDescent="0.3"/>
    <row r="1774" ht="14.4" x14ac:dyDescent="0.3"/>
    <row r="1775" ht="14.4" x14ac:dyDescent="0.3"/>
    <row r="1776" ht="14.4" x14ac:dyDescent="0.3"/>
    <row r="1777" ht="14.4" x14ac:dyDescent="0.3"/>
    <row r="1778" ht="14.4" x14ac:dyDescent="0.3"/>
    <row r="1779" ht="14.4" x14ac:dyDescent="0.3"/>
    <row r="1780" ht="14.4" x14ac:dyDescent="0.3"/>
    <row r="1781" ht="14.4" x14ac:dyDescent="0.3"/>
    <row r="1782" ht="14.4" x14ac:dyDescent="0.3"/>
    <row r="1783" ht="14.4" x14ac:dyDescent="0.3"/>
    <row r="1784" ht="14.4" x14ac:dyDescent="0.3"/>
    <row r="1785" ht="14.4" x14ac:dyDescent="0.3"/>
    <row r="1786" ht="14.4" x14ac:dyDescent="0.3"/>
    <row r="1787" ht="14.4" x14ac:dyDescent="0.3"/>
    <row r="1788" ht="14.4" x14ac:dyDescent="0.3"/>
    <row r="1789" ht="14.4" x14ac:dyDescent="0.3"/>
    <row r="1790" ht="14.4" x14ac:dyDescent="0.3"/>
    <row r="1791" ht="14.4" x14ac:dyDescent="0.3"/>
    <row r="1792" ht="14.4" x14ac:dyDescent="0.3"/>
    <row r="1793" ht="14.4" x14ac:dyDescent="0.3"/>
    <row r="1794" ht="14.4" x14ac:dyDescent="0.3"/>
    <row r="1795" ht="14.4" x14ac:dyDescent="0.3"/>
    <row r="1796" ht="14.4" x14ac:dyDescent="0.3"/>
    <row r="1797" ht="14.4" x14ac:dyDescent="0.3"/>
    <row r="1798" ht="14.4" x14ac:dyDescent="0.3"/>
    <row r="1799" ht="14.4" x14ac:dyDescent="0.3"/>
    <row r="1800" ht="14.4" x14ac:dyDescent="0.3"/>
    <row r="1801" ht="14.4" x14ac:dyDescent="0.3"/>
    <row r="1802" ht="14.4" x14ac:dyDescent="0.3"/>
    <row r="1803" ht="14.4" x14ac:dyDescent="0.3"/>
    <row r="1804" ht="14.4" x14ac:dyDescent="0.3"/>
    <row r="1805" ht="14.4" x14ac:dyDescent="0.3"/>
    <row r="1806" ht="14.4" x14ac:dyDescent="0.3"/>
    <row r="1807" ht="14.4" x14ac:dyDescent="0.3"/>
    <row r="1808" ht="14.4" x14ac:dyDescent="0.3"/>
    <row r="1809" ht="14.4" x14ac:dyDescent="0.3"/>
    <row r="1810" ht="14.4" x14ac:dyDescent="0.3"/>
    <row r="1811" ht="14.4" x14ac:dyDescent="0.3"/>
    <row r="1812" ht="14.4" x14ac:dyDescent="0.3"/>
    <row r="1813" ht="14.4" x14ac:dyDescent="0.3"/>
    <row r="1814" ht="14.4" x14ac:dyDescent="0.3"/>
    <row r="1815" ht="14.4" x14ac:dyDescent="0.3"/>
    <row r="1816" ht="14.4" x14ac:dyDescent="0.3"/>
    <row r="1817" ht="14.4" x14ac:dyDescent="0.3"/>
    <row r="1818" ht="14.4" x14ac:dyDescent="0.3"/>
    <row r="1819" ht="14.4" x14ac:dyDescent="0.3"/>
    <row r="1820" ht="14.4" x14ac:dyDescent="0.3"/>
    <row r="1821" ht="14.4" x14ac:dyDescent="0.3"/>
    <row r="1822" ht="14.4" x14ac:dyDescent="0.3"/>
    <row r="1823" ht="14.4" x14ac:dyDescent="0.3"/>
    <row r="1824" ht="14.4" x14ac:dyDescent="0.3"/>
    <row r="1825" ht="14.4" x14ac:dyDescent="0.3"/>
    <row r="1826" ht="14.4" x14ac:dyDescent="0.3"/>
    <row r="1827" ht="14.4" x14ac:dyDescent="0.3"/>
    <row r="1828" ht="14.4" x14ac:dyDescent="0.3"/>
    <row r="1829" ht="14.4" x14ac:dyDescent="0.3"/>
    <row r="1830" ht="14.4" x14ac:dyDescent="0.3"/>
    <row r="1831" ht="14.4" x14ac:dyDescent="0.3"/>
    <row r="1832" ht="14.4" x14ac:dyDescent="0.3"/>
    <row r="1833" ht="14.4" x14ac:dyDescent="0.3"/>
    <row r="1834" ht="14.4" x14ac:dyDescent="0.3"/>
    <row r="1835" ht="14.4" x14ac:dyDescent="0.3"/>
    <row r="1836" ht="14.4" x14ac:dyDescent="0.3"/>
    <row r="1837" ht="14.4" x14ac:dyDescent="0.3"/>
    <row r="1838" ht="14.4" x14ac:dyDescent="0.3"/>
    <row r="1839" ht="14.4" x14ac:dyDescent="0.3"/>
    <row r="1840" ht="14.4" x14ac:dyDescent="0.3"/>
    <row r="1841" ht="14.4" x14ac:dyDescent="0.3"/>
    <row r="1842" ht="14.4" x14ac:dyDescent="0.3"/>
    <row r="1843" ht="14.4" x14ac:dyDescent="0.3"/>
    <row r="1844" ht="14.4" x14ac:dyDescent="0.3"/>
    <row r="1845" ht="14.4" x14ac:dyDescent="0.3"/>
    <row r="1846" ht="14.4" x14ac:dyDescent="0.3"/>
    <row r="1847" ht="14.4" x14ac:dyDescent="0.3"/>
    <row r="1848" ht="14.4" x14ac:dyDescent="0.3"/>
    <row r="1849" ht="14.4" x14ac:dyDescent="0.3"/>
    <row r="1850" ht="14.4" x14ac:dyDescent="0.3"/>
    <row r="1851" ht="14.4" x14ac:dyDescent="0.3"/>
    <row r="1852" ht="14.4" x14ac:dyDescent="0.3"/>
    <row r="1853" ht="14.4" x14ac:dyDescent="0.3"/>
    <row r="1854" ht="14.4" x14ac:dyDescent="0.3"/>
    <row r="1855" ht="14.4" x14ac:dyDescent="0.3"/>
    <row r="1856" ht="14.4" x14ac:dyDescent="0.3"/>
    <row r="1857" ht="14.4" x14ac:dyDescent="0.3"/>
    <row r="1858" ht="14.4" x14ac:dyDescent="0.3"/>
    <row r="1859" ht="14.4" x14ac:dyDescent="0.3"/>
    <row r="1860" ht="14.4" x14ac:dyDescent="0.3"/>
    <row r="1861" ht="14.4" x14ac:dyDescent="0.3"/>
    <row r="1862" ht="14.4" x14ac:dyDescent="0.3"/>
    <row r="1863" ht="14.4" x14ac:dyDescent="0.3"/>
    <row r="1864" ht="14.4" x14ac:dyDescent="0.3"/>
    <row r="1865" ht="14.4" x14ac:dyDescent="0.3"/>
    <row r="1866" ht="14.4" x14ac:dyDescent="0.3"/>
    <row r="1867" ht="14.4" x14ac:dyDescent="0.3"/>
    <row r="1868" ht="14.4" x14ac:dyDescent="0.3"/>
    <row r="1869" ht="14.4" x14ac:dyDescent="0.3"/>
    <row r="1870" ht="14.4" x14ac:dyDescent="0.3"/>
    <row r="1871" ht="14.4" x14ac:dyDescent="0.3"/>
    <row r="1872" ht="14.4" x14ac:dyDescent="0.3"/>
    <row r="1873" ht="14.4" x14ac:dyDescent="0.3"/>
    <row r="1874" ht="14.4" x14ac:dyDescent="0.3"/>
    <row r="1875" ht="14.4" x14ac:dyDescent="0.3"/>
    <row r="1876" ht="14.4" x14ac:dyDescent="0.3"/>
    <row r="1877" ht="14.4" x14ac:dyDescent="0.3"/>
    <row r="1878" ht="14.4" x14ac:dyDescent="0.3"/>
    <row r="1879" ht="14.4" x14ac:dyDescent="0.3"/>
    <row r="1880" ht="14.4" x14ac:dyDescent="0.3"/>
    <row r="1881" ht="14.4" x14ac:dyDescent="0.3"/>
    <row r="1882" ht="14.4" x14ac:dyDescent="0.3"/>
    <row r="1883" ht="14.4" x14ac:dyDescent="0.3"/>
    <row r="1884" ht="14.4" x14ac:dyDescent="0.3"/>
    <row r="1885" ht="14.4" x14ac:dyDescent="0.3"/>
    <row r="1886" ht="14.4" x14ac:dyDescent="0.3"/>
    <row r="1887" ht="14.4" x14ac:dyDescent="0.3"/>
    <row r="1888" ht="14.4" x14ac:dyDescent="0.3"/>
    <row r="1889" ht="14.4" x14ac:dyDescent="0.3"/>
    <row r="1890" ht="14.4" x14ac:dyDescent="0.3"/>
    <row r="1891" ht="14.4" x14ac:dyDescent="0.3"/>
    <row r="1892" ht="14.4" x14ac:dyDescent="0.3"/>
    <row r="1893" ht="14.4" x14ac:dyDescent="0.3"/>
    <row r="1894" ht="14.4" x14ac:dyDescent="0.3"/>
    <row r="1895" ht="14.4" x14ac:dyDescent="0.3"/>
    <row r="1896" ht="14.4" x14ac:dyDescent="0.3"/>
    <row r="1897" ht="14.4" x14ac:dyDescent="0.3"/>
    <row r="1898" ht="14.4" x14ac:dyDescent="0.3"/>
    <row r="1899" ht="14.4" x14ac:dyDescent="0.3"/>
    <row r="1900" ht="14.4" x14ac:dyDescent="0.3"/>
    <row r="1901" ht="14.4" x14ac:dyDescent="0.3"/>
    <row r="1902" ht="14.4" x14ac:dyDescent="0.3"/>
    <row r="1903" ht="14.4" x14ac:dyDescent="0.3"/>
    <row r="1904" ht="14.4" x14ac:dyDescent="0.3"/>
    <row r="1905" ht="14.4" x14ac:dyDescent="0.3"/>
    <row r="1906" ht="14.4" x14ac:dyDescent="0.3"/>
    <row r="1907" ht="14.4" x14ac:dyDescent="0.3"/>
    <row r="1908" ht="14.4" x14ac:dyDescent="0.3"/>
    <row r="1909" ht="14.4" x14ac:dyDescent="0.3"/>
    <row r="1910" ht="14.4" x14ac:dyDescent="0.3"/>
    <row r="1911" ht="14.4" x14ac:dyDescent="0.3"/>
    <row r="1912" ht="14.4" x14ac:dyDescent="0.3"/>
    <row r="1913" ht="14.4" x14ac:dyDescent="0.3"/>
    <row r="1914" ht="14.4" x14ac:dyDescent="0.3"/>
    <row r="1915" ht="14.4" x14ac:dyDescent="0.3"/>
    <row r="1916" ht="14.4" x14ac:dyDescent="0.3"/>
    <row r="1917" ht="14.4" x14ac:dyDescent="0.3"/>
    <row r="1918" ht="14.4" x14ac:dyDescent="0.3"/>
    <row r="1919" ht="14.4" x14ac:dyDescent="0.3"/>
    <row r="1920" ht="14.4" x14ac:dyDescent="0.3"/>
    <row r="1921" ht="14.4" x14ac:dyDescent="0.3"/>
    <row r="1922" ht="14.4" x14ac:dyDescent="0.3"/>
    <row r="1923" ht="14.4" x14ac:dyDescent="0.3"/>
    <row r="1924" ht="14.4" x14ac:dyDescent="0.3"/>
    <row r="1925" ht="14.4" x14ac:dyDescent="0.3"/>
    <row r="1926" ht="14.4" x14ac:dyDescent="0.3"/>
    <row r="1927" ht="14.4" x14ac:dyDescent="0.3"/>
    <row r="1928" ht="14.4" x14ac:dyDescent="0.3"/>
    <row r="1929" ht="14.4" x14ac:dyDescent="0.3"/>
    <row r="1930" ht="14.4" x14ac:dyDescent="0.3"/>
    <row r="1931" ht="14.4" x14ac:dyDescent="0.3"/>
    <row r="1932" ht="14.4" x14ac:dyDescent="0.3"/>
    <row r="1933" ht="14.4" x14ac:dyDescent="0.3"/>
    <row r="1934" ht="14.4" x14ac:dyDescent="0.3"/>
    <row r="1935" ht="14.4" x14ac:dyDescent="0.3"/>
    <row r="1936" ht="14.4" x14ac:dyDescent="0.3"/>
    <row r="1937" ht="14.4" x14ac:dyDescent="0.3"/>
    <row r="1938" ht="14.4" x14ac:dyDescent="0.3"/>
    <row r="1939" ht="14.4" x14ac:dyDescent="0.3"/>
    <row r="1940" ht="14.4" x14ac:dyDescent="0.3"/>
    <row r="1941" ht="14.4" x14ac:dyDescent="0.3"/>
    <row r="1942" ht="14.4" x14ac:dyDescent="0.3"/>
    <row r="1943" ht="14.4" x14ac:dyDescent="0.3"/>
    <row r="1944" ht="14.4" x14ac:dyDescent="0.3"/>
    <row r="1945" ht="14.4" x14ac:dyDescent="0.3"/>
    <row r="1946" ht="14.4" x14ac:dyDescent="0.3"/>
    <row r="1947" ht="14.4" x14ac:dyDescent="0.3"/>
    <row r="1948" ht="14.4" x14ac:dyDescent="0.3"/>
    <row r="1949" ht="14.4" x14ac:dyDescent="0.3"/>
    <row r="1950" ht="14.4" x14ac:dyDescent="0.3"/>
    <row r="1951" ht="14.4" x14ac:dyDescent="0.3"/>
    <row r="1952" ht="14.4" x14ac:dyDescent="0.3"/>
    <row r="1953" ht="14.4" x14ac:dyDescent="0.3"/>
    <row r="1954" ht="14.4" x14ac:dyDescent="0.3"/>
    <row r="1955" ht="14.4" x14ac:dyDescent="0.3"/>
    <row r="1956" ht="14.4" x14ac:dyDescent="0.3"/>
    <row r="1957" ht="14.4" x14ac:dyDescent="0.3"/>
    <row r="1958" ht="14.4" x14ac:dyDescent="0.3"/>
    <row r="1959" ht="14.4" x14ac:dyDescent="0.3"/>
    <row r="1960" ht="14.4" x14ac:dyDescent="0.3"/>
    <row r="1961" ht="14.4" x14ac:dyDescent="0.3"/>
    <row r="1962" ht="14.4" x14ac:dyDescent="0.3"/>
    <row r="1963" ht="14.4" x14ac:dyDescent="0.3"/>
    <row r="1964" ht="14.4" x14ac:dyDescent="0.3"/>
    <row r="1965" ht="14.4" x14ac:dyDescent="0.3"/>
    <row r="1966" ht="14.4" x14ac:dyDescent="0.3"/>
    <row r="1967" ht="14.4" x14ac:dyDescent="0.3"/>
    <row r="1968" ht="14.4" x14ac:dyDescent="0.3"/>
    <row r="1969" ht="14.4" x14ac:dyDescent="0.3"/>
    <row r="1970" ht="14.4" x14ac:dyDescent="0.3"/>
    <row r="1971" ht="14.4" x14ac:dyDescent="0.3"/>
    <row r="1972" ht="14.4" x14ac:dyDescent="0.3"/>
    <row r="1973" ht="14.4" x14ac:dyDescent="0.3"/>
    <row r="1974" ht="14.4" x14ac:dyDescent="0.3"/>
    <row r="1975" ht="14.4" x14ac:dyDescent="0.3"/>
    <row r="1976" ht="14.4" x14ac:dyDescent="0.3"/>
    <row r="1977" ht="14.4" x14ac:dyDescent="0.3"/>
    <row r="1978" ht="14.4" x14ac:dyDescent="0.3"/>
    <row r="1979" ht="14.4" x14ac:dyDescent="0.3"/>
    <row r="1980" ht="14.4" x14ac:dyDescent="0.3"/>
    <row r="1981" ht="14.4" x14ac:dyDescent="0.3"/>
    <row r="1982" ht="14.4" x14ac:dyDescent="0.3"/>
    <row r="1983" ht="14.4" x14ac:dyDescent="0.3"/>
    <row r="1984" ht="14.4" x14ac:dyDescent="0.3"/>
    <row r="1985" ht="14.4" x14ac:dyDescent="0.3"/>
    <row r="1986" ht="14.4" x14ac:dyDescent="0.3"/>
    <row r="1987" ht="14.4" x14ac:dyDescent="0.3"/>
    <row r="1988" ht="14.4" x14ac:dyDescent="0.3"/>
    <row r="1989" ht="14.4" x14ac:dyDescent="0.3"/>
    <row r="1990" ht="14.4" x14ac:dyDescent="0.3"/>
    <row r="1991" ht="14.4" x14ac:dyDescent="0.3"/>
    <row r="1992" ht="14.4" x14ac:dyDescent="0.3"/>
    <row r="1993" ht="14.4" x14ac:dyDescent="0.3"/>
    <row r="1994" ht="14.4" x14ac:dyDescent="0.3"/>
    <row r="1995" ht="14.4" x14ac:dyDescent="0.3"/>
    <row r="1996" ht="14.4" x14ac:dyDescent="0.3"/>
    <row r="1997" ht="14.4" x14ac:dyDescent="0.3"/>
    <row r="1998" ht="14.4" x14ac:dyDescent="0.3"/>
    <row r="1999" ht="14.4" x14ac:dyDescent="0.3"/>
    <row r="2000" ht="14.4" x14ac:dyDescent="0.3"/>
    <row r="2001" ht="14.4" x14ac:dyDescent="0.3"/>
    <row r="2002" ht="14.4" x14ac:dyDescent="0.3"/>
    <row r="2003" ht="14.4" x14ac:dyDescent="0.3"/>
    <row r="2004" ht="14.4" x14ac:dyDescent="0.3"/>
    <row r="2005" ht="14.4" x14ac:dyDescent="0.3"/>
    <row r="2006" ht="14.4" x14ac:dyDescent="0.3"/>
    <row r="2007" ht="14.4" x14ac:dyDescent="0.3"/>
    <row r="2008" ht="14.4" x14ac:dyDescent="0.3"/>
    <row r="2009" ht="14.4" x14ac:dyDescent="0.3"/>
    <row r="2010" ht="14.4" x14ac:dyDescent="0.3"/>
    <row r="2011" ht="14.4" x14ac:dyDescent="0.3"/>
    <row r="2012" ht="14.4" x14ac:dyDescent="0.3"/>
    <row r="2013" ht="14.4" x14ac:dyDescent="0.3"/>
    <row r="2014" ht="14.4" x14ac:dyDescent="0.3"/>
    <row r="2015" ht="14.4" x14ac:dyDescent="0.3"/>
    <row r="2016" ht="14.4" x14ac:dyDescent="0.3"/>
    <row r="2017" ht="14.4" x14ac:dyDescent="0.3"/>
    <row r="2018" ht="14.4" x14ac:dyDescent="0.3"/>
    <row r="2019" ht="14.4" x14ac:dyDescent="0.3"/>
    <row r="2020" ht="14.4" x14ac:dyDescent="0.3"/>
    <row r="2021" ht="14.4" x14ac:dyDescent="0.3"/>
    <row r="2022" ht="14.4" x14ac:dyDescent="0.3"/>
    <row r="2023" ht="14.4" x14ac:dyDescent="0.3"/>
    <row r="2024" ht="14.4" x14ac:dyDescent="0.3"/>
    <row r="2025" ht="14.4" x14ac:dyDescent="0.3"/>
    <row r="2026" ht="14.4" x14ac:dyDescent="0.3"/>
    <row r="2027" ht="14.4" x14ac:dyDescent="0.3"/>
    <row r="2028" ht="14.4" x14ac:dyDescent="0.3"/>
    <row r="2029" ht="14.4" x14ac:dyDescent="0.3"/>
    <row r="2030" ht="14.4" x14ac:dyDescent="0.3"/>
    <row r="2031" ht="14.4" x14ac:dyDescent="0.3"/>
    <row r="2032" ht="14.4" x14ac:dyDescent="0.3"/>
    <row r="2033" ht="14.4" x14ac:dyDescent="0.3"/>
    <row r="2034" ht="14.4" x14ac:dyDescent="0.3"/>
    <row r="2035" ht="14.4" x14ac:dyDescent="0.3"/>
    <row r="2036" ht="14.4" x14ac:dyDescent="0.3"/>
    <row r="2037" ht="14.4" x14ac:dyDescent="0.3"/>
    <row r="2038" ht="14.4" x14ac:dyDescent="0.3"/>
    <row r="2039" ht="14.4" x14ac:dyDescent="0.3"/>
    <row r="2040" ht="14.4" x14ac:dyDescent="0.3"/>
    <row r="2041" ht="14.4" x14ac:dyDescent="0.3"/>
    <row r="2042" ht="14.4" x14ac:dyDescent="0.3"/>
    <row r="2043" ht="14.4" x14ac:dyDescent="0.3"/>
    <row r="2044" ht="14.4" x14ac:dyDescent="0.3"/>
    <row r="2045" ht="14.4" x14ac:dyDescent="0.3"/>
    <row r="2046" ht="14.4" x14ac:dyDescent="0.3"/>
    <row r="2047" ht="14.4" x14ac:dyDescent="0.3"/>
    <row r="2048" ht="14.4" x14ac:dyDescent="0.3"/>
    <row r="2049" ht="14.4" x14ac:dyDescent="0.3"/>
    <row r="2050" ht="14.4" x14ac:dyDescent="0.3"/>
    <row r="2051" ht="14.4" x14ac:dyDescent="0.3"/>
    <row r="2052" ht="14.4" x14ac:dyDescent="0.3"/>
    <row r="2053" ht="14.4" x14ac:dyDescent="0.3"/>
    <row r="2054" ht="14.4" x14ac:dyDescent="0.3"/>
    <row r="2055" ht="14.4" x14ac:dyDescent="0.3"/>
    <row r="2056" ht="14.4" x14ac:dyDescent="0.3"/>
    <row r="2057" ht="14.4" x14ac:dyDescent="0.3"/>
    <row r="2058" ht="14.4" x14ac:dyDescent="0.3"/>
    <row r="2059" ht="14.4" x14ac:dyDescent="0.3"/>
    <row r="2060" ht="14.4" x14ac:dyDescent="0.3"/>
    <row r="2061" ht="14.4" x14ac:dyDescent="0.3"/>
    <row r="2062" ht="14.4" x14ac:dyDescent="0.3"/>
    <row r="2063" ht="14.4" x14ac:dyDescent="0.3"/>
    <row r="2064" ht="14.4" x14ac:dyDescent="0.3"/>
    <row r="2065" ht="14.4" x14ac:dyDescent="0.3"/>
    <row r="2066" ht="14.4" x14ac:dyDescent="0.3"/>
    <row r="2067" ht="14.4" x14ac:dyDescent="0.3"/>
    <row r="2068" ht="14.4" x14ac:dyDescent="0.3"/>
    <row r="2069" ht="14.4" x14ac:dyDescent="0.3"/>
    <row r="2070" ht="14.4" x14ac:dyDescent="0.3"/>
    <row r="2071" ht="14.4" x14ac:dyDescent="0.3"/>
    <row r="2072" ht="14.4" x14ac:dyDescent="0.3"/>
    <row r="2073" ht="14.4" x14ac:dyDescent="0.3"/>
    <row r="2074" ht="14.4" x14ac:dyDescent="0.3"/>
    <row r="2075" ht="14.4" x14ac:dyDescent="0.3"/>
    <row r="2076" ht="14.4" x14ac:dyDescent="0.3"/>
    <row r="2077" ht="14.4" x14ac:dyDescent="0.3"/>
    <row r="2078" ht="14.4" x14ac:dyDescent="0.3"/>
    <row r="2079" ht="14.4" x14ac:dyDescent="0.3"/>
    <row r="2080" ht="14.4" x14ac:dyDescent="0.3"/>
    <row r="2081" ht="14.4" x14ac:dyDescent="0.3"/>
    <row r="2082" ht="14.4" x14ac:dyDescent="0.3"/>
    <row r="2083" ht="14.4" x14ac:dyDescent="0.3"/>
    <row r="2084" ht="14.4" x14ac:dyDescent="0.3"/>
    <row r="2085" ht="14.4" x14ac:dyDescent="0.3"/>
    <row r="2086" ht="14.4" x14ac:dyDescent="0.3"/>
    <row r="2087" ht="14.4" x14ac:dyDescent="0.3"/>
    <row r="2088" ht="14.4" x14ac:dyDescent="0.3"/>
    <row r="2089" ht="14.4" x14ac:dyDescent="0.3"/>
    <row r="2090" ht="14.4" x14ac:dyDescent="0.3"/>
    <row r="2091" ht="14.4" x14ac:dyDescent="0.3"/>
    <row r="2092" ht="14.4" x14ac:dyDescent="0.3"/>
    <row r="2093" ht="14.4" x14ac:dyDescent="0.3"/>
    <row r="2094" ht="14.4" x14ac:dyDescent="0.3"/>
    <row r="2095" ht="14.4" x14ac:dyDescent="0.3"/>
    <row r="2096" ht="14.4" x14ac:dyDescent="0.3"/>
    <row r="2097" ht="14.4" x14ac:dyDescent="0.3"/>
    <row r="2098" ht="14.4" x14ac:dyDescent="0.3"/>
    <row r="2099" ht="14.4" x14ac:dyDescent="0.3"/>
    <row r="2100" ht="14.4" x14ac:dyDescent="0.3"/>
    <row r="2101" ht="14.4" x14ac:dyDescent="0.3"/>
    <row r="2102" ht="14.4" x14ac:dyDescent="0.3"/>
    <row r="2103" ht="14.4" x14ac:dyDescent="0.3"/>
    <row r="2104" ht="14.4" x14ac:dyDescent="0.3"/>
    <row r="2105" ht="14.4" x14ac:dyDescent="0.3"/>
    <row r="2106" ht="14.4" x14ac:dyDescent="0.3"/>
    <row r="2107" ht="14.4" x14ac:dyDescent="0.3"/>
    <row r="2108" ht="14.4" x14ac:dyDescent="0.3"/>
    <row r="2109" ht="14.4" x14ac:dyDescent="0.3"/>
    <row r="2110" ht="14.4" x14ac:dyDescent="0.3"/>
    <row r="2111" ht="14.4" x14ac:dyDescent="0.3"/>
    <row r="2112" ht="14.4" x14ac:dyDescent="0.3"/>
    <row r="2113" ht="14.4" x14ac:dyDescent="0.3"/>
    <row r="2114" ht="14.4" x14ac:dyDescent="0.3"/>
    <row r="2115" ht="14.4" x14ac:dyDescent="0.3"/>
    <row r="2116" ht="14.4" x14ac:dyDescent="0.3"/>
    <row r="2117" ht="14.4" x14ac:dyDescent="0.3"/>
    <row r="2118" ht="14.4" x14ac:dyDescent="0.3"/>
    <row r="2119" ht="14.4" x14ac:dyDescent="0.3"/>
    <row r="2120" ht="14.4" x14ac:dyDescent="0.3"/>
    <row r="2121" ht="14.4" x14ac:dyDescent="0.3"/>
    <row r="2122" ht="14.4" x14ac:dyDescent="0.3"/>
    <row r="2123" ht="14.4" x14ac:dyDescent="0.3"/>
    <row r="2124" ht="14.4" x14ac:dyDescent="0.3"/>
    <row r="2125" ht="14.4" x14ac:dyDescent="0.3"/>
    <row r="2126" ht="14.4" x14ac:dyDescent="0.3"/>
    <row r="2127" ht="14.4" x14ac:dyDescent="0.3"/>
    <row r="2128" ht="14.4" x14ac:dyDescent="0.3"/>
    <row r="2129" ht="14.4" x14ac:dyDescent="0.3"/>
    <row r="2130" ht="14.4" x14ac:dyDescent="0.3"/>
    <row r="2131" ht="14.4" x14ac:dyDescent="0.3"/>
    <row r="2132" ht="14.4" x14ac:dyDescent="0.3"/>
    <row r="2133" ht="14.4" x14ac:dyDescent="0.3"/>
    <row r="2134" ht="14.4" x14ac:dyDescent="0.3"/>
    <row r="2135" ht="14.4" x14ac:dyDescent="0.3"/>
    <row r="2136" ht="14.4" x14ac:dyDescent="0.3"/>
    <row r="2137" ht="14.4" x14ac:dyDescent="0.3"/>
    <row r="2138" ht="14.4" x14ac:dyDescent="0.3"/>
    <row r="2139" ht="14.4" x14ac:dyDescent="0.3"/>
    <row r="2140" ht="14.4" x14ac:dyDescent="0.3"/>
    <row r="2141" ht="14.4" x14ac:dyDescent="0.3"/>
    <row r="2142" ht="14.4" x14ac:dyDescent="0.3"/>
    <row r="2143" ht="14.4" x14ac:dyDescent="0.3"/>
    <row r="2144" ht="14.4" x14ac:dyDescent="0.3"/>
    <row r="2145" ht="14.4" x14ac:dyDescent="0.3"/>
    <row r="2146" ht="14.4" x14ac:dyDescent="0.3"/>
    <row r="2147" ht="14.4" x14ac:dyDescent="0.3"/>
    <row r="2148" ht="14.4" x14ac:dyDescent="0.3"/>
    <row r="2149" ht="14.4" x14ac:dyDescent="0.3"/>
    <row r="2150" ht="14.4" x14ac:dyDescent="0.3"/>
    <row r="2151" ht="14.4" x14ac:dyDescent="0.3"/>
    <row r="2152" ht="14.4" x14ac:dyDescent="0.3"/>
    <row r="2153" ht="14.4" x14ac:dyDescent="0.3"/>
    <row r="2154" ht="14.4" x14ac:dyDescent="0.3"/>
    <row r="2155" ht="14.4" x14ac:dyDescent="0.3"/>
    <row r="2156" ht="14.4" x14ac:dyDescent="0.3"/>
    <row r="2157" ht="14.4" x14ac:dyDescent="0.3"/>
    <row r="2158" ht="14.4" x14ac:dyDescent="0.3"/>
    <row r="2159" ht="14.4" x14ac:dyDescent="0.3"/>
    <row r="2160" ht="14.4" x14ac:dyDescent="0.3"/>
    <row r="2161" ht="14.4" x14ac:dyDescent="0.3"/>
    <row r="2162" ht="14.4" x14ac:dyDescent="0.3"/>
    <row r="2163" ht="14.4" x14ac:dyDescent="0.3"/>
    <row r="2164" ht="14.4" x14ac:dyDescent="0.3"/>
    <row r="2165" ht="14.4" x14ac:dyDescent="0.3"/>
    <row r="2166" ht="14.4" x14ac:dyDescent="0.3"/>
    <row r="2167" ht="14.4" x14ac:dyDescent="0.3"/>
    <row r="2168" ht="14.4" x14ac:dyDescent="0.3"/>
    <row r="2169" ht="14.4" x14ac:dyDescent="0.3"/>
    <row r="2170" ht="14.4" x14ac:dyDescent="0.3"/>
    <row r="2171" ht="14.4" x14ac:dyDescent="0.3"/>
    <row r="2172" ht="14.4" x14ac:dyDescent="0.3"/>
    <row r="2173" ht="14.4" x14ac:dyDescent="0.3"/>
    <row r="2174" ht="14.4" x14ac:dyDescent="0.3"/>
    <row r="2175" ht="14.4" x14ac:dyDescent="0.3"/>
    <row r="2176" ht="14.4" x14ac:dyDescent="0.3"/>
    <row r="2177" ht="14.4" x14ac:dyDescent="0.3"/>
    <row r="2178" ht="14.4" x14ac:dyDescent="0.3"/>
    <row r="2179" ht="14.4" x14ac:dyDescent="0.3"/>
    <row r="2180" ht="14.4" x14ac:dyDescent="0.3"/>
    <row r="2181" ht="14.4" x14ac:dyDescent="0.3"/>
    <row r="2182" ht="14.4" x14ac:dyDescent="0.3"/>
    <row r="2183" ht="14.4" x14ac:dyDescent="0.3"/>
    <row r="2184" ht="14.4" x14ac:dyDescent="0.3"/>
    <row r="2185" ht="14.4" x14ac:dyDescent="0.3"/>
    <row r="2186" ht="14.4" x14ac:dyDescent="0.3"/>
    <row r="2187" ht="14.4" x14ac:dyDescent="0.3"/>
    <row r="2188" ht="14.4" x14ac:dyDescent="0.3"/>
    <row r="2189" ht="14.4" x14ac:dyDescent="0.3"/>
    <row r="2190" ht="14.4" x14ac:dyDescent="0.3"/>
    <row r="2191" ht="14.4" x14ac:dyDescent="0.3"/>
    <row r="2192" ht="14.4" x14ac:dyDescent="0.3"/>
    <row r="2193" ht="14.4" x14ac:dyDescent="0.3"/>
    <row r="2194" ht="14.4" x14ac:dyDescent="0.3"/>
    <row r="2195" ht="14.4" x14ac:dyDescent="0.3"/>
    <row r="2196" ht="14.4" x14ac:dyDescent="0.3"/>
    <row r="2197" ht="14.4" x14ac:dyDescent="0.3"/>
    <row r="2198" ht="14.4" x14ac:dyDescent="0.3"/>
    <row r="2199" ht="14.4" x14ac:dyDescent="0.3"/>
    <row r="2200" ht="14.4" x14ac:dyDescent="0.3"/>
    <row r="2201" ht="14.4" x14ac:dyDescent="0.3"/>
    <row r="2202" ht="14.4" x14ac:dyDescent="0.3"/>
    <row r="2203" ht="14.4" x14ac:dyDescent="0.3"/>
    <row r="2204" ht="14.4" x14ac:dyDescent="0.3"/>
    <row r="2205" ht="14.4" x14ac:dyDescent="0.3"/>
    <row r="2206" ht="14.4" x14ac:dyDescent="0.3"/>
    <row r="2207" ht="14.4" x14ac:dyDescent="0.3"/>
    <row r="2208" ht="14.4" x14ac:dyDescent="0.3"/>
    <row r="2209" ht="14.4" x14ac:dyDescent="0.3"/>
    <row r="2210" ht="14.4" x14ac:dyDescent="0.3"/>
    <row r="2211" ht="14.4" x14ac:dyDescent="0.3"/>
    <row r="2212" ht="14.4" x14ac:dyDescent="0.3"/>
    <row r="2213" ht="14.4" x14ac:dyDescent="0.3"/>
    <row r="2214" ht="14.4" x14ac:dyDescent="0.3"/>
    <row r="2215" ht="14.4" x14ac:dyDescent="0.3"/>
    <row r="2216" ht="14.4" x14ac:dyDescent="0.3"/>
    <row r="2217" ht="14.4" x14ac:dyDescent="0.3"/>
    <row r="2218" ht="14.4" x14ac:dyDescent="0.3"/>
    <row r="2219" ht="14.4" x14ac:dyDescent="0.3"/>
    <row r="2220" ht="14.4" x14ac:dyDescent="0.3"/>
    <row r="2221" ht="14.4" x14ac:dyDescent="0.3"/>
    <row r="2222" ht="14.4" x14ac:dyDescent="0.3"/>
    <row r="2223" ht="14.4" x14ac:dyDescent="0.3"/>
    <row r="2224" ht="14.4" x14ac:dyDescent="0.3"/>
    <row r="2225" ht="14.4" x14ac:dyDescent="0.3"/>
    <row r="2226" ht="14.4" x14ac:dyDescent="0.3"/>
    <row r="2227" ht="14.4" x14ac:dyDescent="0.3"/>
    <row r="2228" ht="14.4" x14ac:dyDescent="0.3"/>
    <row r="2229" ht="14.4" x14ac:dyDescent="0.3"/>
    <row r="2230" ht="14.4" x14ac:dyDescent="0.3"/>
    <row r="2231" ht="14.4" x14ac:dyDescent="0.3"/>
    <row r="2232" ht="14.4" x14ac:dyDescent="0.3"/>
    <row r="2233" ht="14.4" x14ac:dyDescent="0.3"/>
    <row r="2234" ht="14.4" x14ac:dyDescent="0.3"/>
    <row r="2235" ht="14.4" x14ac:dyDescent="0.3"/>
    <row r="2236" ht="14.4" x14ac:dyDescent="0.3"/>
    <row r="2237" ht="14.4" x14ac:dyDescent="0.3"/>
    <row r="2238" ht="14.4" x14ac:dyDescent="0.3"/>
    <row r="2239" ht="14.4" x14ac:dyDescent="0.3"/>
    <row r="2240" ht="14.4" x14ac:dyDescent="0.3"/>
    <row r="2241" ht="14.4" x14ac:dyDescent="0.3"/>
    <row r="2242" ht="14.4" x14ac:dyDescent="0.3"/>
    <row r="2243" ht="14.4" x14ac:dyDescent="0.3"/>
    <row r="2244" ht="14.4" x14ac:dyDescent="0.3"/>
    <row r="2245" ht="14.4" x14ac:dyDescent="0.3"/>
    <row r="2246" ht="14.4" x14ac:dyDescent="0.3"/>
    <row r="2247" ht="14.4" x14ac:dyDescent="0.3"/>
    <row r="2248" ht="14.4" x14ac:dyDescent="0.3"/>
    <row r="2249" ht="14.4" x14ac:dyDescent="0.3"/>
    <row r="2250" ht="14.4" x14ac:dyDescent="0.3"/>
    <row r="2251" ht="14.4" x14ac:dyDescent="0.3"/>
    <row r="2252" ht="14.4" x14ac:dyDescent="0.3"/>
    <row r="2253" ht="14.4" x14ac:dyDescent="0.3"/>
    <row r="2254" ht="14.4" x14ac:dyDescent="0.3"/>
    <row r="2255" ht="14.4" x14ac:dyDescent="0.3"/>
    <row r="2256" ht="14.4" x14ac:dyDescent="0.3"/>
    <row r="2257" ht="14.4" x14ac:dyDescent="0.3"/>
    <row r="2258" ht="14.4" x14ac:dyDescent="0.3"/>
    <row r="2259" ht="14.4" x14ac:dyDescent="0.3"/>
    <row r="2260" ht="14.4" x14ac:dyDescent="0.3"/>
    <row r="2261" ht="14.4" x14ac:dyDescent="0.3"/>
    <row r="2262" ht="14.4" x14ac:dyDescent="0.3"/>
    <row r="2263" ht="14.4" x14ac:dyDescent="0.3"/>
    <row r="2264" ht="14.4" x14ac:dyDescent="0.3"/>
    <row r="2265" ht="14.4" x14ac:dyDescent="0.3"/>
    <row r="2266" ht="14.4" x14ac:dyDescent="0.3"/>
    <row r="2267" ht="14.4" x14ac:dyDescent="0.3"/>
    <row r="2268" ht="14.4" x14ac:dyDescent="0.3"/>
    <row r="2269" ht="14.4" x14ac:dyDescent="0.3"/>
    <row r="2270" ht="14.4" x14ac:dyDescent="0.3"/>
    <row r="2271" ht="14.4" x14ac:dyDescent="0.3"/>
    <row r="2272" ht="14.4" x14ac:dyDescent="0.3"/>
    <row r="2273" ht="14.4" x14ac:dyDescent="0.3"/>
    <row r="2274" ht="14.4" x14ac:dyDescent="0.3"/>
    <row r="2275" ht="14.4" x14ac:dyDescent="0.3"/>
    <row r="2276" ht="14.4" x14ac:dyDescent="0.3"/>
    <row r="2277" ht="14.4" x14ac:dyDescent="0.3"/>
    <row r="2278" ht="14.4" x14ac:dyDescent="0.3"/>
    <row r="2279" ht="14.4" x14ac:dyDescent="0.3"/>
    <row r="2280" ht="14.4" x14ac:dyDescent="0.3"/>
    <row r="2281" ht="14.4" x14ac:dyDescent="0.3"/>
    <row r="2282" ht="14.4" x14ac:dyDescent="0.3"/>
    <row r="2283" ht="14.4" x14ac:dyDescent="0.3"/>
    <row r="2284" ht="14.4" x14ac:dyDescent="0.3"/>
    <row r="2285" ht="14.4" x14ac:dyDescent="0.3"/>
    <row r="2286" ht="14.4" x14ac:dyDescent="0.3"/>
    <row r="2287" ht="14.4" x14ac:dyDescent="0.3"/>
    <row r="2288" ht="14.4" x14ac:dyDescent="0.3"/>
    <row r="2289" ht="14.4" x14ac:dyDescent="0.3"/>
    <row r="2290" ht="14.4" x14ac:dyDescent="0.3"/>
    <row r="2291" ht="14.4" x14ac:dyDescent="0.3"/>
    <row r="2292" ht="14.4" x14ac:dyDescent="0.3"/>
    <row r="2293" ht="14.4" x14ac:dyDescent="0.3"/>
    <row r="2294" ht="14.4" x14ac:dyDescent="0.3"/>
    <row r="2295" ht="14.4" x14ac:dyDescent="0.3"/>
    <row r="2296" ht="14.4" x14ac:dyDescent="0.3"/>
    <row r="2297" ht="14.4" x14ac:dyDescent="0.3"/>
    <row r="2298" ht="14.4" x14ac:dyDescent="0.3"/>
    <row r="2299" ht="14.4" x14ac:dyDescent="0.3"/>
    <row r="2300" ht="14.4" x14ac:dyDescent="0.3"/>
    <row r="2301" ht="14.4" x14ac:dyDescent="0.3"/>
    <row r="2302" ht="14.4" x14ac:dyDescent="0.3"/>
    <row r="2303" ht="14.4" x14ac:dyDescent="0.3"/>
    <row r="2304" ht="14.4" x14ac:dyDescent="0.3"/>
    <row r="2305" ht="14.4" x14ac:dyDescent="0.3"/>
    <row r="2306" ht="14.4" x14ac:dyDescent="0.3"/>
    <row r="2307" ht="14.4" x14ac:dyDescent="0.3"/>
    <row r="2308" ht="14.4" x14ac:dyDescent="0.3"/>
    <row r="2309" ht="14.4" x14ac:dyDescent="0.3"/>
    <row r="2310" ht="14.4" x14ac:dyDescent="0.3"/>
    <row r="2311" ht="14.4" x14ac:dyDescent="0.3"/>
    <row r="2312" ht="14.4" x14ac:dyDescent="0.3"/>
    <row r="2313" ht="14.4" x14ac:dyDescent="0.3"/>
    <row r="2314" ht="14.4" x14ac:dyDescent="0.3"/>
    <row r="2315" ht="14.4" x14ac:dyDescent="0.3"/>
    <row r="2316" ht="14.4" x14ac:dyDescent="0.3"/>
    <row r="2317" ht="14.4" x14ac:dyDescent="0.3"/>
    <row r="2318" ht="14.4" x14ac:dyDescent="0.3"/>
    <row r="2319" ht="14.4" x14ac:dyDescent="0.3"/>
    <row r="2320" ht="14.4" x14ac:dyDescent="0.3"/>
    <row r="2321" ht="14.4" x14ac:dyDescent="0.3"/>
    <row r="2322" ht="14.4" x14ac:dyDescent="0.3"/>
    <row r="2323" ht="14.4" x14ac:dyDescent="0.3"/>
    <row r="2324" ht="14.4" x14ac:dyDescent="0.3"/>
    <row r="2325" ht="14.4" x14ac:dyDescent="0.3"/>
    <row r="2326" ht="14.4" x14ac:dyDescent="0.3"/>
    <row r="2327" ht="14.4" x14ac:dyDescent="0.3"/>
    <row r="2328" ht="14.4" x14ac:dyDescent="0.3"/>
    <row r="2329" ht="14.4" x14ac:dyDescent="0.3"/>
    <row r="2330" ht="14.4" x14ac:dyDescent="0.3"/>
    <row r="2331" ht="14.4" x14ac:dyDescent="0.3"/>
    <row r="2332" ht="14.4" x14ac:dyDescent="0.3"/>
    <row r="2333" ht="14.4" x14ac:dyDescent="0.3"/>
    <row r="2334" ht="14.4" x14ac:dyDescent="0.3"/>
    <row r="2335" ht="14.4" x14ac:dyDescent="0.3"/>
    <row r="2336" ht="14.4" x14ac:dyDescent="0.3"/>
    <row r="2337" ht="14.4" x14ac:dyDescent="0.3"/>
    <row r="2338" ht="14.4" x14ac:dyDescent="0.3"/>
    <row r="2339" ht="14.4" x14ac:dyDescent="0.3"/>
    <row r="2340" ht="14.4" x14ac:dyDescent="0.3"/>
    <row r="2341" ht="14.4" x14ac:dyDescent="0.3"/>
    <row r="2342" ht="14.4" x14ac:dyDescent="0.3"/>
    <row r="2343" ht="14.4" x14ac:dyDescent="0.3"/>
    <row r="2344" ht="14.4" x14ac:dyDescent="0.3"/>
    <row r="2345" ht="14.4" x14ac:dyDescent="0.3"/>
    <row r="2346" ht="14.4" x14ac:dyDescent="0.3"/>
    <row r="2347" ht="14.4" x14ac:dyDescent="0.3"/>
    <row r="2348" ht="14.4" x14ac:dyDescent="0.3"/>
    <row r="2349" ht="14.4" x14ac:dyDescent="0.3"/>
    <row r="2350" ht="14.4" x14ac:dyDescent="0.3"/>
    <row r="2351" ht="14.4" x14ac:dyDescent="0.3"/>
    <row r="2352" ht="14.4" x14ac:dyDescent="0.3"/>
    <row r="2353" ht="14.4" x14ac:dyDescent="0.3"/>
    <row r="2354" ht="14.4" x14ac:dyDescent="0.3"/>
    <row r="2355" ht="14.4" x14ac:dyDescent="0.3"/>
    <row r="2356" ht="14.4" x14ac:dyDescent="0.3"/>
    <row r="2357" ht="14.4" x14ac:dyDescent="0.3"/>
    <row r="2358" ht="14.4" x14ac:dyDescent="0.3"/>
    <row r="2359" ht="14.4" x14ac:dyDescent="0.3"/>
    <row r="2360" ht="14.4" x14ac:dyDescent="0.3"/>
    <row r="2361" ht="14.4" x14ac:dyDescent="0.3"/>
    <row r="2362" ht="14.4" x14ac:dyDescent="0.3"/>
    <row r="2363" ht="14.4" x14ac:dyDescent="0.3"/>
    <row r="2364" ht="14.4" x14ac:dyDescent="0.3"/>
    <row r="2365" ht="14.4" x14ac:dyDescent="0.3"/>
    <row r="2366" ht="14.4" x14ac:dyDescent="0.3"/>
    <row r="2367" ht="14.4" x14ac:dyDescent="0.3"/>
    <row r="2368" ht="14.4" x14ac:dyDescent="0.3"/>
    <row r="2369" ht="14.4" x14ac:dyDescent="0.3"/>
    <row r="2370" ht="14.4" x14ac:dyDescent="0.3"/>
    <row r="2371" ht="14.4" x14ac:dyDescent="0.3"/>
    <row r="2372" ht="14.4" x14ac:dyDescent="0.3"/>
    <row r="2373" ht="14.4" x14ac:dyDescent="0.3"/>
    <row r="2374" ht="14.4" x14ac:dyDescent="0.3"/>
    <row r="2375" ht="14.4" x14ac:dyDescent="0.3"/>
    <row r="2376" ht="14.4" x14ac:dyDescent="0.3"/>
    <row r="2377" ht="14.4" x14ac:dyDescent="0.3"/>
    <row r="2378" ht="14.4" x14ac:dyDescent="0.3"/>
    <row r="2379" ht="14.4" x14ac:dyDescent="0.3"/>
    <row r="2380" ht="14.4" x14ac:dyDescent="0.3"/>
    <row r="2381" ht="14.4" x14ac:dyDescent="0.3"/>
    <row r="2382" ht="14.4" x14ac:dyDescent="0.3"/>
    <row r="2383" ht="14.4" x14ac:dyDescent="0.3"/>
    <row r="2384" ht="14.4" x14ac:dyDescent="0.3"/>
    <row r="2385" ht="14.4" x14ac:dyDescent="0.3"/>
    <row r="2386" ht="14.4" x14ac:dyDescent="0.3"/>
    <row r="2387" ht="14.4" x14ac:dyDescent="0.3"/>
    <row r="2388" ht="14.4" x14ac:dyDescent="0.3"/>
    <row r="2389" ht="14.4" x14ac:dyDescent="0.3"/>
    <row r="2390" ht="14.4" x14ac:dyDescent="0.3"/>
    <row r="2391" ht="14.4" x14ac:dyDescent="0.3"/>
    <row r="2392" ht="14.4" x14ac:dyDescent="0.3"/>
    <row r="2393" ht="14.4" x14ac:dyDescent="0.3"/>
    <row r="2394" ht="14.4" x14ac:dyDescent="0.3"/>
    <row r="2395" ht="14.4" x14ac:dyDescent="0.3"/>
    <row r="2396" ht="14.4" x14ac:dyDescent="0.3"/>
    <row r="2397" ht="14.4" x14ac:dyDescent="0.3"/>
    <row r="2398" ht="14.4" x14ac:dyDescent="0.3"/>
    <row r="2399" ht="14.4" x14ac:dyDescent="0.3"/>
    <row r="2400" ht="14.4" x14ac:dyDescent="0.3"/>
    <row r="2401" ht="14.4" x14ac:dyDescent="0.3"/>
    <row r="2402" ht="14.4" x14ac:dyDescent="0.3"/>
    <row r="2403" ht="14.4" x14ac:dyDescent="0.3"/>
    <row r="2404" ht="14.4" x14ac:dyDescent="0.3"/>
    <row r="2405" ht="14.4" x14ac:dyDescent="0.3"/>
    <row r="2406" ht="14.4" x14ac:dyDescent="0.3"/>
    <row r="2407" ht="14.4" x14ac:dyDescent="0.3"/>
    <row r="2408" ht="14.4" x14ac:dyDescent="0.3"/>
    <row r="2409" ht="14.4" x14ac:dyDescent="0.3"/>
    <row r="2410" ht="14.4" x14ac:dyDescent="0.3"/>
    <row r="2411" ht="14.4" x14ac:dyDescent="0.3"/>
    <row r="2412" ht="14.4" x14ac:dyDescent="0.3"/>
    <row r="2413" ht="14.4" x14ac:dyDescent="0.3"/>
    <row r="2414" ht="14.4" x14ac:dyDescent="0.3"/>
    <row r="2415" ht="14.4" x14ac:dyDescent="0.3"/>
    <row r="2416" ht="14.4" x14ac:dyDescent="0.3"/>
    <row r="2417" ht="14.4" x14ac:dyDescent="0.3"/>
    <row r="2418" ht="14.4" x14ac:dyDescent="0.3"/>
    <row r="2419" ht="14.4" x14ac:dyDescent="0.3"/>
    <row r="2420" ht="14.4" x14ac:dyDescent="0.3"/>
    <row r="2421" ht="14.4" x14ac:dyDescent="0.3"/>
    <row r="2422" ht="14.4" x14ac:dyDescent="0.3"/>
    <row r="2423" ht="14.4" x14ac:dyDescent="0.3"/>
    <row r="2424" ht="14.4" x14ac:dyDescent="0.3"/>
    <row r="2425" ht="14.4" x14ac:dyDescent="0.3"/>
    <row r="2426" ht="14.4" x14ac:dyDescent="0.3"/>
    <row r="2427" ht="14.4" x14ac:dyDescent="0.3"/>
    <row r="2428" ht="14.4" x14ac:dyDescent="0.3"/>
    <row r="2429" ht="14.4" x14ac:dyDescent="0.3"/>
    <row r="2430" ht="14.4" x14ac:dyDescent="0.3"/>
    <row r="2431" ht="14.4" x14ac:dyDescent="0.3"/>
    <row r="2432" ht="14.4" x14ac:dyDescent="0.3"/>
    <row r="2433" ht="14.4" x14ac:dyDescent="0.3"/>
    <row r="2434" ht="14.4" x14ac:dyDescent="0.3"/>
    <row r="2435" ht="14.4" x14ac:dyDescent="0.3"/>
    <row r="2436" ht="14.4" x14ac:dyDescent="0.3"/>
    <row r="2437" ht="14.4" x14ac:dyDescent="0.3"/>
    <row r="2438" ht="14.4" x14ac:dyDescent="0.3"/>
    <row r="2439" ht="14.4" x14ac:dyDescent="0.3"/>
    <row r="2440" ht="14.4" x14ac:dyDescent="0.3"/>
    <row r="2441" ht="14.4" x14ac:dyDescent="0.3"/>
    <row r="2442" ht="14.4" x14ac:dyDescent="0.3"/>
    <row r="2443" ht="14.4" x14ac:dyDescent="0.3"/>
    <row r="2444" ht="14.4" x14ac:dyDescent="0.3"/>
    <row r="2445" ht="14.4" x14ac:dyDescent="0.3"/>
    <row r="2446" ht="14.4" x14ac:dyDescent="0.3"/>
    <row r="2447" ht="14.4" x14ac:dyDescent="0.3"/>
    <row r="2448" ht="14.4" x14ac:dyDescent="0.3"/>
    <row r="2449" ht="14.4" x14ac:dyDescent="0.3"/>
    <row r="2450" ht="14.4" x14ac:dyDescent="0.3"/>
    <row r="2451" ht="14.4" x14ac:dyDescent="0.3"/>
    <row r="2452" ht="14.4" x14ac:dyDescent="0.3"/>
    <row r="2453" ht="14.4" x14ac:dyDescent="0.3"/>
    <row r="2454" ht="14.4" x14ac:dyDescent="0.3"/>
    <row r="2455" ht="14.4" x14ac:dyDescent="0.3"/>
    <row r="2456" ht="14.4" x14ac:dyDescent="0.3"/>
    <row r="2457" ht="14.4" x14ac:dyDescent="0.3"/>
    <row r="2458" ht="14.4" x14ac:dyDescent="0.3"/>
    <row r="2459" ht="14.4" x14ac:dyDescent="0.3"/>
    <row r="2460" ht="14.4" x14ac:dyDescent="0.3"/>
    <row r="2461" ht="14.4" x14ac:dyDescent="0.3"/>
    <row r="2462" ht="14.4" x14ac:dyDescent="0.3"/>
    <row r="2463" ht="14.4" x14ac:dyDescent="0.3"/>
    <row r="2464" ht="14.4" x14ac:dyDescent="0.3"/>
    <row r="2465" ht="14.4" x14ac:dyDescent="0.3"/>
    <row r="2466" ht="14.4" x14ac:dyDescent="0.3"/>
    <row r="2467" ht="14.4" x14ac:dyDescent="0.3"/>
    <row r="2468" ht="14.4" x14ac:dyDescent="0.3"/>
    <row r="2469" ht="14.4" x14ac:dyDescent="0.3"/>
    <row r="2470" ht="14.4" x14ac:dyDescent="0.3"/>
    <row r="2471" ht="14.4" x14ac:dyDescent="0.3"/>
    <row r="2472" ht="14.4" x14ac:dyDescent="0.3"/>
    <row r="2473" ht="14.4" x14ac:dyDescent="0.3"/>
    <row r="2474" ht="14.4" x14ac:dyDescent="0.3"/>
    <row r="2475" ht="14.4" x14ac:dyDescent="0.3"/>
    <row r="2476" ht="14.4" x14ac:dyDescent="0.3"/>
    <row r="2477" ht="14.4" x14ac:dyDescent="0.3"/>
    <row r="2478" ht="14.4" x14ac:dyDescent="0.3"/>
    <row r="2479" ht="14.4" x14ac:dyDescent="0.3"/>
    <row r="2480" ht="14.4" x14ac:dyDescent="0.3"/>
    <row r="2481" ht="14.4" x14ac:dyDescent="0.3"/>
    <row r="2482" ht="14.4" x14ac:dyDescent="0.3"/>
    <row r="2483" ht="14.4" x14ac:dyDescent="0.3"/>
    <row r="2484" ht="14.4" x14ac:dyDescent="0.3"/>
    <row r="2485" ht="14.4" x14ac:dyDescent="0.3"/>
    <row r="2486" ht="14.4" x14ac:dyDescent="0.3"/>
    <row r="2487" ht="14.4" x14ac:dyDescent="0.3"/>
    <row r="2488" ht="14.4" x14ac:dyDescent="0.3"/>
    <row r="2489" ht="14.4" x14ac:dyDescent="0.3"/>
    <row r="2490" ht="14.4" x14ac:dyDescent="0.3"/>
    <row r="2491" ht="14.4" x14ac:dyDescent="0.3"/>
    <row r="2492" ht="14.4" x14ac:dyDescent="0.3"/>
    <row r="2493" ht="14.4" x14ac:dyDescent="0.3"/>
    <row r="2494" ht="14.4" x14ac:dyDescent="0.3"/>
    <row r="2495" ht="14.4" x14ac:dyDescent="0.3"/>
    <row r="2496" ht="14.4" x14ac:dyDescent="0.3"/>
    <row r="2497" ht="14.4" x14ac:dyDescent="0.3"/>
    <row r="2498" ht="14.4" x14ac:dyDescent="0.3"/>
    <row r="2499" ht="14.4" x14ac:dyDescent="0.3"/>
    <row r="2500" ht="14.4" x14ac:dyDescent="0.3"/>
    <row r="2501" ht="14.4" x14ac:dyDescent="0.3"/>
    <row r="2502" ht="14.4" x14ac:dyDescent="0.3"/>
    <row r="2503" ht="14.4" x14ac:dyDescent="0.3"/>
    <row r="2504" ht="14.4" x14ac:dyDescent="0.3"/>
    <row r="2505" ht="14.4" x14ac:dyDescent="0.3"/>
    <row r="2506" ht="14.4" x14ac:dyDescent="0.3"/>
    <row r="2507" ht="14.4" x14ac:dyDescent="0.3"/>
    <row r="2508" ht="14.4" x14ac:dyDescent="0.3"/>
    <row r="2509" ht="14.4" x14ac:dyDescent="0.3"/>
    <row r="2510" ht="14.4" x14ac:dyDescent="0.3"/>
    <row r="2511" ht="14.4" x14ac:dyDescent="0.3"/>
    <row r="2512" ht="14.4" x14ac:dyDescent="0.3"/>
    <row r="2513" ht="14.4" x14ac:dyDescent="0.3"/>
    <row r="2514" ht="14.4" x14ac:dyDescent="0.3"/>
    <row r="2515" ht="14.4" x14ac:dyDescent="0.3"/>
    <row r="2516" ht="14.4" x14ac:dyDescent="0.3"/>
    <row r="2517" ht="14.4" x14ac:dyDescent="0.3"/>
    <row r="2518" ht="14.4" x14ac:dyDescent="0.3"/>
    <row r="2519" ht="14.4" x14ac:dyDescent="0.3"/>
    <row r="2520" ht="14.4" x14ac:dyDescent="0.3"/>
    <row r="2521" ht="14.4" x14ac:dyDescent="0.3"/>
    <row r="2522" ht="14.4" x14ac:dyDescent="0.3"/>
    <row r="2523" ht="14.4" x14ac:dyDescent="0.3"/>
    <row r="2524" ht="14.4" x14ac:dyDescent="0.3"/>
    <row r="2525" ht="14.4" x14ac:dyDescent="0.3"/>
    <row r="2526" ht="14.4" x14ac:dyDescent="0.3"/>
    <row r="2527" ht="14.4" x14ac:dyDescent="0.3"/>
    <row r="2528" ht="14.4" x14ac:dyDescent="0.3"/>
    <row r="2529" ht="14.4" x14ac:dyDescent="0.3"/>
    <row r="2530" ht="14.4" x14ac:dyDescent="0.3"/>
    <row r="2531" ht="14.4" x14ac:dyDescent="0.3"/>
    <row r="2532" ht="14.4" x14ac:dyDescent="0.3"/>
    <row r="2533" ht="14.4" x14ac:dyDescent="0.3"/>
    <row r="2534" ht="14.4" x14ac:dyDescent="0.3"/>
    <row r="2535" ht="14.4" x14ac:dyDescent="0.3"/>
    <row r="2536" ht="14.4" x14ac:dyDescent="0.3"/>
    <row r="2537" ht="14.4" x14ac:dyDescent="0.3"/>
    <row r="2538" ht="14.4" x14ac:dyDescent="0.3"/>
    <row r="2539" ht="14.4" x14ac:dyDescent="0.3"/>
    <row r="2540" ht="14.4" x14ac:dyDescent="0.3"/>
    <row r="2541" ht="14.4" x14ac:dyDescent="0.3"/>
    <row r="2542" ht="14.4" x14ac:dyDescent="0.3"/>
    <row r="2543" ht="14.4" x14ac:dyDescent="0.3"/>
    <row r="2544" ht="14.4" x14ac:dyDescent="0.3"/>
    <row r="2545" ht="14.4" x14ac:dyDescent="0.3"/>
    <row r="2546" ht="14.4" x14ac:dyDescent="0.3"/>
    <row r="2547" ht="14.4" x14ac:dyDescent="0.3"/>
    <row r="2548" ht="14.4" x14ac:dyDescent="0.3"/>
    <row r="2549" ht="14.4" x14ac:dyDescent="0.3"/>
    <row r="2550" ht="14.4" x14ac:dyDescent="0.3"/>
    <row r="2551" ht="14.4" x14ac:dyDescent="0.3"/>
    <row r="2552" ht="14.4" x14ac:dyDescent="0.3"/>
    <row r="2553" ht="14.4" x14ac:dyDescent="0.3"/>
    <row r="2554" ht="14.4" x14ac:dyDescent="0.3"/>
    <row r="2555" ht="14.4" x14ac:dyDescent="0.3"/>
    <row r="2556" ht="14.4" x14ac:dyDescent="0.3"/>
    <row r="2557" ht="14.4" x14ac:dyDescent="0.3"/>
    <row r="2558" ht="14.4" x14ac:dyDescent="0.3"/>
    <row r="2559" ht="14.4" x14ac:dyDescent="0.3"/>
    <row r="2560" ht="14.4" x14ac:dyDescent="0.3"/>
    <row r="2561" ht="14.4" x14ac:dyDescent="0.3"/>
    <row r="2562" ht="14.4" x14ac:dyDescent="0.3"/>
    <row r="2563" ht="14.4" x14ac:dyDescent="0.3"/>
    <row r="2564" ht="14.4" x14ac:dyDescent="0.3"/>
    <row r="2565" ht="14.4" x14ac:dyDescent="0.3"/>
    <row r="2566" ht="14.4" x14ac:dyDescent="0.3"/>
    <row r="2567" ht="14.4" x14ac:dyDescent="0.3"/>
    <row r="2568" ht="14.4" x14ac:dyDescent="0.3"/>
    <row r="2569" ht="14.4" x14ac:dyDescent="0.3"/>
    <row r="2570" ht="14.4" x14ac:dyDescent="0.3"/>
    <row r="2571" ht="14.4" x14ac:dyDescent="0.3"/>
    <row r="2572" ht="14.4" x14ac:dyDescent="0.3"/>
    <row r="2573" ht="14.4" x14ac:dyDescent="0.3"/>
    <row r="2574" ht="14.4" x14ac:dyDescent="0.3"/>
    <row r="2575" ht="14.4" x14ac:dyDescent="0.3"/>
    <row r="2576" ht="14.4" x14ac:dyDescent="0.3"/>
    <row r="2577" ht="14.4" x14ac:dyDescent="0.3"/>
    <row r="2578" ht="14.4" x14ac:dyDescent="0.3"/>
    <row r="2579" ht="14.4" x14ac:dyDescent="0.3"/>
    <row r="2580" ht="14.4" x14ac:dyDescent="0.3"/>
    <row r="2581" ht="14.4" x14ac:dyDescent="0.3"/>
    <row r="2582" ht="14.4" x14ac:dyDescent="0.3"/>
    <row r="2583" ht="14.4" x14ac:dyDescent="0.3"/>
    <row r="2584" ht="14.4" x14ac:dyDescent="0.3"/>
    <row r="2585" ht="14.4" x14ac:dyDescent="0.3"/>
    <row r="2586" ht="14.4" x14ac:dyDescent="0.3"/>
    <row r="2587" ht="14.4" x14ac:dyDescent="0.3"/>
    <row r="2588" ht="14.4" x14ac:dyDescent="0.3"/>
    <row r="2589" ht="14.4" x14ac:dyDescent="0.3"/>
    <row r="2590" ht="14.4" x14ac:dyDescent="0.3"/>
    <row r="2591" ht="14.4" x14ac:dyDescent="0.3"/>
    <row r="2592" ht="14.4" x14ac:dyDescent="0.3"/>
    <row r="2593" ht="14.4" x14ac:dyDescent="0.3"/>
    <row r="2594" ht="14.4" x14ac:dyDescent="0.3"/>
    <row r="2595" ht="14.4" x14ac:dyDescent="0.3"/>
    <row r="2596" ht="14.4" x14ac:dyDescent="0.3"/>
    <row r="2597" ht="14.4" x14ac:dyDescent="0.3"/>
    <row r="2598" ht="14.4" x14ac:dyDescent="0.3"/>
    <row r="2599" ht="14.4" x14ac:dyDescent="0.3"/>
    <row r="2600" ht="14.4" x14ac:dyDescent="0.3"/>
    <row r="2601" ht="14.4" x14ac:dyDescent="0.3"/>
    <row r="2602" ht="14.4" x14ac:dyDescent="0.3"/>
    <row r="2603" ht="14.4" x14ac:dyDescent="0.3"/>
    <row r="2604" ht="14.4" x14ac:dyDescent="0.3"/>
    <row r="2605" ht="14.4" x14ac:dyDescent="0.3"/>
    <row r="2606" ht="14.4" x14ac:dyDescent="0.3"/>
    <row r="2607" ht="14.4" x14ac:dyDescent="0.3"/>
    <row r="2608" ht="14.4" x14ac:dyDescent="0.3"/>
    <row r="2609" ht="14.4" x14ac:dyDescent="0.3"/>
    <row r="2610" ht="14.4" x14ac:dyDescent="0.3"/>
    <row r="2611" ht="14.4" x14ac:dyDescent="0.3"/>
    <row r="2612" ht="14.4" x14ac:dyDescent="0.3"/>
    <row r="2613" ht="14.4" x14ac:dyDescent="0.3"/>
    <row r="2614" ht="14.4" x14ac:dyDescent="0.3"/>
    <row r="2615" ht="14.4" x14ac:dyDescent="0.3"/>
    <row r="2616" ht="14.4" x14ac:dyDescent="0.3"/>
    <row r="2617" ht="14.4" x14ac:dyDescent="0.3"/>
    <row r="2618" ht="14.4" x14ac:dyDescent="0.3"/>
    <row r="2619" ht="14.4" x14ac:dyDescent="0.3"/>
    <row r="2620" ht="14.4" x14ac:dyDescent="0.3"/>
    <row r="2621" ht="14.4" x14ac:dyDescent="0.3"/>
    <row r="2622" ht="14.4" x14ac:dyDescent="0.3"/>
    <row r="2623" ht="14.4" x14ac:dyDescent="0.3"/>
    <row r="2624" ht="14.4" x14ac:dyDescent="0.3"/>
    <row r="2625" ht="14.4" x14ac:dyDescent="0.3"/>
    <row r="2626" ht="14.4" x14ac:dyDescent="0.3"/>
    <row r="2627" ht="14.4" x14ac:dyDescent="0.3"/>
    <row r="2628" ht="14.4" x14ac:dyDescent="0.3"/>
    <row r="2629" ht="14.4" x14ac:dyDescent="0.3"/>
    <row r="2630" ht="14.4" x14ac:dyDescent="0.3"/>
    <row r="2631" ht="14.4" x14ac:dyDescent="0.3"/>
    <row r="2632" ht="14.4" x14ac:dyDescent="0.3"/>
    <row r="2633" ht="14.4" x14ac:dyDescent="0.3"/>
    <row r="2634" ht="14.4" x14ac:dyDescent="0.3"/>
    <row r="2635" ht="14.4" x14ac:dyDescent="0.3"/>
    <row r="2636" ht="14.4" x14ac:dyDescent="0.3"/>
    <row r="2637" ht="14.4" x14ac:dyDescent="0.3"/>
    <row r="2638" ht="14.4" x14ac:dyDescent="0.3"/>
    <row r="2639" ht="14.4" x14ac:dyDescent="0.3"/>
    <row r="2640" ht="14.4" x14ac:dyDescent="0.3"/>
    <row r="2641" ht="14.4" x14ac:dyDescent="0.3"/>
    <row r="2642" ht="14.4" x14ac:dyDescent="0.3"/>
    <row r="2643" ht="14.4" x14ac:dyDescent="0.3"/>
    <row r="2644" ht="14.4" x14ac:dyDescent="0.3"/>
    <row r="2645" ht="14.4" x14ac:dyDescent="0.3"/>
    <row r="2646" ht="14.4" x14ac:dyDescent="0.3"/>
    <row r="2647" ht="14.4" x14ac:dyDescent="0.3"/>
    <row r="2648" ht="14.4" x14ac:dyDescent="0.3"/>
    <row r="2649" ht="14.4" x14ac:dyDescent="0.3"/>
    <row r="2650" ht="14.4" x14ac:dyDescent="0.3"/>
    <row r="2651" ht="14.4" x14ac:dyDescent="0.3"/>
    <row r="2652" ht="14.4" x14ac:dyDescent="0.3"/>
    <row r="2653" ht="14.4" x14ac:dyDescent="0.3"/>
    <row r="2654" ht="14.4" x14ac:dyDescent="0.3"/>
    <row r="2655" ht="14.4" x14ac:dyDescent="0.3"/>
    <row r="2656" ht="14.4" x14ac:dyDescent="0.3"/>
    <row r="2657" ht="14.4" x14ac:dyDescent="0.3"/>
    <row r="2658" ht="14.4" x14ac:dyDescent="0.3"/>
    <row r="2659" ht="14.4" x14ac:dyDescent="0.3"/>
    <row r="2660" ht="14.4" x14ac:dyDescent="0.3"/>
    <row r="2661" ht="14.4" x14ac:dyDescent="0.3"/>
    <row r="2662" ht="14.4" x14ac:dyDescent="0.3"/>
    <row r="2663" ht="14.4" x14ac:dyDescent="0.3"/>
    <row r="2664" ht="14.4" x14ac:dyDescent="0.3"/>
    <row r="2665" ht="14.4" x14ac:dyDescent="0.3"/>
    <row r="2666" ht="14.4" x14ac:dyDescent="0.3"/>
    <row r="2667" ht="14.4" x14ac:dyDescent="0.3"/>
    <row r="2668" ht="14.4" x14ac:dyDescent="0.3"/>
    <row r="2669" ht="14.4" x14ac:dyDescent="0.3"/>
    <row r="2670" ht="14.4" x14ac:dyDescent="0.3"/>
    <row r="2671" ht="14.4" x14ac:dyDescent="0.3"/>
    <row r="2672" ht="14.4" x14ac:dyDescent="0.3"/>
    <row r="2673" ht="14.4" x14ac:dyDescent="0.3"/>
    <row r="2674" ht="14.4" x14ac:dyDescent="0.3"/>
    <row r="2675" ht="14.4" x14ac:dyDescent="0.3"/>
    <row r="2676" ht="14.4" x14ac:dyDescent="0.3"/>
    <row r="2677" ht="14.4" x14ac:dyDescent="0.3"/>
    <row r="2678" ht="14.4" x14ac:dyDescent="0.3"/>
    <row r="2679" ht="14.4" x14ac:dyDescent="0.3"/>
    <row r="2680" ht="14.4" x14ac:dyDescent="0.3"/>
    <row r="2681" ht="14.4" x14ac:dyDescent="0.3"/>
    <row r="2682" ht="14.4" x14ac:dyDescent="0.3"/>
    <row r="2683" ht="14.4" x14ac:dyDescent="0.3"/>
    <row r="2684" ht="14.4" x14ac:dyDescent="0.3"/>
    <row r="2685" ht="14.4" x14ac:dyDescent="0.3"/>
    <row r="2686" ht="14.4" x14ac:dyDescent="0.3"/>
    <row r="2687" ht="14.4" x14ac:dyDescent="0.3"/>
    <row r="2688" ht="14.4" x14ac:dyDescent="0.3"/>
    <row r="2689" ht="14.4" x14ac:dyDescent="0.3"/>
    <row r="2690" ht="14.4" x14ac:dyDescent="0.3"/>
    <row r="2691" ht="14.4" x14ac:dyDescent="0.3"/>
    <row r="2692" ht="14.4" x14ac:dyDescent="0.3"/>
    <row r="2693" ht="14.4" x14ac:dyDescent="0.3"/>
    <row r="2694" ht="14.4" x14ac:dyDescent="0.3"/>
    <row r="2695" ht="14.4" x14ac:dyDescent="0.3"/>
    <row r="2696" ht="14.4" x14ac:dyDescent="0.3"/>
    <row r="2697" ht="14.4" x14ac:dyDescent="0.3"/>
    <row r="2698" ht="14.4" x14ac:dyDescent="0.3"/>
    <row r="2699" ht="14.4" x14ac:dyDescent="0.3"/>
    <row r="2700" ht="14.4" x14ac:dyDescent="0.3"/>
    <row r="2701" ht="14.4" x14ac:dyDescent="0.3"/>
    <row r="2702" ht="14.4" x14ac:dyDescent="0.3"/>
    <row r="2703" ht="14.4" x14ac:dyDescent="0.3"/>
    <row r="2704" ht="14.4" x14ac:dyDescent="0.3"/>
    <row r="2705" ht="14.4" x14ac:dyDescent="0.3"/>
    <row r="2706" ht="14.4" x14ac:dyDescent="0.3"/>
    <row r="2707" ht="14.4" x14ac:dyDescent="0.3"/>
    <row r="2708" ht="14.4" x14ac:dyDescent="0.3"/>
    <row r="2709" ht="14.4" x14ac:dyDescent="0.3"/>
    <row r="2710" ht="14.4" x14ac:dyDescent="0.3"/>
    <row r="2711" ht="14.4" x14ac:dyDescent="0.3"/>
    <row r="2712" ht="14.4" x14ac:dyDescent="0.3"/>
    <row r="2713" ht="14.4" x14ac:dyDescent="0.3"/>
    <row r="2714" ht="14.4" x14ac:dyDescent="0.3"/>
    <row r="2715" ht="14.4" x14ac:dyDescent="0.3"/>
    <row r="2716" ht="14.4" x14ac:dyDescent="0.3"/>
    <row r="2717" ht="14.4" x14ac:dyDescent="0.3"/>
    <row r="2718" ht="14.4" x14ac:dyDescent="0.3"/>
    <row r="2719" ht="14.4" x14ac:dyDescent="0.3"/>
    <row r="2720" ht="14.4" x14ac:dyDescent="0.3"/>
    <row r="2721" ht="14.4" x14ac:dyDescent="0.3"/>
    <row r="2722" ht="14.4" x14ac:dyDescent="0.3"/>
    <row r="2723" ht="14.4" x14ac:dyDescent="0.3"/>
    <row r="2724" ht="14.4" x14ac:dyDescent="0.3"/>
    <row r="2725" ht="14.4" x14ac:dyDescent="0.3"/>
    <row r="2726" ht="14.4" x14ac:dyDescent="0.3"/>
    <row r="2727" ht="14.4" x14ac:dyDescent="0.3"/>
    <row r="2728" ht="14.4" x14ac:dyDescent="0.3"/>
    <row r="2729" ht="14.4" x14ac:dyDescent="0.3"/>
    <row r="2730" ht="14.4" x14ac:dyDescent="0.3"/>
    <row r="2731" ht="14.4" x14ac:dyDescent="0.3"/>
    <row r="2732" ht="14.4" x14ac:dyDescent="0.3"/>
    <row r="2733" ht="14.4" x14ac:dyDescent="0.3"/>
    <row r="2734" ht="14.4" x14ac:dyDescent="0.3"/>
    <row r="2735" ht="14.4" x14ac:dyDescent="0.3"/>
    <row r="2736" ht="14.4" x14ac:dyDescent="0.3"/>
    <row r="2737" ht="14.4" x14ac:dyDescent="0.3"/>
    <row r="2738" ht="14.4" x14ac:dyDescent="0.3"/>
    <row r="2739" ht="14.4" x14ac:dyDescent="0.3"/>
    <row r="2740" ht="14.4" x14ac:dyDescent="0.3"/>
    <row r="2741" ht="14.4" x14ac:dyDescent="0.3"/>
    <row r="2742" ht="14.4" x14ac:dyDescent="0.3"/>
    <row r="2743" ht="14.4" x14ac:dyDescent="0.3"/>
    <row r="2744" ht="14.4" x14ac:dyDescent="0.3"/>
    <row r="2745" ht="14.4" x14ac:dyDescent="0.3"/>
    <row r="2746" ht="14.4" x14ac:dyDescent="0.3"/>
    <row r="2747" ht="14.4" x14ac:dyDescent="0.3"/>
    <row r="2748" ht="14.4" x14ac:dyDescent="0.3"/>
    <row r="2749" ht="14.4" x14ac:dyDescent="0.3"/>
    <row r="2750" ht="14.4" x14ac:dyDescent="0.3"/>
    <row r="2751" ht="14.4" x14ac:dyDescent="0.3"/>
    <row r="2752" ht="14.4" x14ac:dyDescent="0.3"/>
    <row r="2753" ht="14.4" x14ac:dyDescent="0.3"/>
    <row r="2754" ht="14.4" x14ac:dyDescent="0.3"/>
    <row r="2755" ht="14.4" x14ac:dyDescent="0.3"/>
    <row r="2756" ht="14.4" x14ac:dyDescent="0.3"/>
    <row r="2757" ht="14.4" x14ac:dyDescent="0.3"/>
    <row r="2758" ht="14.4" x14ac:dyDescent="0.3"/>
    <row r="2759" ht="14.4" x14ac:dyDescent="0.3"/>
    <row r="2760" ht="14.4" x14ac:dyDescent="0.3"/>
    <row r="2761" ht="14.4" x14ac:dyDescent="0.3"/>
    <row r="2762" ht="14.4" x14ac:dyDescent="0.3"/>
    <row r="2763" ht="14.4" x14ac:dyDescent="0.3"/>
    <row r="2764" ht="14.4" x14ac:dyDescent="0.3"/>
    <row r="2765" ht="14.4" x14ac:dyDescent="0.3"/>
    <row r="2766" ht="14.4" x14ac:dyDescent="0.3"/>
    <row r="2767" ht="14.4" x14ac:dyDescent="0.3"/>
    <row r="2768" ht="14.4" x14ac:dyDescent="0.3"/>
    <row r="2769" ht="14.4" x14ac:dyDescent="0.3"/>
    <row r="2770" ht="14.4" x14ac:dyDescent="0.3"/>
    <row r="2771" ht="14.4" x14ac:dyDescent="0.3"/>
    <row r="2772" ht="14.4" x14ac:dyDescent="0.3"/>
    <row r="2773" ht="14.4" x14ac:dyDescent="0.3"/>
    <row r="2774" ht="14.4" x14ac:dyDescent="0.3"/>
    <row r="2775" ht="14.4" x14ac:dyDescent="0.3"/>
    <row r="2776" ht="14.4" x14ac:dyDescent="0.3"/>
    <row r="2777" ht="14.4" x14ac:dyDescent="0.3"/>
    <row r="2778" ht="14.4" x14ac:dyDescent="0.3"/>
    <row r="2779" ht="14.4" x14ac:dyDescent="0.3"/>
    <row r="2780" ht="14.4" x14ac:dyDescent="0.3"/>
    <row r="2781" ht="14.4" x14ac:dyDescent="0.3"/>
    <row r="2782" ht="14.4" x14ac:dyDescent="0.3"/>
    <row r="2783" ht="14.4" x14ac:dyDescent="0.3"/>
    <row r="2784" ht="14.4" x14ac:dyDescent="0.3"/>
    <row r="2785" ht="14.4" x14ac:dyDescent="0.3"/>
    <row r="2786" ht="14.4" x14ac:dyDescent="0.3"/>
    <row r="2787" ht="14.4" x14ac:dyDescent="0.3"/>
    <row r="2788" ht="14.4" x14ac:dyDescent="0.3"/>
    <row r="2789" ht="14.4" x14ac:dyDescent="0.3"/>
    <row r="2790" ht="14.4" x14ac:dyDescent="0.3"/>
    <row r="2791" ht="14.4" x14ac:dyDescent="0.3"/>
    <row r="2792" ht="14.4" x14ac:dyDescent="0.3"/>
    <row r="2793" ht="14.4" x14ac:dyDescent="0.3"/>
    <row r="2794" ht="14.4" x14ac:dyDescent="0.3"/>
    <row r="2795" ht="14.4" x14ac:dyDescent="0.3"/>
    <row r="2796" ht="14.4" x14ac:dyDescent="0.3"/>
    <row r="2797" ht="14.4" x14ac:dyDescent="0.3"/>
    <row r="2798" ht="14.4" x14ac:dyDescent="0.3"/>
    <row r="2799" ht="14.4" x14ac:dyDescent="0.3"/>
    <row r="2800" ht="14.4" x14ac:dyDescent="0.3"/>
    <row r="2801" ht="14.4" x14ac:dyDescent="0.3"/>
    <row r="2802" ht="14.4" x14ac:dyDescent="0.3"/>
    <row r="2803" ht="14.4" x14ac:dyDescent="0.3"/>
    <row r="2804" ht="14.4" x14ac:dyDescent="0.3"/>
    <row r="2805" ht="14.4" x14ac:dyDescent="0.3"/>
    <row r="2806" ht="14.4" x14ac:dyDescent="0.3"/>
    <row r="2807" ht="14.4" x14ac:dyDescent="0.3"/>
    <row r="2808" ht="14.4" x14ac:dyDescent="0.3"/>
    <row r="2809" ht="14.4" x14ac:dyDescent="0.3"/>
    <row r="2810" ht="14.4" x14ac:dyDescent="0.3"/>
    <row r="2811" ht="14.4" x14ac:dyDescent="0.3"/>
    <row r="2812" ht="14.4" x14ac:dyDescent="0.3"/>
    <row r="2813" ht="14.4" x14ac:dyDescent="0.3"/>
    <row r="2814" ht="14.4" x14ac:dyDescent="0.3"/>
    <row r="2815" ht="14.4" x14ac:dyDescent="0.3"/>
    <row r="2816" ht="14.4" x14ac:dyDescent="0.3"/>
    <row r="2817" ht="14.4" x14ac:dyDescent="0.3"/>
    <row r="2818" ht="14.4" x14ac:dyDescent="0.3"/>
    <row r="2819" ht="14.4" x14ac:dyDescent="0.3"/>
    <row r="2820" ht="14.4" x14ac:dyDescent="0.3"/>
    <row r="2821" ht="14.4" x14ac:dyDescent="0.3"/>
    <row r="2822" ht="14.4" x14ac:dyDescent="0.3"/>
    <row r="2823" ht="14.4" x14ac:dyDescent="0.3"/>
    <row r="2824" ht="14.4" x14ac:dyDescent="0.3"/>
    <row r="2825" ht="14.4" x14ac:dyDescent="0.3"/>
    <row r="2826" ht="14.4" x14ac:dyDescent="0.3"/>
    <row r="2827" ht="14.4" x14ac:dyDescent="0.3"/>
    <row r="2828" ht="14.4" x14ac:dyDescent="0.3"/>
    <row r="2829" ht="14.4" x14ac:dyDescent="0.3"/>
    <row r="2830" ht="14.4" x14ac:dyDescent="0.3"/>
    <row r="2831" ht="14.4" x14ac:dyDescent="0.3"/>
    <row r="2832" ht="14.4" x14ac:dyDescent="0.3"/>
    <row r="2833" ht="14.4" x14ac:dyDescent="0.3"/>
    <row r="2834" ht="14.4" x14ac:dyDescent="0.3"/>
    <row r="2835" ht="14.4" x14ac:dyDescent="0.3"/>
    <row r="2836" ht="14.4" x14ac:dyDescent="0.3"/>
    <row r="2837" ht="14.4" x14ac:dyDescent="0.3"/>
    <row r="2838" ht="14.4" x14ac:dyDescent="0.3"/>
    <row r="2839" ht="14.4" x14ac:dyDescent="0.3"/>
    <row r="2840" ht="14.4" x14ac:dyDescent="0.3"/>
    <row r="2841" ht="14.4" x14ac:dyDescent="0.3"/>
    <row r="2842" ht="14.4" x14ac:dyDescent="0.3"/>
    <row r="2843" ht="14.4" x14ac:dyDescent="0.3"/>
    <row r="2844" ht="14.4" x14ac:dyDescent="0.3"/>
    <row r="2845" ht="14.4" x14ac:dyDescent="0.3"/>
    <row r="2846" ht="14.4" x14ac:dyDescent="0.3"/>
    <row r="2847" ht="14.4" x14ac:dyDescent="0.3"/>
    <row r="2848" ht="14.4" x14ac:dyDescent="0.3"/>
    <row r="2849" ht="14.4" x14ac:dyDescent="0.3"/>
    <row r="2850" ht="14.4" x14ac:dyDescent="0.3"/>
    <row r="2851" ht="14.4" x14ac:dyDescent="0.3"/>
    <row r="2852" ht="14.4" x14ac:dyDescent="0.3"/>
    <row r="2853" ht="14.4" x14ac:dyDescent="0.3"/>
    <row r="2854" ht="14.4" x14ac:dyDescent="0.3"/>
    <row r="2855" ht="14.4" x14ac:dyDescent="0.3"/>
    <row r="2856" ht="14.4" x14ac:dyDescent="0.3"/>
    <row r="2857" ht="14.4" x14ac:dyDescent="0.3"/>
    <row r="2858" ht="14.4" x14ac:dyDescent="0.3"/>
    <row r="2859" ht="14.4" x14ac:dyDescent="0.3"/>
    <row r="2860" ht="14.4" x14ac:dyDescent="0.3"/>
    <row r="2861" ht="14.4" x14ac:dyDescent="0.3"/>
    <row r="2862" ht="14.4" x14ac:dyDescent="0.3"/>
    <row r="2863" ht="14.4" x14ac:dyDescent="0.3"/>
    <row r="2864" ht="14.4" x14ac:dyDescent="0.3"/>
    <row r="2865" ht="14.4" x14ac:dyDescent="0.3"/>
    <row r="2866" ht="14.4" x14ac:dyDescent="0.3"/>
    <row r="2867" ht="14.4" x14ac:dyDescent="0.3"/>
    <row r="2868" ht="14.4" x14ac:dyDescent="0.3"/>
    <row r="2869" ht="14.4" x14ac:dyDescent="0.3"/>
    <row r="2870" ht="14.4" x14ac:dyDescent="0.3"/>
    <row r="2871" ht="14.4" x14ac:dyDescent="0.3"/>
    <row r="2872" ht="14.4" x14ac:dyDescent="0.3"/>
    <row r="2873" ht="14.4" x14ac:dyDescent="0.3"/>
    <row r="2874" ht="14.4" x14ac:dyDescent="0.3"/>
    <row r="2875" ht="14.4" x14ac:dyDescent="0.3"/>
    <row r="2876" ht="14.4" x14ac:dyDescent="0.3"/>
    <row r="2877" ht="14.4" x14ac:dyDescent="0.3"/>
    <row r="2878" ht="14.4" x14ac:dyDescent="0.3"/>
    <row r="2879" ht="14.4" x14ac:dyDescent="0.3"/>
    <row r="2880" ht="14.4" x14ac:dyDescent="0.3"/>
    <row r="2881" ht="14.4" x14ac:dyDescent="0.3"/>
    <row r="2882" ht="14.4" x14ac:dyDescent="0.3"/>
    <row r="2883" ht="14.4" x14ac:dyDescent="0.3"/>
    <row r="2884" ht="14.4" x14ac:dyDescent="0.3"/>
    <row r="2885" ht="14.4" x14ac:dyDescent="0.3"/>
    <row r="2886" ht="14.4" x14ac:dyDescent="0.3"/>
    <row r="2887" ht="14.4" x14ac:dyDescent="0.3"/>
    <row r="2888" ht="14.4" x14ac:dyDescent="0.3"/>
    <row r="2889" ht="14.4" x14ac:dyDescent="0.3"/>
    <row r="2890" ht="14.4" x14ac:dyDescent="0.3"/>
    <row r="2891" ht="14.4" x14ac:dyDescent="0.3"/>
    <row r="2892" ht="14.4" x14ac:dyDescent="0.3"/>
    <row r="2893" ht="14.4" x14ac:dyDescent="0.3"/>
    <row r="2894" ht="14.4" x14ac:dyDescent="0.3"/>
    <row r="2895" ht="14.4" x14ac:dyDescent="0.3"/>
    <row r="2896" ht="14.4" x14ac:dyDescent="0.3"/>
    <row r="2897" ht="14.4" x14ac:dyDescent="0.3"/>
    <row r="2898" ht="14.4" x14ac:dyDescent="0.3"/>
    <row r="2899" ht="14.4" x14ac:dyDescent="0.3"/>
    <row r="2900" ht="14.4" x14ac:dyDescent="0.3"/>
    <row r="2901" ht="14.4" x14ac:dyDescent="0.3"/>
    <row r="2902" ht="14.4" x14ac:dyDescent="0.3"/>
    <row r="2903" ht="14.4" x14ac:dyDescent="0.3"/>
    <row r="2904" ht="14.4" x14ac:dyDescent="0.3"/>
    <row r="2905" ht="14.4" x14ac:dyDescent="0.3"/>
    <row r="2906" ht="14.4" x14ac:dyDescent="0.3"/>
    <row r="2907" ht="14.4" x14ac:dyDescent="0.3"/>
    <row r="2908" ht="14.4" x14ac:dyDescent="0.3"/>
    <row r="2909" ht="14.4" x14ac:dyDescent="0.3"/>
    <row r="2910" ht="14.4" x14ac:dyDescent="0.3"/>
    <row r="2911" ht="14.4" x14ac:dyDescent="0.3"/>
    <row r="2912" ht="14.4" x14ac:dyDescent="0.3"/>
    <row r="2913" ht="14.4" x14ac:dyDescent="0.3"/>
    <row r="2914" ht="14.4" x14ac:dyDescent="0.3"/>
    <row r="2915" ht="14.4" x14ac:dyDescent="0.3"/>
    <row r="2916" ht="14.4" x14ac:dyDescent="0.3"/>
    <row r="2917" ht="14.4" x14ac:dyDescent="0.3"/>
    <row r="2918" ht="14.4" x14ac:dyDescent="0.3"/>
    <row r="2919" ht="14.4" x14ac:dyDescent="0.3"/>
    <row r="2920" ht="14.4" x14ac:dyDescent="0.3"/>
    <row r="2921" ht="14.4" x14ac:dyDescent="0.3"/>
    <row r="2922" ht="14.4" x14ac:dyDescent="0.3"/>
    <row r="2923" ht="14.4" x14ac:dyDescent="0.3"/>
    <row r="2924" ht="14.4" x14ac:dyDescent="0.3"/>
    <row r="2925" ht="14.4" x14ac:dyDescent="0.3"/>
    <row r="2926" ht="14.4" x14ac:dyDescent="0.3"/>
    <row r="2927" ht="14.4" x14ac:dyDescent="0.3"/>
    <row r="2928" ht="14.4" x14ac:dyDescent="0.3"/>
    <row r="2929" ht="14.4" x14ac:dyDescent="0.3"/>
    <row r="2930" ht="14.4" x14ac:dyDescent="0.3"/>
    <row r="2931" ht="14.4" x14ac:dyDescent="0.3"/>
    <row r="2932" ht="14.4" x14ac:dyDescent="0.3"/>
    <row r="2933" ht="14.4" x14ac:dyDescent="0.3"/>
    <row r="2934" ht="14.4" x14ac:dyDescent="0.3"/>
    <row r="2935" ht="14.4" x14ac:dyDescent="0.3"/>
    <row r="2936" ht="14.4" x14ac:dyDescent="0.3"/>
    <row r="2937" ht="14.4" x14ac:dyDescent="0.3"/>
    <row r="2938" ht="14.4" x14ac:dyDescent="0.3"/>
    <row r="2939" ht="14.4" x14ac:dyDescent="0.3"/>
    <row r="2940" ht="14.4" x14ac:dyDescent="0.3"/>
    <row r="2941" ht="14.4" x14ac:dyDescent="0.3"/>
    <row r="2942" ht="14.4" x14ac:dyDescent="0.3"/>
    <row r="2943" ht="14.4" x14ac:dyDescent="0.3"/>
    <row r="2944" ht="14.4" x14ac:dyDescent="0.3"/>
    <row r="2945" ht="14.4" x14ac:dyDescent="0.3"/>
    <row r="2946" ht="14.4" x14ac:dyDescent="0.3"/>
    <row r="2947" ht="14.4" x14ac:dyDescent="0.3"/>
    <row r="2948" ht="14.4" x14ac:dyDescent="0.3"/>
    <row r="2949" ht="14.4" x14ac:dyDescent="0.3"/>
    <row r="2950" ht="14.4" x14ac:dyDescent="0.3"/>
    <row r="2951" ht="14.4" x14ac:dyDescent="0.3"/>
    <row r="2952" ht="14.4" x14ac:dyDescent="0.3"/>
    <row r="2953" ht="14.4" x14ac:dyDescent="0.3"/>
    <row r="2954" ht="14.4" x14ac:dyDescent="0.3"/>
    <row r="2955" ht="14.4" x14ac:dyDescent="0.3"/>
    <row r="2956" ht="14.4" x14ac:dyDescent="0.3"/>
    <row r="2957" ht="14.4" x14ac:dyDescent="0.3"/>
    <row r="2958" ht="14.4" x14ac:dyDescent="0.3"/>
    <row r="2959" ht="14.4" x14ac:dyDescent="0.3"/>
    <row r="2960" ht="14.4" x14ac:dyDescent="0.3"/>
    <row r="2961" ht="14.4" x14ac:dyDescent="0.3"/>
    <row r="2962" ht="14.4" x14ac:dyDescent="0.3"/>
    <row r="2963" ht="14.4" x14ac:dyDescent="0.3"/>
    <row r="2964" ht="14.4" x14ac:dyDescent="0.3"/>
    <row r="2965" ht="14.4" x14ac:dyDescent="0.3"/>
    <row r="2966" ht="14.4" x14ac:dyDescent="0.3"/>
    <row r="2967" ht="14.4" x14ac:dyDescent="0.3"/>
    <row r="2968" ht="14.4" x14ac:dyDescent="0.3"/>
    <row r="2969" ht="14.4" x14ac:dyDescent="0.3"/>
    <row r="2970" ht="14.4" x14ac:dyDescent="0.3"/>
    <row r="2971" ht="14.4" x14ac:dyDescent="0.3"/>
    <row r="2972" ht="14.4" x14ac:dyDescent="0.3"/>
    <row r="2973" ht="14.4" x14ac:dyDescent="0.3"/>
    <row r="2974" ht="14.4" x14ac:dyDescent="0.3"/>
    <row r="2975" ht="14.4" x14ac:dyDescent="0.3"/>
    <row r="2976" ht="14.4" x14ac:dyDescent="0.3"/>
    <row r="2977" ht="14.4" x14ac:dyDescent="0.3"/>
    <row r="2978" ht="14.4" x14ac:dyDescent="0.3"/>
    <row r="2979" ht="14.4" x14ac:dyDescent="0.3"/>
    <row r="2980" ht="14.4" x14ac:dyDescent="0.3"/>
    <row r="2981" ht="14.4" x14ac:dyDescent="0.3"/>
    <row r="2982" ht="14.4" x14ac:dyDescent="0.3"/>
    <row r="2983" ht="14.4" x14ac:dyDescent="0.3"/>
    <row r="2984" ht="14.4" x14ac:dyDescent="0.3"/>
    <row r="2985" ht="14.4" x14ac:dyDescent="0.3"/>
    <row r="2986" ht="14.4" x14ac:dyDescent="0.3"/>
    <row r="2987" ht="14.4" x14ac:dyDescent="0.3"/>
    <row r="2988" ht="14.4" x14ac:dyDescent="0.3"/>
    <row r="2989" ht="14.4" x14ac:dyDescent="0.3"/>
    <row r="2990" ht="14.4" x14ac:dyDescent="0.3"/>
    <row r="2991" ht="14.4" x14ac:dyDescent="0.3"/>
    <row r="2992" ht="14.4" x14ac:dyDescent="0.3"/>
    <row r="2993" ht="14.4" x14ac:dyDescent="0.3"/>
    <row r="2994" ht="14.4" x14ac:dyDescent="0.3"/>
    <row r="2995" ht="14.4" x14ac:dyDescent="0.3"/>
    <row r="2996" ht="14.4" x14ac:dyDescent="0.3"/>
    <row r="2997" ht="14.4" x14ac:dyDescent="0.3"/>
    <row r="2998" ht="14.4" x14ac:dyDescent="0.3"/>
    <row r="2999" ht="14.4" x14ac:dyDescent="0.3"/>
    <row r="3000" ht="14.4" x14ac:dyDescent="0.3"/>
    <row r="3001" ht="14.4" x14ac:dyDescent="0.3"/>
    <row r="3002" ht="14.4" x14ac:dyDescent="0.3"/>
    <row r="3003" ht="14.4" x14ac:dyDescent="0.3"/>
    <row r="3004" ht="14.4" x14ac:dyDescent="0.3"/>
    <row r="3005" ht="14.4" x14ac:dyDescent="0.3"/>
    <row r="3006" ht="14.4" x14ac:dyDescent="0.3"/>
    <row r="3007" ht="14.4" x14ac:dyDescent="0.3"/>
    <row r="3008" ht="14.4" x14ac:dyDescent="0.3"/>
    <row r="3009" ht="14.4" x14ac:dyDescent="0.3"/>
    <row r="3010" ht="14.4" x14ac:dyDescent="0.3"/>
    <row r="3011" ht="14.4" x14ac:dyDescent="0.3"/>
    <row r="3012" ht="14.4" x14ac:dyDescent="0.3"/>
    <row r="3013" ht="14.4" x14ac:dyDescent="0.3"/>
    <row r="3014" ht="14.4" x14ac:dyDescent="0.3"/>
    <row r="3015" ht="14.4" x14ac:dyDescent="0.3"/>
    <row r="3016" ht="14.4" x14ac:dyDescent="0.3"/>
    <row r="3017" ht="14.4" x14ac:dyDescent="0.3"/>
    <row r="3018" ht="14.4" x14ac:dyDescent="0.3"/>
    <row r="3019" ht="14.4" x14ac:dyDescent="0.3"/>
    <row r="3020" ht="14.4" x14ac:dyDescent="0.3"/>
    <row r="3021" ht="14.4" x14ac:dyDescent="0.3"/>
    <row r="3022" ht="14.4" x14ac:dyDescent="0.3"/>
    <row r="3023" ht="14.4" x14ac:dyDescent="0.3"/>
    <row r="3024" ht="14.4" x14ac:dyDescent="0.3"/>
    <row r="3025" ht="14.4" x14ac:dyDescent="0.3"/>
    <row r="3026" ht="14.4" x14ac:dyDescent="0.3"/>
    <row r="3027" ht="14.4" x14ac:dyDescent="0.3"/>
    <row r="3028" ht="14.4" x14ac:dyDescent="0.3"/>
    <row r="3029" ht="14.4" x14ac:dyDescent="0.3"/>
    <row r="3030" ht="14.4" x14ac:dyDescent="0.3"/>
    <row r="3031" ht="14.4" x14ac:dyDescent="0.3"/>
    <row r="3032" ht="14.4" x14ac:dyDescent="0.3"/>
    <row r="3033" ht="14.4" x14ac:dyDescent="0.3"/>
    <row r="3034" ht="14.4" x14ac:dyDescent="0.3"/>
    <row r="3035" ht="14.4" x14ac:dyDescent="0.3"/>
    <row r="3036" ht="14.4" x14ac:dyDescent="0.3"/>
    <row r="3037" ht="14.4" x14ac:dyDescent="0.3"/>
    <row r="3038" ht="14.4" x14ac:dyDescent="0.3"/>
    <row r="3039" ht="14.4" x14ac:dyDescent="0.3"/>
    <row r="3040" ht="14.4" x14ac:dyDescent="0.3"/>
    <row r="3041" ht="14.4" x14ac:dyDescent="0.3"/>
    <row r="3042" ht="14.4" x14ac:dyDescent="0.3"/>
    <row r="3043" ht="14.4" x14ac:dyDescent="0.3"/>
    <row r="3044" ht="14.4" x14ac:dyDescent="0.3"/>
    <row r="3045" ht="14.4" x14ac:dyDescent="0.3"/>
    <row r="3046" ht="14.4" x14ac:dyDescent="0.3"/>
    <row r="3047" ht="14.4" x14ac:dyDescent="0.3"/>
    <row r="3048" ht="14.4" x14ac:dyDescent="0.3"/>
    <row r="3049" ht="14.4" x14ac:dyDescent="0.3"/>
    <row r="3050" ht="14.4" x14ac:dyDescent="0.3"/>
    <row r="3051" ht="14.4" x14ac:dyDescent="0.3"/>
    <row r="3052" ht="14.4" x14ac:dyDescent="0.3"/>
    <row r="3053" ht="14.4" x14ac:dyDescent="0.3"/>
    <row r="3054" ht="14.4" x14ac:dyDescent="0.3"/>
    <row r="3055" ht="14.4" x14ac:dyDescent="0.3"/>
    <row r="3056" ht="14.4" x14ac:dyDescent="0.3"/>
    <row r="3057" ht="14.4" x14ac:dyDescent="0.3"/>
    <row r="3058" ht="14.4" x14ac:dyDescent="0.3"/>
    <row r="3059" ht="14.4" x14ac:dyDescent="0.3"/>
    <row r="3060" ht="14.4" x14ac:dyDescent="0.3"/>
    <row r="3061" ht="14.4" x14ac:dyDescent="0.3"/>
    <row r="3062" ht="14.4" x14ac:dyDescent="0.3"/>
    <row r="3063" ht="14.4" x14ac:dyDescent="0.3"/>
    <row r="3064" ht="14.4" x14ac:dyDescent="0.3"/>
    <row r="3065" ht="14.4" x14ac:dyDescent="0.3"/>
    <row r="3066" ht="14.4" x14ac:dyDescent="0.3"/>
    <row r="3067" ht="14.4" x14ac:dyDescent="0.3"/>
    <row r="3068" ht="14.4" x14ac:dyDescent="0.3"/>
    <row r="3069" ht="14.4" x14ac:dyDescent="0.3"/>
    <row r="3070" ht="14.4" x14ac:dyDescent="0.3"/>
    <row r="3071" ht="14.4" x14ac:dyDescent="0.3"/>
    <row r="3072" ht="14.4" x14ac:dyDescent="0.3"/>
    <row r="3073" ht="14.4" x14ac:dyDescent="0.3"/>
    <row r="3074" ht="14.4" x14ac:dyDescent="0.3"/>
    <row r="3075" ht="14.4" x14ac:dyDescent="0.3"/>
    <row r="3076" ht="14.4" x14ac:dyDescent="0.3"/>
    <row r="3077" ht="14.4" x14ac:dyDescent="0.3"/>
    <row r="3078" ht="14.4" x14ac:dyDescent="0.3"/>
    <row r="3079" ht="14.4" x14ac:dyDescent="0.3"/>
    <row r="3080" ht="14.4" x14ac:dyDescent="0.3"/>
    <row r="3081" ht="14.4" x14ac:dyDescent="0.3"/>
    <row r="3082" ht="14.4" x14ac:dyDescent="0.3"/>
    <row r="3083" ht="14.4" x14ac:dyDescent="0.3"/>
    <row r="3084" ht="14.4" x14ac:dyDescent="0.3"/>
    <row r="3085" ht="14.4" x14ac:dyDescent="0.3"/>
    <row r="3086" ht="14.4" x14ac:dyDescent="0.3"/>
    <row r="3087" ht="14.4" x14ac:dyDescent="0.3"/>
    <row r="3088" ht="14.4" x14ac:dyDescent="0.3"/>
    <row r="3089" ht="14.4" x14ac:dyDescent="0.3"/>
    <row r="3090" ht="14.4" x14ac:dyDescent="0.3"/>
    <row r="3091" ht="14.4" x14ac:dyDescent="0.3"/>
    <row r="3092" ht="14.4" x14ac:dyDescent="0.3"/>
    <row r="3093" ht="14.4" x14ac:dyDescent="0.3"/>
    <row r="3094" ht="14.4" x14ac:dyDescent="0.3"/>
    <row r="3095" ht="14.4" x14ac:dyDescent="0.3"/>
    <row r="3096" ht="14.4" x14ac:dyDescent="0.3"/>
    <row r="3097" ht="14.4" x14ac:dyDescent="0.3"/>
    <row r="3098" ht="14.4" x14ac:dyDescent="0.3"/>
    <row r="3099" ht="14.4" x14ac:dyDescent="0.3"/>
    <row r="3100" ht="14.4" x14ac:dyDescent="0.3"/>
    <row r="3101" ht="14.4" x14ac:dyDescent="0.3"/>
    <row r="3102" ht="14.4" x14ac:dyDescent="0.3"/>
    <row r="3103" ht="14.4" x14ac:dyDescent="0.3"/>
    <row r="3104" ht="14.4" x14ac:dyDescent="0.3"/>
    <row r="3105" ht="14.4" x14ac:dyDescent="0.3"/>
    <row r="3106" ht="14.4" x14ac:dyDescent="0.3"/>
    <row r="3107" ht="14.4" x14ac:dyDescent="0.3"/>
    <row r="3108" ht="14.4" x14ac:dyDescent="0.3"/>
    <row r="3109" ht="14.4" x14ac:dyDescent="0.3"/>
    <row r="3110" ht="14.4" x14ac:dyDescent="0.3"/>
    <row r="3111" ht="14.4" x14ac:dyDescent="0.3"/>
    <row r="3112" ht="14.4" x14ac:dyDescent="0.3"/>
    <row r="3113" ht="14.4" x14ac:dyDescent="0.3"/>
    <row r="3114" ht="14.4" x14ac:dyDescent="0.3"/>
    <row r="3115" ht="14.4" x14ac:dyDescent="0.3"/>
    <row r="3116" ht="14.4" x14ac:dyDescent="0.3"/>
    <row r="3117" ht="14.4" x14ac:dyDescent="0.3"/>
    <row r="3118" ht="14.4" x14ac:dyDescent="0.3"/>
    <row r="3119" ht="14.4" x14ac:dyDescent="0.3"/>
    <row r="3120" ht="14.4" x14ac:dyDescent="0.3"/>
    <row r="3121" ht="14.4" x14ac:dyDescent="0.3"/>
    <row r="3122" ht="14.4" x14ac:dyDescent="0.3"/>
    <row r="3123" ht="14.4" x14ac:dyDescent="0.3"/>
    <row r="3124" ht="14.4" x14ac:dyDescent="0.3"/>
    <row r="3125" ht="14.4" x14ac:dyDescent="0.3"/>
    <row r="3126" ht="14.4" x14ac:dyDescent="0.3"/>
    <row r="3127" ht="14.4" x14ac:dyDescent="0.3"/>
    <row r="3128" ht="14.4" x14ac:dyDescent="0.3"/>
    <row r="3129" ht="14.4" x14ac:dyDescent="0.3"/>
    <row r="3130" ht="14.4" x14ac:dyDescent="0.3"/>
    <row r="3131" ht="14.4" x14ac:dyDescent="0.3"/>
    <row r="3132" ht="14.4" x14ac:dyDescent="0.3"/>
    <row r="3133" ht="14.4" x14ac:dyDescent="0.3"/>
    <row r="3134" ht="14.4" x14ac:dyDescent="0.3"/>
    <row r="3135" ht="14.4" x14ac:dyDescent="0.3"/>
    <row r="3136" ht="14.4" x14ac:dyDescent="0.3"/>
    <row r="3137" ht="14.4" x14ac:dyDescent="0.3"/>
    <row r="3138" ht="14.4" x14ac:dyDescent="0.3"/>
    <row r="3139" ht="14.4" x14ac:dyDescent="0.3"/>
    <row r="3140" ht="14.4" x14ac:dyDescent="0.3"/>
    <row r="3141" ht="14.4" x14ac:dyDescent="0.3"/>
    <row r="3142" ht="14.4" x14ac:dyDescent="0.3"/>
    <row r="3143" ht="14.4" x14ac:dyDescent="0.3"/>
    <row r="3144" ht="14.4" x14ac:dyDescent="0.3"/>
    <row r="3145" ht="14.4" x14ac:dyDescent="0.3"/>
    <row r="3146" ht="14.4" x14ac:dyDescent="0.3"/>
    <row r="3147" ht="14.4" x14ac:dyDescent="0.3"/>
    <row r="3148" ht="14.4" x14ac:dyDescent="0.3"/>
    <row r="3149" ht="14.4" x14ac:dyDescent="0.3"/>
    <row r="3150" ht="14.4" x14ac:dyDescent="0.3"/>
    <row r="3151" ht="14.4" x14ac:dyDescent="0.3"/>
    <row r="3152" ht="14.4" x14ac:dyDescent="0.3"/>
    <row r="3153" ht="14.4" x14ac:dyDescent="0.3"/>
    <row r="3154" ht="14.4" x14ac:dyDescent="0.3"/>
    <row r="3155" ht="14.4" x14ac:dyDescent="0.3"/>
    <row r="3156" ht="14.4" x14ac:dyDescent="0.3"/>
    <row r="3157" ht="14.4" x14ac:dyDescent="0.3"/>
    <row r="3158" ht="14.4" x14ac:dyDescent="0.3"/>
    <row r="3159" ht="14.4" x14ac:dyDescent="0.3"/>
    <row r="3160" ht="14.4" x14ac:dyDescent="0.3"/>
    <row r="3161" ht="14.4" x14ac:dyDescent="0.3"/>
    <row r="3162" ht="14.4" x14ac:dyDescent="0.3"/>
    <row r="3163" ht="14.4" x14ac:dyDescent="0.3"/>
    <row r="3164" ht="14.4" x14ac:dyDescent="0.3"/>
    <row r="3165" ht="14.4" x14ac:dyDescent="0.3"/>
    <row r="3166" ht="14.4" x14ac:dyDescent="0.3"/>
    <row r="3167" ht="14.4" x14ac:dyDescent="0.3"/>
    <row r="3168" ht="14.4" x14ac:dyDescent="0.3"/>
    <row r="3169" ht="14.4" x14ac:dyDescent="0.3"/>
    <row r="3170" ht="14.4" x14ac:dyDescent="0.3"/>
    <row r="3171" ht="14.4" x14ac:dyDescent="0.3"/>
    <row r="3172" ht="14.4" x14ac:dyDescent="0.3"/>
    <row r="3173" ht="14.4" x14ac:dyDescent="0.3"/>
    <row r="3174" ht="14.4" x14ac:dyDescent="0.3"/>
    <row r="3175" ht="14.4" x14ac:dyDescent="0.3"/>
    <row r="3176" ht="14.4" x14ac:dyDescent="0.3"/>
    <row r="3177" ht="14.4" x14ac:dyDescent="0.3"/>
    <row r="3178" ht="14.4" x14ac:dyDescent="0.3"/>
    <row r="3179" ht="14.4" x14ac:dyDescent="0.3"/>
    <row r="3180" ht="14.4" x14ac:dyDescent="0.3"/>
    <row r="3181" ht="14.4" x14ac:dyDescent="0.3"/>
    <row r="3182" ht="14.4" x14ac:dyDescent="0.3"/>
    <row r="3183" ht="14.4" x14ac:dyDescent="0.3"/>
    <row r="3184" ht="14.4" x14ac:dyDescent="0.3"/>
    <row r="3185" ht="14.4" x14ac:dyDescent="0.3"/>
    <row r="3186" ht="14.4" x14ac:dyDescent="0.3"/>
    <row r="3187" ht="14.4" x14ac:dyDescent="0.3"/>
    <row r="3188" ht="14.4" x14ac:dyDescent="0.3"/>
    <row r="3189" ht="14.4" x14ac:dyDescent="0.3"/>
    <row r="3190" ht="14.4" x14ac:dyDescent="0.3"/>
    <row r="3191" ht="14.4" x14ac:dyDescent="0.3"/>
    <row r="3192" ht="14.4" x14ac:dyDescent="0.3"/>
    <row r="3193" ht="14.4" x14ac:dyDescent="0.3"/>
    <row r="3194" ht="14.4" x14ac:dyDescent="0.3"/>
    <row r="3195" ht="14.4" x14ac:dyDescent="0.3"/>
    <row r="3196" ht="14.4" x14ac:dyDescent="0.3"/>
    <row r="3197" ht="14.4" x14ac:dyDescent="0.3"/>
    <row r="3198" ht="14.4" x14ac:dyDescent="0.3"/>
    <row r="3199" ht="14.4" x14ac:dyDescent="0.3"/>
    <row r="3200" ht="14.4" x14ac:dyDescent="0.3"/>
    <row r="3201" ht="14.4" x14ac:dyDescent="0.3"/>
    <row r="3202" ht="14.4" x14ac:dyDescent="0.3"/>
    <row r="3203" ht="14.4" x14ac:dyDescent="0.3"/>
    <row r="3204" ht="14.4" x14ac:dyDescent="0.3"/>
    <row r="3205" ht="14.4" x14ac:dyDescent="0.3"/>
    <row r="3206" ht="14.4" x14ac:dyDescent="0.3"/>
    <row r="3207" ht="14.4" x14ac:dyDescent="0.3"/>
    <row r="3208" ht="14.4" x14ac:dyDescent="0.3"/>
    <row r="3209" ht="14.4" x14ac:dyDescent="0.3"/>
    <row r="3210" ht="14.4" x14ac:dyDescent="0.3"/>
    <row r="3211" ht="14.4" x14ac:dyDescent="0.3"/>
    <row r="3212" ht="14.4" x14ac:dyDescent="0.3"/>
    <row r="3213" ht="14.4" x14ac:dyDescent="0.3"/>
    <row r="3214" ht="14.4" x14ac:dyDescent="0.3"/>
    <row r="3215" ht="14.4" x14ac:dyDescent="0.3"/>
    <row r="3216" ht="14.4" x14ac:dyDescent="0.3"/>
    <row r="3217" ht="14.4" x14ac:dyDescent="0.3"/>
    <row r="3218" ht="14.4" x14ac:dyDescent="0.3"/>
    <row r="3219" ht="14.4" x14ac:dyDescent="0.3"/>
    <row r="3220" ht="14.4" x14ac:dyDescent="0.3"/>
    <row r="3221" ht="14.4" x14ac:dyDescent="0.3"/>
    <row r="3222" ht="14.4" x14ac:dyDescent="0.3"/>
    <row r="3223" ht="14.4" x14ac:dyDescent="0.3"/>
    <row r="3224" ht="14.4" x14ac:dyDescent="0.3"/>
    <row r="3225" ht="14.4" x14ac:dyDescent="0.3"/>
    <row r="3226" ht="14.4" x14ac:dyDescent="0.3"/>
    <row r="3227" ht="14.4" x14ac:dyDescent="0.3"/>
    <row r="3228" ht="14.4" x14ac:dyDescent="0.3"/>
    <row r="3229" ht="14.4" x14ac:dyDescent="0.3"/>
    <row r="3230" ht="14.4" x14ac:dyDescent="0.3"/>
    <row r="3231" ht="14.4" x14ac:dyDescent="0.3"/>
    <row r="3232" ht="14.4" x14ac:dyDescent="0.3"/>
    <row r="3233" ht="14.4" x14ac:dyDescent="0.3"/>
    <row r="3234" ht="14.4" x14ac:dyDescent="0.3"/>
    <row r="3235" ht="14.4" x14ac:dyDescent="0.3"/>
    <row r="3236" ht="14.4" x14ac:dyDescent="0.3"/>
    <row r="3237" ht="14.4" x14ac:dyDescent="0.3"/>
    <row r="3238" ht="14.4" x14ac:dyDescent="0.3"/>
    <row r="3239" ht="14.4" x14ac:dyDescent="0.3"/>
    <row r="3240" ht="14.4" x14ac:dyDescent="0.3"/>
    <row r="3241" ht="14.4" x14ac:dyDescent="0.3"/>
    <row r="3242" ht="14.4" x14ac:dyDescent="0.3"/>
    <row r="3243" ht="14.4" x14ac:dyDescent="0.3"/>
    <row r="3244" ht="14.4" x14ac:dyDescent="0.3"/>
    <row r="3245" ht="14.4" x14ac:dyDescent="0.3"/>
    <row r="3246" ht="14.4" x14ac:dyDescent="0.3"/>
    <row r="3247" ht="14.4" x14ac:dyDescent="0.3"/>
    <row r="3248" ht="14.4" x14ac:dyDescent="0.3"/>
    <row r="3249" ht="14.4" x14ac:dyDescent="0.3"/>
    <row r="3250" ht="14.4" x14ac:dyDescent="0.3"/>
    <row r="3251" ht="14.4" x14ac:dyDescent="0.3"/>
    <row r="3252" ht="14.4" x14ac:dyDescent="0.3"/>
    <row r="3253" ht="14.4" x14ac:dyDescent="0.3"/>
    <row r="3254" ht="14.4" x14ac:dyDescent="0.3"/>
    <row r="3255" ht="14.4" x14ac:dyDescent="0.3"/>
    <row r="3256" ht="14.4" x14ac:dyDescent="0.3"/>
    <row r="3257" ht="14.4" x14ac:dyDescent="0.3"/>
    <row r="3258" ht="14.4" x14ac:dyDescent="0.3"/>
    <row r="3259" ht="14.4" x14ac:dyDescent="0.3"/>
    <row r="3260" ht="14.4" x14ac:dyDescent="0.3"/>
    <row r="3261" ht="14.4" x14ac:dyDescent="0.3"/>
    <row r="3262" ht="14.4" x14ac:dyDescent="0.3"/>
    <row r="3263" ht="14.4" x14ac:dyDescent="0.3"/>
    <row r="3264" ht="14.4" x14ac:dyDescent="0.3"/>
    <row r="3265" ht="14.4" x14ac:dyDescent="0.3"/>
    <row r="3266" ht="14.4" x14ac:dyDescent="0.3"/>
    <row r="3267" ht="14.4" x14ac:dyDescent="0.3"/>
    <row r="3268" ht="14.4" x14ac:dyDescent="0.3"/>
    <row r="3269" ht="14.4" x14ac:dyDescent="0.3"/>
    <row r="3270" ht="14.4" x14ac:dyDescent="0.3"/>
    <row r="3271" ht="14.4" x14ac:dyDescent="0.3"/>
    <row r="3272" ht="14.4" x14ac:dyDescent="0.3"/>
    <row r="3273" ht="14.4" x14ac:dyDescent="0.3"/>
    <row r="3274" ht="14.4" x14ac:dyDescent="0.3"/>
    <row r="3275" ht="14.4" x14ac:dyDescent="0.3"/>
    <row r="3276" ht="14.4" x14ac:dyDescent="0.3"/>
    <row r="3277" ht="14.4" x14ac:dyDescent="0.3"/>
    <row r="3278" ht="14.4" x14ac:dyDescent="0.3"/>
    <row r="3279" ht="14.4" x14ac:dyDescent="0.3"/>
    <row r="3280" ht="14.4" x14ac:dyDescent="0.3"/>
    <row r="3281" ht="14.4" x14ac:dyDescent="0.3"/>
    <row r="3282" ht="14.4" x14ac:dyDescent="0.3"/>
    <row r="3283" ht="14.4" x14ac:dyDescent="0.3"/>
    <row r="3284" ht="14.4" x14ac:dyDescent="0.3"/>
    <row r="3285" ht="14.4" x14ac:dyDescent="0.3"/>
    <row r="3286" ht="14.4" x14ac:dyDescent="0.3"/>
    <row r="3287" ht="14.4" x14ac:dyDescent="0.3"/>
    <row r="3288" ht="14.4" x14ac:dyDescent="0.3"/>
    <row r="3289" ht="14.4" x14ac:dyDescent="0.3"/>
    <row r="3290" ht="14.4" x14ac:dyDescent="0.3"/>
    <row r="3291" ht="14.4" x14ac:dyDescent="0.3"/>
    <row r="3292" ht="14.4" x14ac:dyDescent="0.3"/>
    <row r="3293" ht="14.4" x14ac:dyDescent="0.3"/>
    <row r="3294" ht="14.4" x14ac:dyDescent="0.3"/>
    <row r="3295" ht="14.4" x14ac:dyDescent="0.3"/>
    <row r="3296" ht="14.4" x14ac:dyDescent="0.3"/>
    <row r="3297" ht="14.4" x14ac:dyDescent="0.3"/>
    <row r="3298" ht="14.4" x14ac:dyDescent="0.3"/>
    <row r="3299" ht="14.4" x14ac:dyDescent="0.3"/>
    <row r="3300" ht="14.4" x14ac:dyDescent="0.3"/>
    <row r="3301" ht="14.4" x14ac:dyDescent="0.3"/>
    <row r="3302" ht="14.4" x14ac:dyDescent="0.3"/>
    <row r="3303" ht="14.4" x14ac:dyDescent="0.3"/>
    <row r="3304" ht="14.4" x14ac:dyDescent="0.3"/>
    <row r="3305" ht="14.4" x14ac:dyDescent="0.3"/>
    <row r="3306" ht="14.4" x14ac:dyDescent="0.3"/>
    <row r="3307" ht="14.4" x14ac:dyDescent="0.3"/>
    <row r="3308" ht="14.4" x14ac:dyDescent="0.3"/>
    <row r="3309" ht="14.4" x14ac:dyDescent="0.3"/>
    <row r="3310" ht="14.4" x14ac:dyDescent="0.3"/>
    <row r="3311" ht="14.4" x14ac:dyDescent="0.3"/>
    <row r="3312" ht="14.4" x14ac:dyDescent="0.3"/>
    <row r="3313" ht="14.4" x14ac:dyDescent="0.3"/>
    <row r="3314" ht="14.4" x14ac:dyDescent="0.3"/>
    <row r="3315" ht="14.4" x14ac:dyDescent="0.3"/>
    <row r="3316" ht="14.4" x14ac:dyDescent="0.3"/>
    <row r="3317" ht="14.4" x14ac:dyDescent="0.3"/>
    <row r="3318" ht="14.4" x14ac:dyDescent="0.3"/>
    <row r="3319" ht="14.4" x14ac:dyDescent="0.3"/>
    <row r="3320" ht="14.4" x14ac:dyDescent="0.3"/>
    <row r="3321" ht="14.4" x14ac:dyDescent="0.3"/>
    <row r="3322" ht="14.4" x14ac:dyDescent="0.3"/>
    <row r="3323" ht="14.4" x14ac:dyDescent="0.3"/>
    <row r="3324" ht="14.4" x14ac:dyDescent="0.3"/>
    <row r="3325" ht="14.4" x14ac:dyDescent="0.3"/>
    <row r="3326" ht="14.4" x14ac:dyDescent="0.3"/>
    <row r="3327" ht="14.4" x14ac:dyDescent="0.3"/>
    <row r="3328" ht="14.4" x14ac:dyDescent="0.3"/>
    <row r="3329" ht="14.4" x14ac:dyDescent="0.3"/>
    <row r="3330" ht="14.4" x14ac:dyDescent="0.3"/>
    <row r="3331" ht="14.4" x14ac:dyDescent="0.3"/>
    <row r="3332" ht="14.4" x14ac:dyDescent="0.3"/>
    <row r="3333" ht="14.4" x14ac:dyDescent="0.3"/>
    <row r="3334" ht="14.4" x14ac:dyDescent="0.3"/>
    <row r="3335" ht="14.4" x14ac:dyDescent="0.3"/>
    <row r="3336" ht="14.4" x14ac:dyDescent="0.3"/>
    <row r="3337" ht="14.4" x14ac:dyDescent="0.3"/>
    <row r="3338" ht="14.4" x14ac:dyDescent="0.3"/>
    <row r="3339" ht="14.4" x14ac:dyDescent="0.3"/>
    <row r="3340" ht="14.4" x14ac:dyDescent="0.3"/>
    <row r="3341" ht="14.4" x14ac:dyDescent="0.3"/>
    <row r="3342" ht="14.4" x14ac:dyDescent="0.3"/>
    <row r="3343" ht="14.4" x14ac:dyDescent="0.3"/>
    <row r="3344" ht="14.4" x14ac:dyDescent="0.3"/>
    <row r="3345" ht="14.4" x14ac:dyDescent="0.3"/>
    <row r="3346" ht="14.4" x14ac:dyDescent="0.3"/>
    <row r="3347" ht="14.4" x14ac:dyDescent="0.3"/>
    <row r="3348" ht="14.4" x14ac:dyDescent="0.3"/>
    <row r="3349" ht="14.4" x14ac:dyDescent="0.3"/>
    <row r="3350" ht="14.4" x14ac:dyDescent="0.3"/>
    <row r="3351" ht="14.4" x14ac:dyDescent="0.3"/>
    <row r="3352" ht="14.4" x14ac:dyDescent="0.3"/>
    <row r="3353" ht="14.4" x14ac:dyDescent="0.3"/>
    <row r="3354" ht="14.4" x14ac:dyDescent="0.3"/>
    <row r="3355" ht="14.4" x14ac:dyDescent="0.3"/>
    <row r="3356" ht="14.4" x14ac:dyDescent="0.3"/>
    <row r="3357" ht="14.4" x14ac:dyDescent="0.3"/>
    <row r="3358" ht="14.4" x14ac:dyDescent="0.3"/>
    <row r="3359" ht="14.4" x14ac:dyDescent="0.3"/>
    <row r="3360" ht="14.4" x14ac:dyDescent="0.3"/>
    <row r="3361" ht="14.4" x14ac:dyDescent="0.3"/>
    <row r="3362" ht="14.4" x14ac:dyDescent="0.3"/>
    <row r="3363" ht="14.4" x14ac:dyDescent="0.3"/>
    <row r="3364" ht="14.4" x14ac:dyDescent="0.3"/>
    <row r="3365" ht="14.4" x14ac:dyDescent="0.3"/>
    <row r="3366" ht="14.4" x14ac:dyDescent="0.3"/>
    <row r="3367" ht="14.4" x14ac:dyDescent="0.3"/>
    <row r="3368" ht="14.4" x14ac:dyDescent="0.3"/>
    <row r="3369" ht="14.4" x14ac:dyDescent="0.3"/>
    <row r="3370" ht="14.4" x14ac:dyDescent="0.3"/>
    <row r="3371" ht="14.4" x14ac:dyDescent="0.3"/>
    <row r="3372" ht="14.4" x14ac:dyDescent="0.3"/>
    <row r="3373" ht="14.4" x14ac:dyDescent="0.3"/>
    <row r="3374" ht="14.4" x14ac:dyDescent="0.3"/>
    <row r="3375" ht="14.4" x14ac:dyDescent="0.3"/>
    <row r="3376" ht="14.4" x14ac:dyDescent="0.3"/>
    <row r="3377" ht="14.4" x14ac:dyDescent="0.3"/>
    <row r="3378" ht="14.4" x14ac:dyDescent="0.3"/>
    <row r="3379" ht="14.4" x14ac:dyDescent="0.3"/>
    <row r="3380" ht="14.4" x14ac:dyDescent="0.3"/>
    <row r="3381" ht="14.4" x14ac:dyDescent="0.3"/>
    <row r="3382" ht="14.4" x14ac:dyDescent="0.3"/>
    <row r="3383" ht="14.4" x14ac:dyDescent="0.3"/>
    <row r="3384" ht="14.4" x14ac:dyDescent="0.3"/>
    <row r="3385" ht="14.4" x14ac:dyDescent="0.3"/>
    <row r="3386" ht="14.4" x14ac:dyDescent="0.3"/>
    <row r="3387" ht="14.4" x14ac:dyDescent="0.3"/>
    <row r="3388" ht="14.4" x14ac:dyDescent="0.3"/>
    <row r="3389" ht="14.4" x14ac:dyDescent="0.3"/>
    <row r="3390" ht="14.4" x14ac:dyDescent="0.3"/>
    <row r="3391" ht="14.4" x14ac:dyDescent="0.3"/>
    <row r="3392" ht="14.4" x14ac:dyDescent="0.3"/>
    <row r="3393" ht="14.4" x14ac:dyDescent="0.3"/>
    <row r="3394" ht="14.4" x14ac:dyDescent="0.3"/>
    <row r="3395" ht="14.4" x14ac:dyDescent="0.3"/>
    <row r="3396" ht="14.4" x14ac:dyDescent="0.3"/>
    <row r="3397" ht="14.4" x14ac:dyDescent="0.3"/>
    <row r="3398" ht="14.4" x14ac:dyDescent="0.3"/>
    <row r="3399" ht="14.4" x14ac:dyDescent="0.3"/>
    <row r="3400" ht="14.4" x14ac:dyDescent="0.3"/>
    <row r="3401" ht="14.4" x14ac:dyDescent="0.3"/>
    <row r="3402" ht="14.4" x14ac:dyDescent="0.3"/>
    <row r="3403" ht="14.4" x14ac:dyDescent="0.3"/>
    <row r="3404" ht="14.4" x14ac:dyDescent="0.3"/>
    <row r="3405" ht="14.4" x14ac:dyDescent="0.3"/>
    <row r="3406" ht="14.4" x14ac:dyDescent="0.3"/>
    <row r="3407" ht="14.4" x14ac:dyDescent="0.3"/>
    <row r="3408" ht="14.4" x14ac:dyDescent="0.3"/>
    <row r="3409" ht="14.4" x14ac:dyDescent="0.3"/>
    <row r="3410" ht="14.4" x14ac:dyDescent="0.3"/>
    <row r="3411" ht="14.4" x14ac:dyDescent="0.3"/>
    <row r="3412" ht="14.4" x14ac:dyDescent="0.3"/>
    <row r="3413" ht="14.4" x14ac:dyDescent="0.3"/>
    <row r="3414" ht="14.4" x14ac:dyDescent="0.3"/>
    <row r="3415" ht="14.4" x14ac:dyDescent="0.3"/>
    <row r="3416" ht="14.4" x14ac:dyDescent="0.3"/>
    <row r="3417" ht="14.4" x14ac:dyDescent="0.3"/>
    <row r="3418" ht="14.4" x14ac:dyDescent="0.3"/>
    <row r="3419" ht="14.4" x14ac:dyDescent="0.3"/>
    <row r="3420" ht="14.4" x14ac:dyDescent="0.3"/>
    <row r="3421" ht="14.4" x14ac:dyDescent="0.3"/>
    <row r="3422" ht="14.4" x14ac:dyDescent="0.3"/>
    <row r="3423" ht="14.4" x14ac:dyDescent="0.3"/>
    <row r="3424" ht="14.4" x14ac:dyDescent="0.3"/>
    <row r="3425" ht="14.4" x14ac:dyDescent="0.3"/>
    <row r="3426" ht="14.4" x14ac:dyDescent="0.3"/>
    <row r="3427" ht="14.4" x14ac:dyDescent="0.3"/>
    <row r="3428" ht="14.4" x14ac:dyDescent="0.3"/>
    <row r="3429" ht="14.4" x14ac:dyDescent="0.3"/>
    <row r="3430" ht="14.4" x14ac:dyDescent="0.3"/>
    <row r="3431" ht="14.4" x14ac:dyDescent="0.3"/>
    <row r="3432" ht="14.4" x14ac:dyDescent="0.3"/>
    <row r="3433" ht="14.4" x14ac:dyDescent="0.3"/>
    <row r="3434" ht="14.4" x14ac:dyDescent="0.3"/>
    <row r="3435" ht="14.4" x14ac:dyDescent="0.3"/>
    <row r="3436" ht="14.4" x14ac:dyDescent="0.3"/>
    <row r="3437" ht="14.4" x14ac:dyDescent="0.3"/>
    <row r="3438" ht="14.4" x14ac:dyDescent="0.3"/>
    <row r="3439" ht="14.4" x14ac:dyDescent="0.3"/>
    <row r="3440" ht="14.4" x14ac:dyDescent="0.3"/>
    <row r="3441" ht="14.4" x14ac:dyDescent="0.3"/>
    <row r="3442" ht="14.4" x14ac:dyDescent="0.3"/>
    <row r="3443" ht="14.4" x14ac:dyDescent="0.3"/>
    <row r="3444" ht="14.4" x14ac:dyDescent="0.3"/>
    <row r="3445" ht="14.4" x14ac:dyDescent="0.3"/>
    <row r="3446" ht="14.4" x14ac:dyDescent="0.3"/>
    <row r="3447" ht="14.4" x14ac:dyDescent="0.3"/>
    <row r="3448" ht="14.4" x14ac:dyDescent="0.3"/>
    <row r="3449" ht="14.4" x14ac:dyDescent="0.3"/>
    <row r="3450" ht="14.4" x14ac:dyDescent="0.3"/>
    <row r="3451" ht="14.4" x14ac:dyDescent="0.3"/>
    <row r="3452" ht="14.4" x14ac:dyDescent="0.3"/>
    <row r="3453" ht="14.4" x14ac:dyDescent="0.3"/>
    <row r="3454" ht="14.4" x14ac:dyDescent="0.3"/>
    <row r="3455" ht="14.4" x14ac:dyDescent="0.3"/>
    <row r="3456" ht="14.4" x14ac:dyDescent="0.3"/>
    <row r="3457" ht="14.4" x14ac:dyDescent="0.3"/>
    <row r="3458" ht="14.4" x14ac:dyDescent="0.3"/>
    <row r="3459" ht="14.4" x14ac:dyDescent="0.3"/>
    <row r="3460" ht="14.4" x14ac:dyDescent="0.3"/>
    <row r="3461" ht="14.4" x14ac:dyDescent="0.3"/>
    <row r="3462" ht="14.4" x14ac:dyDescent="0.3"/>
    <row r="3463" ht="14.4" x14ac:dyDescent="0.3"/>
    <row r="3464" ht="14.4" x14ac:dyDescent="0.3"/>
    <row r="3465" ht="14.4" x14ac:dyDescent="0.3"/>
    <row r="3466" ht="14.4" x14ac:dyDescent="0.3"/>
    <row r="3467" ht="14.4" x14ac:dyDescent="0.3"/>
    <row r="3468" ht="14.4" x14ac:dyDescent="0.3"/>
    <row r="3469" ht="14.4" x14ac:dyDescent="0.3"/>
    <row r="3470" ht="14.4" x14ac:dyDescent="0.3"/>
    <row r="3471" ht="14.4" x14ac:dyDescent="0.3"/>
    <row r="3472" ht="14.4" x14ac:dyDescent="0.3"/>
    <row r="3473" ht="14.4" x14ac:dyDescent="0.3"/>
    <row r="3474" ht="14.4" x14ac:dyDescent="0.3"/>
    <row r="3475" ht="14.4" x14ac:dyDescent="0.3"/>
    <row r="3476" ht="14.4" x14ac:dyDescent="0.3"/>
    <row r="3477" ht="14.4" x14ac:dyDescent="0.3"/>
    <row r="3478" ht="14.4" x14ac:dyDescent="0.3"/>
    <row r="3479" ht="14.4" x14ac:dyDescent="0.3"/>
    <row r="3480" ht="14.4" x14ac:dyDescent="0.3"/>
    <row r="3481" ht="14.4" x14ac:dyDescent="0.3"/>
    <row r="3482" ht="14.4" x14ac:dyDescent="0.3"/>
    <row r="3483" ht="14.4" x14ac:dyDescent="0.3"/>
    <row r="3484" ht="14.4" x14ac:dyDescent="0.3"/>
    <row r="3485" ht="14.4" x14ac:dyDescent="0.3"/>
    <row r="3486" ht="14.4" x14ac:dyDescent="0.3"/>
    <row r="3487" ht="14.4" x14ac:dyDescent="0.3"/>
    <row r="3488" ht="14.4" x14ac:dyDescent="0.3"/>
    <row r="3489" ht="14.4" x14ac:dyDescent="0.3"/>
    <row r="3490" ht="14.4" x14ac:dyDescent="0.3"/>
    <row r="3491" ht="14.4" x14ac:dyDescent="0.3"/>
    <row r="3492" ht="14.4" x14ac:dyDescent="0.3"/>
    <row r="3493" ht="14.4" x14ac:dyDescent="0.3"/>
    <row r="3494" ht="14.4" x14ac:dyDescent="0.3"/>
    <row r="3495" ht="14.4" x14ac:dyDescent="0.3"/>
    <row r="3496" ht="14.4" x14ac:dyDescent="0.3"/>
    <row r="3497" ht="14.4" x14ac:dyDescent="0.3"/>
    <row r="3498" ht="14.4" x14ac:dyDescent="0.3"/>
    <row r="3499" ht="14.4" x14ac:dyDescent="0.3"/>
    <row r="3500" ht="14.4" x14ac:dyDescent="0.3"/>
    <row r="3501" ht="14.4" x14ac:dyDescent="0.3"/>
    <row r="3502" ht="14.4" x14ac:dyDescent="0.3"/>
    <row r="3503" ht="14.4" x14ac:dyDescent="0.3"/>
    <row r="3504" ht="14.4" x14ac:dyDescent="0.3"/>
    <row r="3505" ht="14.4" x14ac:dyDescent="0.3"/>
    <row r="3506" ht="14.4" x14ac:dyDescent="0.3"/>
    <row r="3507" ht="14.4" x14ac:dyDescent="0.3"/>
    <row r="3508" ht="14.4" x14ac:dyDescent="0.3"/>
    <row r="3509" ht="14.4" x14ac:dyDescent="0.3"/>
    <row r="3510" ht="14.4" x14ac:dyDescent="0.3"/>
    <row r="3511" ht="14.4" x14ac:dyDescent="0.3"/>
    <row r="3512" ht="14.4" x14ac:dyDescent="0.3"/>
    <row r="3513" ht="14.4" x14ac:dyDescent="0.3"/>
    <row r="3514" ht="14.4" x14ac:dyDescent="0.3"/>
    <row r="3515" ht="14.4" x14ac:dyDescent="0.3"/>
    <row r="3516" ht="14.4" x14ac:dyDescent="0.3"/>
    <row r="3517" ht="14.4" x14ac:dyDescent="0.3"/>
    <row r="3518" ht="14.4" x14ac:dyDescent="0.3"/>
    <row r="3519" ht="14.4" x14ac:dyDescent="0.3"/>
    <row r="3520" ht="14.4" x14ac:dyDescent="0.3"/>
    <row r="3521" ht="14.4" x14ac:dyDescent="0.3"/>
    <row r="3522" ht="14.4" x14ac:dyDescent="0.3"/>
    <row r="3523" ht="14.4" x14ac:dyDescent="0.3"/>
    <row r="3524" ht="14.4" x14ac:dyDescent="0.3"/>
    <row r="3525" ht="14.4" x14ac:dyDescent="0.3"/>
    <row r="3526" ht="14.4" x14ac:dyDescent="0.3"/>
    <row r="3527" ht="14.4" x14ac:dyDescent="0.3"/>
    <row r="3528" ht="14.4" x14ac:dyDescent="0.3"/>
    <row r="3529" ht="14.4" x14ac:dyDescent="0.3"/>
    <row r="3530" ht="14.4" x14ac:dyDescent="0.3"/>
    <row r="3531" ht="14.4" x14ac:dyDescent="0.3"/>
    <row r="3532" ht="14.4" x14ac:dyDescent="0.3"/>
    <row r="3533" ht="14.4" x14ac:dyDescent="0.3"/>
    <row r="3534" ht="14.4" x14ac:dyDescent="0.3"/>
    <row r="3535" ht="14.4" x14ac:dyDescent="0.3"/>
    <row r="3536" ht="14.4" x14ac:dyDescent="0.3"/>
    <row r="3537" ht="14.4" x14ac:dyDescent="0.3"/>
    <row r="3538" ht="14.4" x14ac:dyDescent="0.3"/>
    <row r="3539" ht="14.4" x14ac:dyDescent="0.3"/>
    <row r="3540" ht="14.4" x14ac:dyDescent="0.3"/>
    <row r="3541" ht="14.4" x14ac:dyDescent="0.3"/>
    <row r="3542" ht="14.4" x14ac:dyDescent="0.3"/>
    <row r="3543" ht="14.4" x14ac:dyDescent="0.3"/>
    <row r="3544" ht="14.4" x14ac:dyDescent="0.3"/>
    <row r="3545" ht="14.4" x14ac:dyDescent="0.3"/>
    <row r="3546" ht="14.4" x14ac:dyDescent="0.3"/>
    <row r="3547" ht="14.4" x14ac:dyDescent="0.3"/>
    <row r="3548" ht="14.4" x14ac:dyDescent="0.3"/>
    <row r="3549" ht="14.4" x14ac:dyDescent="0.3"/>
    <row r="3550" ht="14.4" x14ac:dyDescent="0.3"/>
    <row r="3551" ht="14.4" x14ac:dyDescent="0.3"/>
    <row r="3552" ht="14.4" x14ac:dyDescent="0.3"/>
    <row r="3553" ht="14.4" x14ac:dyDescent="0.3"/>
    <row r="3554" ht="14.4" x14ac:dyDescent="0.3"/>
    <row r="3555" ht="14.4" x14ac:dyDescent="0.3"/>
    <row r="3556" ht="14.4" x14ac:dyDescent="0.3"/>
    <row r="3557" ht="14.4" x14ac:dyDescent="0.3"/>
    <row r="3558" ht="14.4" x14ac:dyDescent="0.3"/>
    <row r="3559" ht="14.4" x14ac:dyDescent="0.3"/>
    <row r="3560" ht="14.4" x14ac:dyDescent="0.3"/>
    <row r="3561" ht="14.4" x14ac:dyDescent="0.3"/>
    <row r="3562" ht="14.4" x14ac:dyDescent="0.3"/>
    <row r="3563" ht="14.4" x14ac:dyDescent="0.3"/>
    <row r="3564" ht="14.4" x14ac:dyDescent="0.3"/>
    <row r="3565" ht="14.4" x14ac:dyDescent="0.3"/>
    <row r="3566" ht="14.4" x14ac:dyDescent="0.3"/>
    <row r="3567" ht="14.4" x14ac:dyDescent="0.3"/>
    <row r="3568" ht="14.4" x14ac:dyDescent="0.3"/>
    <row r="3569" ht="14.4" x14ac:dyDescent="0.3"/>
    <row r="3570" ht="14.4" x14ac:dyDescent="0.3"/>
    <row r="3571" ht="14.4" x14ac:dyDescent="0.3"/>
    <row r="3572" ht="14.4" x14ac:dyDescent="0.3"/>
    <row r="3573" ht="14.4" x14ac:dyDescent="0.3"/>
    <row r="3574" ht="14.4" x14ac:dyDescent="0.3"/>
    <row r="3575" ht="14.4" x14ac:dyDescent="0.3"/>
    <row r="3576" ht="14.4" x14ac:dyDescent="0.3"/>
    <row r="3577" ht="14.4" x14ac:dyDescent="0.3"/>
    <row r="3578" ht="14.4" x14ac:dyDescent="0.3"/>
    <row r="3579" ht="14.4" x14ac:dyDescent="0.3"/>
    <row r="3580" ht="14.4" x14ac:dyDescent="0.3"/>
    <row r="3581" ht="14.4" x14ac:dyDescent="0.3"/>
    <row r="3582" ht="14.4" x14ac:dyDescent="0.3"/>
    <row r="3583" ht="14.4" x14ac:dyDescent="0.3"/>
    <row r="3584" ht="14.4" x14ac:dyDescent="0.3"/>
    <row r="3585" ht="14.4" x14ac:dyDescent="0.3"/>
    <row r="3586" ht="14.4" x14ac:dyDescent="0.3"/>
    <row r="3587" ht="14.4" x14ac:dyDescent="0.3"/>
    <row r="3588" ht="14.4" x14ac:dyDescent="0.3"/>
    <row r="3589" ht="14.4" x14ac:dyDescent="0.3"/>
    <row r="3590" ht="14.4" x14ac:dyDescent="0.3"/>
    <row r="3591" ht="14.4" x14ac:dyDescent="0.3"/>
    <row r="3592" ht="14.4" x14ac:dyDescent="0.3"/>
    <row r="3593" ht="14.4" x14ac:dyDescent="0.3"/>
    <row r="3594" ht="14.4" x14ac:dyDescent="0.3"/>
    <row r="3595" ht="14.4" x14ac:dyDescent="0.3"/>
    <row r="3596" ht="14.4" x14ac:dyDescent="0.3"/>
    <row r="3597" ht="14.4" x14ac:dyDescent="0.3"/>
    <row r="3598" ht="14.4" x14ac:dyDescent="0.3"/>
    <row r="3599" ht="14.4" x14ac:dyDescent="0.3"/>
    <row r="3600" ht="14.4" x14ac:dyDescent="0.3"/>
    <row r="3601" ht="14.4" x14ac:dyDescent="0.3"/>
    <row r="3602" ht="14.4" x14ac:dyDescent="0.3"/>
    <row r="3603" ht="14.4" x14ac:dyDescent="0.3"/>
    <row r="3604" ht="14.4" x14ac:dyDescent="0.3"/>
    <row r="3605" ht="14.4" x14ac:dyDescent="0.3"/>
    <row r="3606" ht="14.4" x14ac:dyDescent="0.3"/>
    <row r="3607" ht="14.4" x14ac:dyDescent="0.3"/>
    <row r="3608" ht="14.4" x14ac:dyDescent="0.3"/>
    <row r="3609" ht="14.4" x14ac:dyDescent="0.3"/>
    <row r="3610" ht="14.4" x14ac:dyDescent="0.3"/>
    <row r="3611" ht="14.4" x14ac:dyDescent="0.3"/>
    <row r="3612" ht="14.4" x14ac:dyDescent="0.3"/>
    <row r="3613" ht="14.4" x14ac:dyDescent="0.3"/>
    <row r="3614" ht="14.4" x14ac:dyDescent="0.3"/>
    <row r="3615" ht="14.4" x14ac:dyDescent="0.3"/>
    <row r="3616" ht="14.4" x14ac:dyDescent="0.3"/>
    <row r="3617" ht="14.4" x14ac:dyDescent="0.3"/>
    <row r="3618" ht="14.4" x14ac:dyDescent="0.3"/>
    <row r="3619" ht="14.4" x14ac:dyDescent="0.3"/>
    <row r="3620" ht="14.4" x14ac:dyDescent="0.3"/>
    <row r="3621" ht="14.4" x14ac:dyDescent="0.3"/>
    <row r="3622" ht="14.4" x14ac:dyDescent="0.3"/>
    <row r="3623" ht="14.4" x14ac:dyDescent="0.3"/>
    <row r="3624" ht="14.4" x14ac:dyDescent="0.3"/>
    <row r="3625" ht="14.4" x14ac:dyDescent="0.3"/>
    <row r="3626" ht="14.4" x14ac:dyDescent="0.3"/>
    <row r="3627" ht="14.4" x14ac:dyDescent="0.3"/>
    <row r="3628" ht="14.4" x14ac:dyDescent="0.3"/>
    <row r="3629" ht="14.4" x14ac:dyDescent="0.3"/>
    <row r="3630" ht="14.4" x14ac:dyDescent="0.3"/>
    <row r="3631" ht="14.4" x14ac:dyDescent="0.3"/>
    <row r="3632" ht="14.4" x14ac:dyDescent="0.3"/>
    <row r="3633" ht="14.4" x14ac:dyDescent="0.3"/>
    <row r="3634" ht="14.4" x14ac:dyDescent="0.3"/>
    <row r="3635" ht="14.4" x14ac:dyDescent="0.3"/>
    <row r="3636" ht="14.4" x14ac:dyDescent="0.3"/>
    <row r="3637" ht="14.4" x14ac:dyDescent="0.3"/>
    <row r="3638" ht="14.4" x14ac:dyDescent="0.3"/>
    <row r="3639" ht="14.4" x14ac:dyDescent="0.3"/>
    <row r="3640" ht="14.4" x14ac:dyDescent="0.3"/>
    <row r="3641" ht="14.4" x14ac:dyDescent="0.3"/>
    <row r="3642" ht="14.4" x14ac:dyDescent="0.3"/>
    <row r="3643" ht="14.4" x14ac:dyDescent="0.3"/>
    <row r="3644" ht="14.4" x14ac:dyDescent="0.3"/>
    <row r="3645" ht="14.4" x14ac:dyDescent="0.3"/>
    <row r="3646" ht="14.4" x14ac:dyDescent="0.3"/>
    <row r="3647" ht="14.4" x14ac:dyDescent="0.3"/>
    <row r="3648" ht="14.4" x14ac:dyDescent="0.3"/>
    <row r="3649" ht="14.4" x14ac:dyDescent="0.3"/>
    <row r="3650" ht="14.4" x14ac:dyDescent="0.3"/>
    <row r="3651" ht="14.4" x14ac:dyDescent="0.3"/>
    <row r="3652" ht="14.4" x14ac:dyDescent="0.3"/>
    <row r="3653" ht="14.4" x14ac:dyDescent="0.3"/>
    <row r="3654" ht="14.4" x14ac:dyDescent="0.3"/>
    <row r="3655" ht="14.4" x14ac:dyDescent="0.3"/>
    <row r="3656" ht="14.4" x14ac:dyDescent="0.3"/>
    <row r="3657" ht="14.4" x14ac:dyDescent="0.3"/>
    <row r="3658" ht="14.4" x14ac:dyDescent="0.3"/>
    <row r="3659" ht="14.4" x14ac:dyDescent="0.3"/>
    <row r="3660" ht="14.4" x14ac:dyDescent="0.3"/>
    <row r="3661" ht="14.4" x14ac:dyDescent="0.3"/>
    <row r="3662" ht="14.4" x14ac:dyDescent="0.3"/>
    <row r="3663" ht="14.4" x14ac:dyDescent="0.3"/>
    <row r="3664" ht="14.4" x14ac:dyDescent="0.3"/>
    <row r="3665" ht="14.4" x14ac:dyDescent="0.3"/>
    <row r="3666" ht="14.4" x14ac:dyDescent="0.3"/>
    <row r="3667" ht="14.4" x14ac:dyDescent="0.3"/>
    <row r="3668" ht="14.4" x14ac:dyDescent="0.3"/>
    <row r="3669" ht="14.4" x14ac:dyDescent="0.3"/>
    <row r="3670" ht="14.4" x14ac:dyDescent="0.3"/>
    <row r="3671" ht="14.4" x14ac:dyDescent="0.3"/>
    <row r="3672" ht="14.4" x14ac:dyDescent="0.3"/>
    <row r="3673" ht="14.4" x14ac:dyDescent="0.3"/>
    <row r="3674" ht="14.4" x14ac:dyDescent="0.3"/>
    <row r="3675" ht="14.4" x14ac:dyDescent="0.3"/>
    <row r="3676" ht="14.4" x14ac:dyDescent="0.3"/>
    <row r="3677" ht="14.4" x14ac:dyDescent="0.3"/>
    <row r="3678" ht="14.4" x14ac:dyDescent="0.3"/>
    <row r="3679" ht="14.4" x14ac:dyDescent="0.3"/>
    <row r="3680" ht="14.4" x14ac:dyDescent="0.3"/>
    <row r="3681" ht="14.4" x14ac:dyDescent="0.3"/>
    <row r="3682" ht="14.4" x14ac:dyDescent="0.3"/>
    <row r="3683" ht="14.4" x14ac:dyDescent="0.3"/>
    <row r="3684" ht="14.4" x14ac:dyDescent="0.3"/>
    <row r="3685" ht="14.4" x14ac:dyDescent="0.3"/>
    <row r="3686" ht="14.4" x14ac:dyDescent="0.3"/>
    <row r="3687" ht="14.4" x14ac:dyDescent="0.3"/>
    <row r="3688" ht="14.4" x14ac:dyDescent="0.3"/>
    <row r="3689" ht="14.4" x14ac:dyDescent="0.3"/>
    <row r="3690" ht="14.4" x14ac:dyDescent="0.3"/>
    <row r="3691" ht="14.4" x14ac:dyDescent="0.3"/>
    <row r="3692" ht="14.4" x14ac:dyDescent="0.3"/>
    <row r="3693" ht="14.4" x14ac:dyDescent="0.3"/>
    <row r="3694" ht="14.4" x14ac:dyDescent="0.3"/>
    <row r="3695" ht="14.4" x14ac:dyDescent="0.3"/>
    <row r="3696" ht="14.4" x14ac:dyDescent="0.3"/>
    <row r="3697" ht="14.4" x14ac:dyDescent="0.3"/>
    <row r="3698" ht="14.4" x14ac:dyDescent="0.3"/>
    <row r="3699" ht="14.4" x14ac:dyDescent="0.3"/>
    <row r="3700" ht="14.4" x14ac:dyDescent="0.3"/>
    <row r="3701" ht="14.4" x14ac:dyDescent="0.3"/>
    <row r="3702" ht="14.4" x14ac:dyDescent="0.3"/>
    <row r="3703" ht="14.4" x14ac:dyDescent="0.3"/>
    <row r="3704" ht="14.4" x14ac:dyDescent="0.3"/>
    <row r="3705" ht="14.4" x14ac:dyDescent="0.3"/>
    <row r="3706" ht="14.4" x14ac:dyDescent="0.3"/>
    <row r="3707" ht="14.4" x14ac:dyDescent="0.3"/>
    <row r="3708" ht="14.4" x14ac:dyDescent="0.3"/>
    <row r="3709" ht="14.4" x14ac:dyDescent="0.3"/>
    <row r="3710" ht="14.4" x14ac:dyDescent="0.3"/>
    <row r="3711" ht="14.4" x14ac:dyDescent="0.3"/>
    <row r="3712" ht="14.4" x14ac:dyDescent="0.3"/>
    <row r="3713" ht="14.4" x14ac:dyDescent="0.3"/>
    <row r="3714" ht="14.4" x14ac:dyDescent="0.3"/>
    <row r="3715" ht="14.4" x14ac:dyDescent="0.3"/>
    <row r="3716" ht="14.4" x14ac:dyDescent="0.3"/>
    <row r="3717" ht="14.4" x14ac:dyDescent="0.3"/>
    <row r="3718" ht="14.4" x14ac:dyDescent="0.3"/>
    <row r="3719" ht="14.4" x14ac:dyDescent="0.3"/>
    <row r="3720" ht="14.4" x14ac:dyDescent="0.3"/>
    <row r="3721" ht="14.4" x14ac:dyDescent="0.3"/>
    <row r="3722" ht="14.4" x14ac:dyDescent="0.3"/>
    <row r="3723" ht="14.4" x14ac:dyDescent="0.3"/>
    <row r="3724" ht="14.4" x14ac:dyDescent="0.3"/>
    <row r="3725" ht="14.4" x14ac:dyDescent="0.3"/>
    <row r="3726" ht="14.4" x14ac:dyDescent="0.3"/>
    <row r="3727" ht="14.4" x14ac:dyDescent="0.3"/>
    <row r="3728" ht="14.4" x14ac:dyDescent="0.3"/>
    <row r="3729" ht="14.4" x14ac:dyDescent="0.3"/>
    <row r="3730" ht="14.4" x14ac:dyDescent="0.3"/>
    <row r="3731" ht="14.4" x14ac:dyDescent="0.3"/>
    <row r="3732" ht="14.4" x14ac:dyDescent="0.3"/>
    <row r="3733" ht="14.4" x14ac:dyDescent="0.3"/>
    <row r="3734" ht="14.4" x14ac:dyDescent="0.3"/>
    <row r="3735" ht="14.4" x14ac:dyDescent="0.3"/>
    <row r="3736" ht="14.4" x14ac:dyDescent="0.3"/>
    <row r="3737" ht="14.4" x14ac:dyDescent="0.3"/>
    <row r="3738" ht="14.4" x14ac:dyDescent="0.3"/>
    <row r="3739" ht="14.4" x14ac:dyDescent="0.3"/>
    <row r="3740" ht="14.4" x14ac:dyDescent="0.3"/>
    <row r="3741" ht="14.4" x14ac:dyDescent="0.3"/>
    <row r="3742" ht="14.4" x14ac:dyDescent="0.3"/>
    <row r="3743" ht="14.4" x14ac:dyDescent="0.3"/>
    <row r="3744" ht="14.4" x14ac:dyDescent="0.3"/>
    <row r="3745" ht="14.4" x14ac:dyDescent="0.3"/>
    <row r="3746" ht="14.4" x14ac:dyDescent="0.3"/>
    <row r="3747" ht="14.4" x14ac:dyDescent="0.3"/>
    <row r="3748" ht="14.4" x14ac:dyDescent="0.3"/>
    <row r="3749" ht="14.4" x14ac:dyDescent="0.3"/>
    <row r="3750" ht="14.4" x14ac:dyDescent="0.3"/>
    <row r="3751" ht="14.4" x14ac:dyDescent="0.3"/>
    <row r="3752" ht="14.4" x14ac:dyDescent="0.3"/>
    <row r="3753" ht="14.4" x14ac:dyDescent="0.3"/>
    <row r="3754" ht="14.4" x14ac:dyDescent="0.3"/>
    <row r="3755" ht="14.4" x14ac:dyDescent="0.3"/>
    <row r="3756" ht="14.4" x14ac:dyDescent="0.3"/>
    <row r="3757" ht="14.4" x14ac:dyDescent="0.3"/>
    <row r="3758" ht="14.4" x14ac:dyDescent="0.3"/>
    <row r="3759" ht="14.4" x14ac:dyDescent="0.3"/>
    <row r="3760" ht="14.4" x14ac:dyDescent="0.3"/>
    <row r="3761" ht="14.4" x14ac:dyDescent="0.3"/>
    <row r="3762" ht="14.4" x14ac:dyDescent="0.3"/>
    <row r="3763" ht="14.4" x14ac:dyDescent="0.3"/>
    <row r="3764" ht="14.4" x14ac:dyDescent="0.3"/>
    <row r="3765" ht="14.4" x14ac:dyDescent="0.3"/>
    <row r="3766" ht="14.4" x14ac:dyDescent="0.3"/>
    <row r="3767" ht="14.4" x14ac:dyDescent="0.3"/>
    <row r="3768" ht="14.4" x14ac:dyDescent="0.3"/>
    <row r="3769" ht="14.4" x14ac:dyDescent="0.3"/>
    <row r="3770" ht="14.4" x14ac:dyDescent="0.3"/>
    <row r="3771" ht="14.4" x14ac:dyDescent="0.3"/>
    <row r="3772" ht="14.4" x14ac:dyDescent="0.3"/>
    <row r="3773" ht="14.4" x14ac:dyDescent="0.3"/>
    <row r="3774" ht="14.4" x14ac:dyDescent="0.3"/>
    <row r="3775" ht="14.4" x14ac:dyDescent="0.3"/>
    <row r="3776" ht="14.4" x14ac:dyDescent="0.3"/>
    <row r="3777" ht="14.4" x14ac:dyDescent="0.3"/>
    <row r="3778" ht="14.4" x14ac:dyDescent="0.3"/>
    <row r="3779" ht="14.4" x14ac:dyDescent="0.3"/>
    <row r="3780" ht="14.4" x14ac:dyDescent="0.3"/>
    <row r="3781" ht="14.4" x14ac:dyDescent="0.3"/>
    <row r="3782" ht="14.4" x14ac:dyDescent="0.3"/>
    <row r="3783" ht="14.4" x14ac:dyDescent="0.3"/>
    <row r="3784" ht="14.4" x14ac:dyDescent="0.3"/>
    <row r="3785" ht="14.4" x14ac:dyDescent="0.3"/>
    <row r="3786" ht="14.4" x14ac:dyDescent="0.3"/>
    <row r="3787" ht="14.4" x14ac:dyDescent="0.3"/>
    <row r="3788" ht="14.4" x14ac:dyDescent="0.3"/>
    <row r="3789" ht="14.4" x14ac:dyDescent="0.3"/>
    <row r="3790" ht="14.4" x14ac:dyDescent="0.3"/>
    <row r="3791" ht="14.4" x14ac:dyDescent="0.3"/>
    <row r="3792" ht="14.4" x14ac:dyDescent="0.3"/>
    <row r="3793" ht="14.4" x14ac:dyDescent="0.3"/>
    <row r="3794" ht="14.4" x14ac:dyDescent="0.3"/>
    <row r="3795" ht="14.4" x14ac:dyDescent="0.3"/>
    <row r="3796" ht="14.4" x14ac:dyDescent="0.3"/>
    <row r="3797" ht="14.4" x14ac:dyDescent="0.3"/>
    <row r="3798" ht="14.4" x14ac:dyDescent="0.3"/>
    <row r="3799" ht="14.4" x14ac:dyDescent="0.3"/>
    <row r="3800" ht="14.4" x14ac:dyDescent="0.3"/>
    <row r="3801" ht="14.4" x14ac:dyDescent="0.3"/>
    <row r="3802" ht="14.4" x14ac:dyDescent="0.3"/>
    <row r="3803" ht="14.4" x14ac:dyDescent="0.3"/>
    <row r="3804" ht="14.4" x14ac:dyDescent="0.3"/>
    <row r="3805" ht="14.4" x14ac:dyDescent="0.3"/>
    <row r="3806" ht="14.4" x14ac:dyDescent="0.3"/>
    <row r="3807" ht="14.4" x14ac:dyDescent="0.3"/>
    <row r="3808" ht="14.4" x14ac:dyDescent="0.3"/>
    <row r="3809" ht="14.4" x14ac:dyDescent="0.3"/>
    <row r="3810" ht="14.4" x14ac:dyDescent="0.3"/>
    <row r="3811" ht="14.4" x14ac:dyDescent="0.3"/>
    <row r="3812" ht="14.4" x14ac:dyDescent="0.3"/>
    <row r="3813" ht="14.4" x14ac:dyDescent="0.3"/>
    <row r="3814" ht="14.4" x14ac:dyDescent="0.3"/>
    <row r="3815" ht="14.4" x14ac:dyDescent="0.3"/>
    <row r="3816" ht="14.4" x14ac:dyDescent="0.3"/>
    <row r="3817" ht="14.4" x14ac:dyDescent="0.3"/>
    <row r="3818" ht="14.4" x14ac:dyDescent="0.3"/>
    <row r="3819" ht="14.4" x14ac:dyDescent="0.3"/>
    <row r="3820" ht="14.4" x14ac:dyDescent="0.3"/>
    <row r="3821" ht="14.4" x14ac:dyDescent="0.3"/>
    <row r="3822" ht="14.4" x14ac:dyDescent="0.3"/>
    <row r="3823" ht="14.4" x14ac:dyDescent="0.3"/>
    <row r="3824" ht="14.4" x14ac:dyDescent="0.3"/>
    <row r="3825" ht="14.4" x14ac:dyDescent="0.3"/>
    <row r="3826" ht="14.4" x14ac:dyDescent="0.3"/>
    <row r="3827" ht="14.4" x14ac:dyDescent="0.3"/>
    <row r="3828" ht="14.4" x14ac:dyDescent="0.3"/>
    <row r="3829" ht="14.4" x14ac:dyDescent="0.3"/>
    <row r="3830" ht="14.4" x14ac:dyDescent="0.3"/>
    <row r="3831" ht="14.4" x14ac:dyDescent="0.3"/>
    <row r="3832" ht="14.4" x14ac:dyDescent="0.3"/>
    <row r="3833" ht="14.4" x14ac:dyDescent="0.3"/>
    <row r="3834" ht="14.4" x14ac:dyDescent="0.3"/>
    <row r="3835" ht="14.4" x14ac:dyDescent="0.3"/>
    <row r="3836" ht="14.4" x14ac:dyDescent="0.3"/>
    <row r="3837" ht="14.4" x14ac:dyDescent="0.3"/>
    <row r="3838" ht="14.4" x14ac:dyDescent="0.3"/>
    <row r="3839" ht="14.4" x14ac:dyDescent="0.3"/>
    <row r="3840" ht="14.4" x14ac:dyDescent="0.3"/>
    <row r="3841" ht="14.4" x14ac:dyDescent="0.3"/>
    <row r="3842" ht="14.4" x14ac:dyDescent="0.3"/>
    <row r="3843" ht="14.4" x14ac:dyDescent="0.3"/>
    <row r="3844" ht="14.4" x14ac:dyDescent="0.3"/>
    <row r="3845" ht="14.4" x14ac:dyDescent="0.3"/>
    <row r="3846" ht="14.4" x14ac:dyDescent="0.3"/>
    <row r="3847" ht="14.4" x14ac:dyDescent="0.3"/>
    <row r="3848" ht="14.4" x14ac:dyDescent="0.3"/>
    <row r="3849" ht="14.4" x14ac:dyDescent="0.3"/>
    <row r="3850" ht="14.4" x14ac:dyDescent="0.3"/>
    <row r="3851" ht="14.4" x14ac:dyDescent="0.3"/>
    <row r="3852" ht="14.4" x14ac:dyDescent="0.3"/>
    <row r="3853" ht="14.4" x14ac:dyDescent="0.3"/>
    <row r="3854" ht="14.4" x14ac:dyDescent="0.3"/>
    <row r="3855" ht="14.4" x14ac:dyDescent="0.3"/>
    <row r="3856" ht="14.4" x14ac:dyDescent="0.3"/>
    <row r="3857" ht="14.4" x14ac:dyDescent="0.3"/>
    <row r="3858" ht="14.4" x14ac:dyDescent="0.3"/>
    <row r="3859" ht="14.4" x14ac:dyDescent="0.3"/>
    <row r="3860" ht="14.4" x14ac:dyDescent="0.3"/>
    <row r="3861" ht="14.4" x14ac:dyDescent="0.3"/>
    <row r="3862" ht="14.4" x14ac:dyDescent="0.3"/>
    <row r="3863" ht="14.4" x14ac:dyDescent="0.3"/>
    <row r="3864" ht="14.4" x14ac:dyDescent="0.3"/>
    <row r="3865" ht="14.4" x14ac:dyDescent="0.3"/>
    <row r="3866" ht="14.4" x14ac:dyDescent="0.3"/>
    <row r="3867" ht="14.4" x14ac:dyDescent="0.3"/>
    <row r="3868" ht="14.4" x14ac:dyDescent="0.3"/>
    <row r="3869" ht="14.4" x14ac:dyDescent="0.3"/>
    <row r="3870" ht="14.4" x14ac:dyDescent="0.3"/>
    <row r="3871" ht="14.4" x14ac:dyDescent="0.3"/>
    <row r="3872" ht="14.4" x14ac:dyDescent="0.3"/>
    <row r="3873" ht="14.4" x14ac:dyDescent="0.3"/>
    <row r="3874" ht="14.4" x14ac:dyDescent="0.3"/>
    <row r="3875" ht="14.4" x14ac:dyDescent="0.3"/>
    <row r="3876" ht="14.4" x14ac:dyDescent="0.3"/>
    <row r="3877" ht="14.4" x14ac:dyDescent="0.3"/>
    <row r="3878" ht="14.4" x14ac:dyDescent="0.3"/>
    <row r="3879" ht="14.4" x14ac:dyDescent="0.3"/>
    <row r="3880" ht="14.4" x14ac:dyDescent="0.3"/>
    <row r="3881" ht="14.4" x14ac:dyDescent="0.3"/>
    <row r="3882" ht="14.4" x14ac:dyDescent="0.3"/>
    <row r="3883" ht="14.4" x14ac:dyDescent="0.3"/>
    <row r="3884" ht="14.4" x14ac:dyDescent="0.3"/>
    <row r="3885" ht="14.4" x14ac:dyDescent="0.3"/>
    <row r="3886" ht="14.4" x14ac:dyDescent="0.3"/>
    <row r="3887" ht="14.4" x14ac:dyDescent="0.3"/>
    <row r="3888" ht="14.4" x14ac:dyDescent="0.3"/>
    <row r="3889" ht="14.4" x14ac:dyDescent="0.3"/>
    <row r="3890" ht="14.4" x14ac:dyDescent="0.3"/>
    <row r="3891" ht="14.4" x14ac:dyDescent="0.3"/>
    <row r="3892" ht="14.4" x14ac:dyDescent="0.3"/>
    <row r="3893" ht="14.4" x14ac:dyDescent="0.3"/>
    <row r="3894" ht="14.4" x14ac:dyDescent="0.3"/>
    <row r="3895" ht="14.4" x14ac:dyDescent="0.3"/>
    <row r="3896" ht="14.4" x14ac:dyDescent="0.3"/>
    <row r="3897" ht="14.4" x14ac:dyDescent="0.3"/>
    <row r="3898" ht="14.4" x14ac:dyDescent="0.3"/>
    <row r="3899" ht="14.4" x14ac:dyDescent="0.3"/>
    <row r="3900" ht="14.4" x14ac:dyDescent="0.3"/>
    <row r="3901" ht="14.4" x14ac:dyDescent="0.3"/>
    <row r="3902" ht="14.4" x14ac:dyDescent="0.3"/>
    <row r="3903" ht="14.4" x14ac:dyDescent="0.3"/>
    <row r="3904" ht="14.4" x14ac:dyDescent="0.3"/>
    <row r="3905" ht="14.4" x14ac:dyDescent="0.3"/>
    <row r="3906" ht="14.4" x14ac:dyDescent="0.3"/>
    <row r="3907" ht="14.4" x14ac:dyDescent="0.3"/>
    <row r="3908" ht="14.4" x14ac:dyDescent="0.3"/>
    <row r="3909" ht="14.4" x14ac:dyDescent="0.3"/>
    <row r="3910" ht="14.4" x14ac:dyDescent="0.3"/>
    <row r="3911" ht="14.4" x14ac:dyDescent="0.3"/>
    <row r="3912" ht="14.4" x14ac:dyDescent="0.3"/>
    <row r="3913" ht="14.4" x14ac:dyDescent="0.3"/>
    <row r="3914" ht="14.4" x14ac:dyDescent="0.3"/>
    <row r="3915" ht="14.4" x14ac:dyDescent="0.3"/>
    <row r="3916" ht="14.4" x14ac:dyDescent="0.3"/>
    <row r="3917" ht="14.4" x14ac:dyDescent="0.3"/>
    <row r="3918" ht="14.4" x14ac:dyDescent="0.3"/>
    <row r="3919" ht="14.4" x14ac:dyDescent="0.3"/>
    <row r="3920" ht="14.4" x14ac:dyDescent="0.3"/>
    <row r="3921" ht="14.4" x14ac:dyDescent="0.3"/>
    <row r="3922" ht="14.4" x14ac:dyDescent="0.3"/>
    <row r="3923" ht="14.4" x14ac:dyDescent="0.3"/>
    <row r="3924" ht="14.4" x14ac:dyDescent="0.3"/>
    <row r="3925" ht="14.4" x14ac:dyDescent="0.3"/>
    <row r="3926" ht="14.4" x14ac:dyDescent="0.3"/>
    <row r="3927" ht="14.4" x14ac:dyDescent="0.3"/>
    <row r="3928" ht="14.4" x14ac:dyDescent="0.3"/>
    <row r="3929" ht="14.4" x14ac:dyDescent="0.3"/>
    <row r="3930" ht="14.4" x14ac:dyDescent="0.3"/>
    <row r="3931" ht="14.4" x14ac:dyDescent="0.3"/>
    <row r="3932" ht="14.4" x14ac:dyDescent="0.3"/>
    <row r="3933" ht="14.4" x14ac:dyDescent="0.3"/>
    <row r="3934" ht="14.4" x14ac:dyDescent="0.3"/>
    <row r="3935" ht="14.4" x14ac:dyDescent="0.3"/>
    <row r="3936" ht="14.4" x14ac:dyDescent="0.3"/>
    <row r="3937" ht="14.4" x14ac:dyDescent="0.3"/>
    <row r="3938" ht="14.4" x14ac:dyDescent="0.3"/>
    <row r="3939" ht="14.4" x14ac:dyDescent="0.3"/>
    <row r="3940" ht="14.4" x14ac:dyDescent="0.3"/>
    <row r="3941" ht="14.4" x14ac:dyDescent="0.3"/>
    <row r="3942" ht="14.4" x14ac:dyDescent="0.3"/>
    <row r="3943" ht="14.4" x14ac:dyDescent="0.3"/>
    <row r="3944" ht="14.4" x14ac:dyDescent="0.3"/>
    <row r="3945" ht="14.4" x14ac:dyDescent="0.3"/>
    <row r="3946" ht="14.4" x14ac:dyDescent="0.3"/>
    <row r="3947" ht="14.4" x14ac:dyDescent="0.3"/>
    <row r="3948" ht="14.4" x14ac:dyDescent="0.3"/>
    <row r="3949" ht="14.4" x14ac:dyDescent="0.3"/>
    <row r="3950" ht="14.4" x14ac:dyDescent="0.3"/>
    <row r="3951" ht="14.4" x14ac:dyDescent="0.3"/>
    <row r="3952" ht="14.4" x14ac:dyDescent="0.3"/>
    <row r="3953" ht="14.4" x14ac:dyDescent="0.3"/>
    <row r="3954" ht="14.4" x14ac:dyDescent="0.3"/>
    <row r="3955" ht="14.4" x14ac:dyDescent="0.3"/>
    <row r="3956" ht="14.4" x14ac:dyDescent="0.3"/>
    <row r="3957" ht="14.4" x14ac:dyDescent="0.3"/>
    <row r="3958" ht="14.4" x14ac:dyDescent="0.3"/>
    <row r="3959" ht="14.4" x14ac:dyDescent="0.3"/>
    <row r="3960" ht="14.4" x14ac:dyDescent="0.3"/>
    <row r="3961" ht="14.4" x14ac:dyDescent="0.3"/>
    <row r="3962" ht="14.4" x14ac:dyDescent="0.3"/>
    <row r="3963" ht="14.4" x14ac:dyDescent="0.3"/>
    <row r="3964" ht="14.4" x14ac:dyDescent="0.3"/>
    <row r="3965" ht="14.4" x14ac:dyDescent="0.3"/>
    <row r="3966" ht="14.4" x14ac:dyDescent="0.3"/>
    <row r="3967" ht="14.4" x14ac:dyDescent="0.3"/>
    <row r="3968" ht="14.4" x14ac:dyDescent="0.3"/>
    <row r="3969" ht="14.4" x14ac:dyDescent="0.3"/>
    <row r="3970" ht="14.4" x14ac:dyDescent="0.3"/>
    <row r="3971" ht="14.4" x14ac:dyDescent="0.3"/>
    <row r="3972" ht="14.4" x14ac:dyDescent="0.3"/>
    <row r="3973" ht="14.4" x14ac:dyDescent="0.3"/>
    <row r="3974" ht="14.4" x14ac:dyDescent="0.3"/>
    <row r="3975" ht="14.4" x14ac:dyDescent="0.3"/>
    <row r="3976" ht="14.4" x14ac:dyDescent="0.3"/>
    <row r="3977" ht="14.4" x14ac:dyDescent="0.3"/>
    <row r="3978" ht="14.4" x14ac:dyDescent="0.3"/>
    <row r="3979" ht="14.4" x14ac:dyDescent="0.3"/>
    <row r="3980" ht="14.4" x14ac:dyDescent="0.3"/>
    <row r="3981" ht="14.4" x14ac:dyDescent="0.3"/>
    <row r="3982" ht="14.4" x14ac:dyDescent="0.3"/>
    <row r="3983" ht="14.4" x14ac:dyDescent="0.3"/>
    <row r="3984" ht="14.4" x14ac:dyDescent="0.3"/>
    <row r="3985" ht="14.4" x14ac:dyDescent="0.3"/>
    <row r="3986" ht="14.4" x14ac:dyDescent="0.3"/>
    <row r="3987" ht="14.4" x14ac:dyDescent="0.3"/>
    <row r="3988" ht="14.4" x14ac:dyDescent="0.3"/>
    <row r="3989" ht="14.4" x14ac:dyDescent="0.3"/>
    <row r="3990" ht="14.4" x14ac:dyDescent="0.3"/>
    <row r="3991" ht="14.4" x14ac:dyDescent="0.3"/>
    <row r="3992" ht="14.4" x14ac:dyDescent="0.3"/>
    <row r="3993" ht="14.4" x14ac:dyDescent="0.3"/>
    <row r="3994" ht="14.4" x14ac:dyDescent="0.3"/>
    <row r="3995" ht="14.4" x14ac:dyDescent="0.3"/>
    <row r="3996" ht="14.4" x14ac:dyDescent="0.3"/>
    <row r="3997" ht="14.4" x14ac:dyDescent="0.3"/>
    <row r="3998" ht="14.4" x14ac:dyDescent="0.3"/>
    <row r="3999" ht="14.4" x14ac:dyDescent="0.3"/>
    <row r="4000" ht="14.4" x14ac:dyDescent="0.3"/>
    <row r="4001" ht="14.4" x14ac:dyDescent="0.3"/>
    <row r="4002" ht="14.4" x14ac:dyDescent="0.3"/>
    <row r="4003" ht="14.4" x14ac:dyDescent="0.3"/>
    <row r="4004" ht="14.4" x14ac:dyDescent="0.3"/>
    <row r="4005" ht="14.4" x14ac:dyDescent="0.3"/>
    <row r="4006" ht="14.4" x14ac:dyDescent="0.3"/>
    <row r="4007" ht="14.4" x14ac:dyDescent="0.3"/>
    <row r="4008" ht="14.4" x14ac:dyDescent="0.3"/>
    <row r="4009" ht="14.4" x14ac:dyDescent="0.3"/>
    <row r="4010" ht="14.4" x14ac:dyDescent="0.3"/>
    <row r="4011" ht="14.4" x14ac:dyDescent="0.3"/>
    <row r="4012" ht="14.4" x14ac:dyDescent="0.3"/>
    <row r="4013" ht="14.4" x14ac:dyDescent="0.3"/>
    <row r="4014" ht="14.4" x14ac:dyDescent="0.3"/>
    <row r="4015" ht="14.4" x14ac:dyDescent="0.3"/>
    <row r="4016" ht="14.4" x14ac:dyDescent="0.3"/>
    <row r="4017" ht="14.4" x14ac:dyDescent="0.3"/>
    <row r="4018" ht="14.4" x14ac:dyDescent="0.3"/>
    <row r="4019" ht="14.4" x14ac:dyDescent="0.3"/>
    <row r="4020" ht="14.4" x14ac:dyDescent="0.3"/>
    <row r="4021" ht="14.4" x14ac:dyDescent="0.3"/>
    <row r="4022" ht="14.4" x14ac:dyDescent="0.3"/>
    <row r="4023" ht="14.4" x14ac:dyDescent="0.3"/>
    <row r="4024" ht="14.4" x14ac:dyDescent="0.3"/>
    <row r="4025" ht="14.4" x14ac:dyDescent="0.3"/>
    <row r="4026" ht="14.4" x14ac:dyDescent="0.3"/>
    <row r="4027" ht="14.4" x14ac:dyDescent="0.3"/>
    <row r="4028" ht="14.4" x14ac:dyDescent="0.3"/>
    <row r="4029" ht="14.4" x14ac:dyDescent="0.3"/>
    <row r="4030" ht="14.4" x14ac:dyDescent="0.3"/>
    <row r="4031" ht="14.4" x14ac:dyDescent="0.3"/>
    <row r="4032" ht="14.4" x14ac:dyDescent="0.3"/>
    <row r="4033" ht="14.4" x14ac:dyDescent="0.3"/>
    <row r="4034" ht="14.4" x14ac:dyDescent="0.3"/>
    <row r="4035" ht="14.4" x14ac:dyDescent="0.3"/>
    <row r="4036" ht="14.4" x14ac:dyDescent="0.3"/>
    <row r="4037" ht="14.4" x14ac:dyDescent="0.3"/>
    <row r="4038" ht="14.4" x14ac:dyDescent="0.3"/>
    <row r="4039" ht="14.4" x14ac:dyDescent="0.3"/>
    <row r="4040" ht="14.4" x14ac:dyDescent="0.3"/>
    <row r="4041" ht="14.4" x14ac:dyDescent="0.3"/>
    <row r="4042" ht="14.4" x14ac:dyDescent="0.3"/>
    <row r="4043" ht="14.4" x14ac:dyDescent="0.3"/>
    <row r="4044" ht="14.4" x14ac:dyDescent="0.3"/>
    <row r="4045" ht="14.4" x14ac:dyDescent="0.3"/>
    <row r="4046" ht="14.4" x14ac:dyDescent="0.3"/>
    <row r="4047" ht="14.4" x14ac:dyDescent="0.3"/>
    <row r="4048" ht="14.4" x14ac:dyDescent="0.3"/>
    <row r="4049" ht="14.4" x14ac:dyDescent="0.3"/>
    <row r="4050" ht="14.4" x14ac:dyDescent="0.3"/>
    <row r="4051" ht="14.4" x14ac:dyDescent="0.3"/>
    <row r="4052" ht="14.4" x14ac:dyDescent="0.3"/>
    <row r="4053" ht="14.4" x14ac:dyDescent="0.3"/>
    <row r="4054" ht="14.4" x14ac:dyDescent="0.3"/>
    <row r="4055" ht="14.4" x14ac:dyDescent="0.3"/>
    <row r="4056" ht="14.4" x14ac:dyDescent="0.3"/>
    <row r="4057" ht="14.4" x14ac:dyDescent="0.3"/>
    <row r="4058" ht="14.4" x14ac:dyDescent="0.3"/>
    <row r="4059" ht="14.4" x14ac:dyDescent="0.3"/>
    <row r="4060" ht="14.4" x14ac:dyDescent="0.3"/>
    <row r="4061" ht="14.4" x14ac:dyDescent="0.3"/>
    <row r="4062" ht="14.4" x14ac:dyDescent="0.3"/>
    <row r="4063" ht="14.4" x14ac:dyDescent="0.3"/>
    <row r="4064" ht="14.4" x14ac:dyDescent="0.3"/>
    <row r="4065" ht="14.4" x14ac:dyDescent="0.3"/>
    <row r="4066" ht="14.4" x14ac:dyDescent="0.3"/>
    <row r="4067" ht="14.4" x14ac:dyDescent="0.3"/>
    <row r="4068" ht="14.4" x14ac:dyDescent="0.3"/>
    <row r="4069" ht="14.4" x14ac:dyDescent="0.3"/>
    <row r="4070" ht="14.4" x14ac:dyDescent="0.3"/>
    <row r="4071" ht="14.4" x14ac:dyDescent="0.3"/>
    <row r="4072" ht="14.4" x14ac:dyDescent="0.3"/>
    <row r="4073" ht="14.4" x14ac:dyDescent="0.3"/>
    <row r="4074" ht="14.4" x14ac:dyDescent="0.3"/>
    <row r="4075" ht="14.4" x14ac:dyDescent="0.3"/>
    <row r="4076" ht="14.4" x14ac:dyDescent="0.3"/>
    <row r="4077" ht="14.4" x14ac:dyDescent="0.3"/>
    <row r="4078" ht="14.4" x14ac:dyDescent="0.3"/>
    <row r="4079" ht="14.4" x14ac:dyDescent="0.3"/>
    <row r="4080" ht="14.4" x14ac:dyDescent="0.3"/>
    <row r="4081" ht="14.4" x14ac:dyDescent="0.3"/>
    <row r="4082" ht="14.4" x14ac:dyDescent="0.3"/>
    <row r="4083" ht="14.4" x14ac:dyDescent="0.3"/>
    <row r="4084" ht="14.4" x14ac:dyDescent="0.3"/>
    <row r="4085" ht="14.4" x14ac:dyDescent="0.3"/>
    <row r="4086" ht="14.4" x14ac:dyDescent="0.3"/>
    <row r="4087" ht="14.4" x14ac:dyDescent="0.3"/>
    <row r="4088" ht="14.4" x14ac:dyDescent="0.3"/>
    <row r="4089" ht="14.4" x14ac:dyDescent="0.3"/>
    <row r="4090" ht="14.4" x14ac:dyDescent="0.3"/>
    <row r="4091" ht="14.4" x14ac:dyDescent="0.3"/>
    <row r="4092" ht="14.4" x14ac:dyDescent="0.3"/>
    <row r="4093" ht="14.4" x14ac:dyDescent="0.3"/>
    <row r="4094" ht="14.4" x14ac:dyDescent="0.3"/>
    <row r="4095" ht="14.4" x14ac:dyDescent="0.3"/>
    <row r="4096" ht="14.4" x14ac:dyDescent="0.3"/>
    <row r="4097" ht="14.4" x14ac:dyDescent="0.3"/>
    <row r="4098" ht="14.4" x14ac:dyDescent="0.3"/>
    <row r="4099" ht="14.4" x14ac:dyDescent="0.3"/>
    <row r="4100" ht="14.4" x14ac:dyDescent="0.3"/>
    <row r="4101" ht="14.4" x14ac:dyDescent="0.3"/>
    <row r="4102" ht="14.4" x14ac:dyDescent="0.3"/>
    <row r="4103" ht="14.4" x14ac:dyDescent="0.3"/>
    <row r="4104" ht="14.4" x14ac:dyDescent="0.3"/>
    <row r="4105" ht="14.4" x14ac:dyDescent="0.3"/>
    <row r="4106" ht="14.4" x14ac:dyDescent="0.3"/>
    <row r="4107" ht="14.4" x14ac:dyDescent="0.3"/>
    <row r="4108" ht="14.4" x14ac:dyDescent="0.3"/>
    <row r="4109" ht="14.4" x14ac:dyDescent="0.3"/>
    <row r="4110" ht="14.4" x14ac:dyDescent="0.3"/>
    <row r="4111" ht="14.4" x14ac:dyDescent="0.3"/>
    <row r="4112" ht="14.4" x14ac:dyDescent="0.3"/>
    <row r="4113" ht="14.4" x14ac:dyDescent="0.3"/>
    <row r="4114" ht="14.4" x14ac:dyDescent="0.3"/>
    <row r="4115" ht="14.4" x14ac:dyDescent="0.3"/>
    <row r="4116" ht="14.4" x14ac:dyDescent="0.3"/>
    <row r="4117" ht="14.4" x14ac:dyDescent="0.3"/>
    <row r="4118" ht="14.4" x14ac:dyDescent="0.3"/>
    <row r="4119" ht="14.4" x14ac:dyDescent="0.3"/>
    <row r="4120" ht="14.4" x14ac:dyDescent="0.3"/>
    <row r="4121" ht="14.4" x14ac:dyDescent="0.3"/>
    <row r="4122" ht="14.4" x14ac:dyDescent="0.3"/>
    <row r="4123" ht="14.4" x14ac:dyDescent="0.3"/>
    <row r="4124" ht="14.4" x14ac:dyDescent="0.3"/>
    <row r="4125" ht="14.4" x14ac:dyDescent="0.3"/>
    <row r="4126" ht="14.4" x14ac:dyDescent="0.3"/>
    <row r="4127" ht="14.4" x14ac:dyDescent="0.3"/>
    <row r="4128" ht="14.4" x14ac:dyDescent="0.3"/>
    <row r="4129" ht="14.4" x14ac:dyDescent="0.3"/>
    <row r="4130" ht="14.4" x14ac:dyDescent="0.3"/>
    <row r="4131" ht="14.4" x14ac:dyDescent="0.3"/>
    <row r="4132" ht="14.4" x14ac:dyDescent="0.3"/>
    <row r="4133" ht="14.4" x14ac:dyDescent="0.3"/>
    <row r="4134" ht="14.4" x14ac:dyDescent="0.3"/>
    <row r="4135" ht="14.4" x14ac:dyDescent="0.3"/>
    <row r="4136" ht="14.4" x14ac:dyDescent="0.3"/>
    <row r="4137" ht="14.4" x14ac:dyDescent="0.3"/>
    <row r="4138" ht="14.4" x14ac:dyDescent="0.3"/>
    <row r="4139" ht="14.4" x14ac:dyDescent="0.3"/>
    <row r="4140" ht="14.4" x14ac:dyDescent="0.3"/>
    <row r="4141" ht="14.4" x14ac:dyDescent="0.3"/>
    <row r="4142" ht="14.4" x14ac:dyDescent="0.3"/>
    <row r="4143" ht="14.4" x14ac:dyDescent="0.3"/>
    <row r="4144" ht="14.4" x14ac:dyDescent="0.3"/>
    <row r="4145" ht="14.4" x14ac:dyDescent="0.3"/>
    <row r="4146" ht="14.4" x14ac:dyDescent="0.3"/>
    <row r="4147" ht="14.4" x14ac:dyDescent="0.3"/>
    <row r="4148" ht="14.4" x14ac:dyDescent="0.3"/>
    <row r="4149" ht="14.4" x14ac:dyDescent="0.3"/>
    <row r="4150" ht="14.4" x14ac:dyDescent="0.3"/>
    <row r="4151" ht="14.4" x14ac:dyDescent="0.3"/>
    <row r="4152" ht="14.4" x14ac:dyDescent="0.3"/>
    <row r="4153" ht="14.4" x14ac:dyDescent="0.3"/>
    <row r="4154" ht="14.4" x14ac:dyDescent="0.3"/>
    <row r="4155" ht="14.4" x14ac:dyDescent="0.3"/>
    <row r="4156" ht="14.4" x14ac:dyDescent="0.3"/>
    <row r="4157" ht="14.4" x14ac:dyDescent="0.3"/>
    <row r="4158" ht="14.4" x14ac:dyDescent="0.3"/>
    <row r="4159" ht="14.4" x14ac:dyDescent="0.3"/>
    <row r="4160" ht="14.4" x14ac:dyDescent="0.3"/>
    <row r="4161" ht="14.4" x14ac:dyDescent="0.3"/>
    <row r="4162" ht="14.4" x14ac:dyDescent="0.3"/>
    <row r="4163" ht="14.4" x14ac:dyDescent="0.3"/>
    <row r="4164" ht="14.4" x14ac:dyDescent="0.3"/>
    <row r="4165" ht="14.4" x14ac:dyDescent="0.3"/>
    <row r="4166" ht="14.4" x14ac:dyDescent="0.3"/>
    <row r="4167" ht="14.4" x14ac:dyDescent="0.3"/>
    <row r="4168" ht="14.4" x14ac:dyDescent="0.3"/>
    <row r="4169" ht="14.4" x14ac:dyDescent="0.3"/>
    <row r="4170" ht="14.4" x14ac:dyDescent="0.3"/>
    <row r="4171" ht="14.4" x14ac:dyDescent="0.3"/>
    <row r="4172" ht="14.4" x14ac:dyDescent="0.3"/>
    <row r="4173" ht="14.4" x14ac:dyDescent="0.3"/>
    <row r="4174" ht="14.4" x14ac:dyDescent="0.3"/>
    <row r="4175" ht="14.4" x14ac:dyDescent="0.3"/>
    <row r="4176" ht="14.4" x14ac:dyDescent="0.3"/>
    <row r="4177" ht="14.4" x14ac:dyDescent="0.3"/>
    <row r="4178" ht="14.4" x14ac:dyDescent="0.3"/>
    <row r="4179" ht="14.4" x14ac:dyDescent="0.3"/>
    <row r="4180" ht="14.4" x14ac:dyDescent="0.3"/>
    <row r="4181" ht="14.4" x14ac:dyDescent="0.3"/>
    <row r="4182" ht="14.4" x14ac:dyDescent="0.3"/>
    <row r="4183" ht="14.4" x14ac:dyDescent="0.3"/>
    <row r="4184" ht="14.4" x14ac:dyDescent="0.3"/>
    <row r="4185" ht="14.4" x14ac:dyDescent="0.3"/>
    <row r="4186" ht="14.4" x14ac:dyDescent="0.3"/>
    <row r="4187" ht="14.4" x14ac:dyDescent="0.3"/>
    <row r="4188" ht="14.4" x14ac:dyDescent="0.3"/>
    <row r="4189" ht="14.4" x14ac:dyDescent="0.3"/>
    <row r="4190" ht="14.4" x14ac:dyDescent="0.3"/>
    <row r="4191" ht="14.4" x14ac:dyDescent="0.3"/>
    <row r="4192" ht="14.4" x14ac:dyDescent="0.3"/>
    <row r="4193" ht="14.4" x14ac:dyDescent="0.3"/>
    <row r="4194" ht="14.4" x14ac:dyDescent="0.3"/>
    <row r="4195" ht="14.4" x14ac:dyDescent="0.3"/>
    <row r="4196" ht="14.4" x14ac:dyDescent="0.3"/>
    <row r="4197" ht="14.4" x14ac:dyDescent="0.3"/>
    <row r="4198" ht="14.4" x14ac:dyDescent="0.3"/>
    <row r="4199" ht="14.4" x14ac:dyDescent="0.3"/>
    <row r="4200" ht="14.4" x14ac:dyDescent="0.3"/>
    <row r="4201" ht="14.4" x14ac:dyDescent="0.3"/>
    <row r="4202" ht="14.4" x14ac:dyDescent="0.3"/>
    <row r="4203" ht="14.4" x14ac:dyDescent="0.3"/>
    <row r="4204" ht="14.4" x14ac:dyDescent="0.3"/>
    <row r="4205" ht="14.4" x14ac:dyDescent="0.3"/>
    <row r="4206" ht="14.4" x14ac:dyDescent="0.3"/>
    <row r="4207" ht="14.4" x14ac:dyDescent="0.3"/>
    <row r="4208" ht="14.4" x14ac:dyDescent="0.3"/>
    <row r="4209" ht="14.4" x14ac:dyDescent="0.3"/>
    <row r="4210" ht="14.4" x14ac:dyDescent="0.3"/>
    <row r="4211" ht="14.4" x14ac:dyDescent="0.3"/>
    <row r="4212" ht="14.4" x14ac:dyDescent="0.3"/>
    <row r="4213" ht="14.4" x14ac:dyDescent="0.3"/>
    <row r="4214" ht="14.4" x14ac:dyDescent="0.3"/>
    <row r="4215" ht="14.4" x14ac:dyDescent="0.3"/>
    <row r="4216" ht="14.4" x14ac:dyDescent="0.3"/>
    <row r="4217" ht="14.4" x14ac:dyDescent="0.3"/>
    <row r="4218" ht="14.4" x14ac:dyDescent="0.3"/>
    <row r="4219" ht="14.4" x14ac:dyDescent="0.3"/>
    <row r="4220" ht="14.4" x14ac:dyDescent="0.3"/>
    <row r="4221" ht="14.4" x14ac:dyDescent="0.3"/>
    <row r="4222" ht="14.4" x14ac:dyDescent="0.3"/>
    <row r="4223" ht="14.4" x14ac:dyDescent="0.3"/>
    <row r="4224" ht="14.4" x14ac:dyDescent="0.3"/>
    <row r="4225" ht="14.4" x14ac:dyDescent="0.3"/>
    <row r="4226" ht="14.4" x14ac:dyDescent="0.3"/>
    <row r="4227" ht="14.4" x14ac:dyDescent="0.3"/>
    <row r="4228" ht="14.4" x14ac:dyDescent="0.3"/>
    <row r="4229" ht="14.4" x14ac:dyDescent="0.3"/>
    <row r="4230" ht="14.4" x14ac:dyDescent="0.3"/>
    <row r="4231" ht="14.4" x14ac:dyDescent="0.3"/>
    <row r="4232" ht="14.4" x14ac:dyDescent="0.3"/>
    <row r="4233" ht="14.4" x14ac:dyDescent="0.3"/>
    <row r="4234" ht="14.4" x14ac:dyDescent="0.3"/>
    <row r="4235" ht="14.4" x14ac:dyDescent="0.3"/>
    <row r="4236" ht="14.4" x14ac:dyDescent="0.3"/>
    <row r="4237" ht="14.4" x14ac:dyDescent="0.3"/>
    <row r="4238" ht="14.4" x14ac:dyDescent="0.3"/>
    <row r="4239" ht="14.4" x14ac:dyDescent="0.3"/>
    <row r="4240" ht="14.4" x14ac:dyDescent="0.3"/>
    <row r="4241" ht="14.4" x14ac:dyDescent="0.3"/>
    <row r="4242" ht="14.4" x14ac:dyDescent="0.3"/>
    <row r="4243" ht="14.4" x14ac:dyDescent="0.3"/>
    <row r="4244" ht="14.4" x14ac:dyDescent="0.3"/>
    <row r="4245" ht="14.4" x14ac:dyDescent="0.3"/>
    <row r="4246" ht="14.4" x14ac:dyDescent="0.3"/>
    <row r="4247" ht="14.4" x14ac:dyDescent="0.3"/>
    <row r="4248" ht="14.4" x14ac:dyDescent="0.3"/>
    <row r="4249" ht="14.4" x14ac:dyDescent="0.3"/>
    <row r="4250" ht="14.4" x14ac:dyDescent="0.3"/>
    <row r="4251" ht="14.4" x14ac:dyDescent="0.3"/>
    <row r="4252" ht="14.4" x14ac:dyDescent="0.3"/>
    <row r="4253" ht="14.4" x14ac:dyDescent="0.3"/>
    <row r="4254" ht="14.4" x14ac:dyDescent="0.3"/>
    <row r="4255" ht="14.4" x14ac:dyDescent="0.3"/>
    <row r="4256" ht="14.4" x14ac:dyDescent="0.3"/>
    <row r="4257" ht="14.4" x14ac:dyDescent="0.3"/>
    <row r="4258" ht="14.4" x14ac:dyDescent="0.3"/>
    <row r="4259" ht="14.4" x14ac:dyDescent="0.3"/>
    <row r="4260" ht="14.4" x14ac:dyDescent="0.3"/>
    <row r="4261" ht="14.4" x14ac:dyDescent="0.3"/>
    <row r="4262" ht="14.4" x14ac:dyDescent="0.3"/>
    <row r="4263" ht="14.4" x14ac:dyDescent="0.3"/>
    <row r="4264" ht="14.4" x14ac:dyDescent="0.3"/>
    <row r="4265" ht="14.4" x14ac:dyDescent="0.3"/>
    <row r="4266" ht="14.4" x14ac:dyDescent="0.3"/>
    <row r="4267" ht="14.4" x14ac:dyDescent="0.3"/>
    <row r="4268" ht="14.4" x14ac:dyDescent="0.3"/>
    <row r="4269" ht="14.4" x14ac:dyDescent="0.3"/>
    <row r="4270" ht="14.4" x14ac:dyDescent="0.3"/>
    <row r="4271" ht="14.4" x14ac:dyDescent="0.3"/>
    <row r="4272" ht="14.4" x14ac:dyDescent="0.3"/>
    <row r="4273" ht="14.4" x14ac:dyDescent="0.3"/>
    <row r="4274" ht="14.4" x14ac:dyDescent="0.3"/>
    <row r="4275" ht="14.4" x14ac:dyDescent="0.3"/>
    <row r="4276" ht="14.4" x14ac:dyDescent="0.3"/>
    <row r="4277" ht="14.4" x14ac:dyDescent="0.3"/>
    <row r="4278" ht="14.4" x14ac:dyDescent="0.3"/>
    <row r="4279" ht="14.4" x14ac:dyDescent="0.3"/>
    <row r="4280" ht="14.4" x14ac:dyDescent="0.3"/>
    <row r="4281" ht="14.4" x14ac:dyDescent="0.3"/>
    <row r="4282" ht="14.4" x14ac:dyDescent="0.3"/>
    <row r="4283" ht="14.4" x14ac:dyDescent="0.3"/>
    <row r="4284" ht="14.4" x14ac:dyDescent="0.3"/>
    <row r="4285" ht="14.4" x14ac:dyDescent="0.3"/>
    <row r="4286" ht="14.4" x14ac:dyDescent="0.3"/>
    <row r="4287" ht="14.4" x14ac:dyDescent="0.3"/>
    <row r="4288" ht="14.4" x14ac:dyDescent="0.3"/>
    <row r="4289" ht="14.4" x14ac:dyDescent="0.3"/>
    <row r="4290" ht="14.4" x14ac:dyDescent="0.3"/>
    <row r="4291" ht="14.4" x14ac:dyDescent="0.3"/>
    <row r="4292" ht="14.4" x14ac:dyDescent="0.3"/>
    <row r="4293" ht="14.4" x14ac:dyDescent="0.3"/>
    <row r="4294" ht="14.4" x14ac:dyDescent="0.3"/>
    <row r="4295" ht="14.4" x14ac:dyDescent="0.3"/>
    <row r="4296" ht="14.4" x14ac:dyDescent="0.3"/>
    <row r="4297" ht="14.4" x14ac:dyDescent="0.3"/>
    <row r="4298" ht="14.4" x14ac:dyDescent="0.3"/>
    <row r="4299" ht="14.4" x14ac:dyDescent="0.3"/>
    <row r="4300" ht="14.4" x14ac:dyDescent="0.3"/>
    <row r="4301" ht="14.4" x14ac:dyDescent="0.3"/>
    <row r="4302" ht="14.4" x14ac:dyDescent="0.3"/>
    <row r="4303" ht="14.4" x14ac:dyDescent="0.3"/>
    <row r="4304" ht="14.4" x14ac:dyDescent="0.3"/>
    <row r="4305" ht="14.4" x14ac:dyDescent="0.3"/>
    <row r="4306" ht="14.4" x14ac:dyDescent="0.3"/>
    <row r="4307" ht="14.4" x14ac:dyDescent="0.3"/>
    <row r="4308" ht="14.4" x14ac:dyDescent="0.3"/>
    <row r="4309" ht="14.4" x14ac:dyDescent="0.3"/>
    <row r="4310" ht="14.4" x14ac:dyDescent="0.3"/>
    <row r="4311" ht="14.4" x14ac:dyDescent="0.3"/>
    <row r="4312" ht="14.4" x14ac:dyDescent="0.3"/>
    <row r="4313" ht="14.4" x14ac:dyDescent="0.3"/>
    <row r="4314" ht="14.4" x14ac:dyDescent="0.3"/>
    <row r="4315" ht="14.4" x14ac:dyDescent="0.3"/>
    <row r="4316" ht="14.4" x14ac:dyDescent="0.3"/>
    <row r="4317" ht="14.4" x14ac:dyDescent="0.3"/>
    <row r="4318" ht="14.4" x14ac:dyDescent="0.3"/>
    <row r="4319" ht="14.4" x14ac:dyDescent="0.3"/>
    <row r="4320" ht="14.4" x14ac:dyDescent="0.3"/>
    <row r="4321" ht="14.4" x14ac:dyDescent="0.3"/>
    <row r="4322" ht="14.4" x14ac:dyDescent="0.3"/>
    <row r="4323" ht="14.4" x14ac:dyDescent="0.3"/>
    <row r="4324" ht="14.4" x14ac:dyDescent="0.3"/>
    <row r="4325" ht="14.4" x14ac:dyDescent="0.3"/>
    <row r="4326" ht="14.4" x14ac:dyDescent="0.3"/>
    <row r="4327" ht="14.4" x14ac:dyDescent="0.3"/>
    <row r="4328" ht="14.4" x14ac:dyDescent="0.3"/>
    <row r="4329" ht="14.4" x14ac:dyDescent="0.3"/>
    <row r="4330" ht="14.4" x14ac:dyDescent="0.3"/>
    <row r="4331" ht="14.4" x14ac:dyDescent="0.3"/>
    <row r="4332" ht="14.4" x14ac:dyDescent="0.3"/>
    <row r="4333" ht="14.4" x14ac:dyDescent="0.3"/>
    <row r="4334" ht="14.4" x14ac:dyDescent="0.3"/>
    <row r="4335" ht="14.4" x14ac:dyDescent="0.3"/>
    <row r="4336" ht="14.4" x14ac:dyDescent="0.3"/>
    <row r="4337" ht="14.4" x14ac:dyDescent="0.3"/>
    <row r="4338" ht="14.4" x14ac:dyDescent="0.3"/>
    <row r="4339" ht="14.4" x14ac:dyDescent="0.3"/>
    <row r="4340" ht="14.4" x14ac:dyDescent="0.3"/>
    <row r="4341" ht="14.4" x14ac:dyDescent="0.3"/>
    <row r="4342" ht="14.4" x14ac:dyDescent="0.3"/>
    <row r="4343" ht="14.4" x14ac:dyDescent="0.3"/>
    <row r="4344" ht="14.4" x14ac:dyDescent="0.3"/>
    <row r="4345" ht="14.4" x14ac:dyDescent="0.3"/>
    <row r="4346" ht="14.4" x14ac:dyDescent="0.3"/>
    <row r="4347" ht="14.4" x14ac:dyDescent="0.3"/>
    <row r="4348" ht="14.4" x14ac:dyDescent="0.3"/>
    <row r="4349" ht="14.4" x14ac:dyDescent="0.3"/>
    <row r="4350" ht="14.4" x14ac:dyDescent="0.3"/>
    <row r="4351" ht="14.4" x14ac:dyDescent="0.3"/>
    <row r="4352" ht="14.4" x14ac:dyDescent="0.3"/>
    <row r="4353" ht="14.4" x14ac:dyDescent="0.3"/>
    <row r="4354" ht="14.4" x14ac:dyDescent="0.3"/>
    <row r="4355" ht="14.4" x14ac:dyDescent="0.3"/>
    <row r="4356" ht="14.4" x14ac:dyDescent="0.3"/>
    <row r="4357" ht="14.4" x14ac:dyDescent="0.3"/>
    <row r="4358" ht="14.4" x14ac:dyDescent="0.3"/>
    <row r="4359" ht="14.4" x14ac:dyDescent="0.3"/>
    <row r="4360" ht="14.4" x14ac:dyDescent="0.3"/>
    <row r="4361" ht="14.4" x14ac:dyDescent="0.3"/>
    <row r="4362" ht="14.4" x14ac:dyDescent="0.3"/>
    <row r="4363" ht="14.4" x14ac:dyDescent="0.3"/>
    <row r="4364" ht="14.4" x14ac:dyDescent="0.3"/>
    <row r="4365" ht="14.4" x14ac:dyDescent="0.3"/>
    <row r="4366" ht="14.4" x14ac:dyDescent="0.3"/>
    <row r="4367" ht="14.4" x14ac:dyDescent="0.3"/>
    <row r="4368" ht="14.4" x14ac:dyDescent="0.3"/>
    <row r="4369" ht="14.4" x14ac:dyDescent="0.3"/>
    <row r="4370" ht="14.4" x14ac:dyDescent="0.3"/>
    <row r="4371" ht="14.4" x14ac:dyDescent="0.3"/>
    <row r="4372" ht="14.4" x14ac:dyDescent="0.3"/>
    <row r="4373" ht="14.4" x14ac:dyDescent="0.3"/>
    <row r="4374" ht="14.4" x14ac:dyDescent="0.3"/>
    <row r="4375" ht="14.4" x14ac:dyDescent="0.3"/>
    <row r="4376" ht="14.4" x14ac:dyDescent="0.3"/>
    <row r="4377" ht="14.4" x14ac:dyDescent="0.3"/>
    <row r="4378" ht="14.4" x14ac:dyDescent="0.3"/>
    <row r="4379" ht="14.4" x14ac:dyDescent="0.3"/>
    <row r="4380" ht="14.4" x14ac:dyDescent="0.3"/>
    <row r="4381" ht="14.4" x14ac:dyDescent="0.3"/>
    <row r="4382" ht="14.4" x14ac:dyDescent="0.3"/>
    <row r="4383" ht="14.4" x14ac:dyDescent="0.3"/>
    <row r="4384" ht="14.4" x14ac:dyDescent="0.3"/>
    <row r="4385" ht="14.4" x14ac:dyDescent="0.3"/>
    <row r="4386" ht="14.4" x14ac:dyDescent="0.3"/>
    <row r="4387" ht="14.4" x14ac:dyDescent="0.3"/>
    <row r="4388" ht="14.4" x14ac:dyDescent="0.3"/>
    <row r="4389" ht="14.4" x14ac:dyDescent="0.3"/>
    <row r="4390" ht="14.4" x14ac:dyDescent="0.3"/>
    <row r="4391" ht="14.4" x14ac:dyDescent="0.3"/>
    <row r="4392" ht="14.4" x14ac:dyDescent="0.3"/>
    <row r="4393" ht="14.4" x14ac:dyDescent="0.3"/>
    <row r="4394" ht="14.4" x14ac:dyDescent="0.3"/>
    <row r="4395" ht="14.4" x14ac:dyDescent="0.3"/>
    <row r="4396" ht="14.4" x14ac:dyDescent="0.3"/>
    <row r="4397" ht="14.4" x14ac:dyDescent="0.3"/>
    <row r="4398" ht="14.4" x14ac:dyDescent="0.3"/>
    <row r="4399" ht="14.4" x14ac:dyDescent="0.3"/>
    <row r="4400" ht="14.4" x14ac:dyDescent="0.3"/>
    <row r="4401" ht="14.4" x14ac:dyDescent="0.3"/>
    <row r="4402" ht="14.4" x14ac:dyDescent="0.3"/>
    <row r="4403" ht="14.4" x14ac:dyDescent="0.3"/>
    <row r="4404" ht="14.4" x14ac:dyDescent="0.3"/>
    <row r="4405" ht="14.4" x14ac:dyDescent="0.3"/>
    <row r="4406" ht="14.4" x14ac:dyDescent="0.3"/>
    <row r="4407" ht="14.4" x14ac:dyDescent="0.3"/>
    <row r="4408" ht="14.4" x14ac:dyDescent="0.3"/>
    <row r="4409" ht="14.4" x14ac:dyDescent="0.3"/>
    <row r="4410" ht="14.4" x14ac:dyDescent="0.3"/>
    <row r="4411" ht="14.4" x14ac:dyDescent="0.3"/>
    <row r="4412" ht="14.4" x14ac:dyDescent="0.3"/>
    <row r="4413" ht="14.4" x14ac:dyDescent="0.3"/>
    <row r="4414" ht="14.4" x14ac:dyDescent="0.3"/>
    <row r="4415" ht="14.4" x14ac:dyDescent="0.3"/>
    <row r="4416" ht="14.4" x14ac:dyDescent="0.3"/>
    <row r="4417" ht="14.4" x14ac:dyDescent="0.3"/>
    <row r="4418" ht="14.4" x14ac:dyDescent="0.3"/>
    <row r="4419" ht="14.4" x14ac:dyDescent="0.3"/>
    <row r="4420" ht="14.4" x14ac:dyDescent="0.3"/>
    <row r="4421" ht="14.4" x14ac:dyDescent="0.3"/>
    <row r="4422" ht="14.4" x14ac:dyDescent="0.3"/>
    <row r="4423" ht="14.4" x14ac:dyDescent="0.3"/>
    <row r="4424" ht="14.4" x14ac:dyDescent="0.3"/>
    <row r="4425" ht="14.4" x14ac:dyDescent="0.3"/>
    <row r="4426" ht="14.4" x14ac:dyDescent="0.3"/>
    <row r="4427" ht="14.4" x14ac:dyDescent="0.3"/>
    <row r="4428" ht="14.4" x14ac:dyDescent="0.3"/>
    <row r="4429" ht="14.4" x14ac:dyDescent="0.3"/>
    <row r="4430" ht="14.4" x14ac:dyDescent="0.3"/>
    <row r="4431" ht="14.4" x14ac:dyDescent="0.3"/>
    <row r="4432" ht="14.4" x14ac:dyDescent="0.3"/>
    <row r="4433" ht="14.4" x14ac:dyDescent="0.3"/>
    <row r="4434" ht="14.4" x14ac:dyDescent="0.3"/>
    <row r="4435" ht="14.4" x14ac:dyDescent="0.3"/>
    <row r="4436" ht="14.4" x14ac:dyDescent="0.3"/>
    <row r="4437" ht="14.4" x14ac:dyDescent="0.3"/>
    <row r="4438" ht="14.4" x14ac:dyDescent="0.3"/>
    <row r="4439" ht="14.4" x14ac:dyDescent="0.3"/>
    <row r="4440" ht="14.4" x14ac:dyDescent="0.3"/>
    <row r="4441" ht="14.4" x14ac:dyDescent="0.3"/>
    <row r="4442" ht="14.4" x14ac:dyDescent="0.3"/>
    <row r="4443" ht="14.4" x14ac:dyDescent="0.3"/>
    <row r="4444" ht="14.4" x14ac:dyDescent="0.3"/>
    <row r="4445" ht="14.4" x14ac:dyDescent="0.3"/>
    <row r="4446" ht="14.4" x14ac:dyDescent="0.3"/>
    <row r="4447" ht="14.4" x14ac:dyDescent="0.3"/>
    <row r="4448" ht="14.4" x14ac:dyDescent="0.3"/>
    <row r="4449" ht="14.4" x14ac:dyDescent="0.3"/>
    <row r="4450" ht="14.4" x14ac:dyDescent="0.3"/>
    <row r="4451" ht="14.4" x14ac:dyDescent="0.3"/>
    <row r="4452" ht="14.4" x14ac:dyDescent="0.3"/>
    <row r="4453" ht="14.4" x14ac:dyDescent="0.3"/>
    <row r="4454" ht="14.4" x14ac:dyDescent="0.3"/>
    <row r="4455" ht="14.4" x14ac:dyDescent="0.3"/>
    <row r="4456" ht="14.4" x14ac:dyDescent="0.3"/>
    <row r="4457" ht="14.4" x14ac:dyDescent="0.3"/>
    <row r="4458" ht="14.4" x14ac:dyDescent="0.3"/>
    <row r="4459" ht="14.4" x14ac:dyDescent="0.3"/>
    <row r="4460" ht="14.4" x14ac:dyDescent="0.3"/>
    <row r="4461" ht="14.4" x14ac:dyDescent="0.3"/>
    <row r="4462" ht="14.4" x14ac:dyDescent="0.3"/>
    <row r="4463" ht="14.4" x14ac:dyDescent="0.3"/>
    <row r="4464" ht="14.4" x14ac:dyDescent="0.3"/>
    <row r="4465" ht="14.4" x14ac:dyDescent="0.3"/>
    <row r="4466" ht="14.4" x14ac:dyDescent="0.3"/>
    <row r="4467" ht="14.4" x14ac:dyDescent="0.3"/>
    <row r="4468" ht="14.4" x14ac:dyDescent="0.3"/>
    <row r="4469" ht="14.4" x14ac:dyDescent="0.3"/>
    <row r="4470" ht="14.4" x14ac:dyDescent="0.3"/>
    <row r="4471" ht="14.4" x14ac:dyDescent="0.3"/>
    <row r="4472" ht="14.4" x14ac:dyDescent="0.3"/>
    <row r="4473" ht="14.4" x14ac:dyDescent="0.3"/>
    <row r="4474" ht="14.4" x14ac:dyDescent="0.3"/>
    <row r="4475" ht="14.4" x14ac:dyDescent="0.3"/>
    <row r="4476" ht="14.4" x14ac:dyDescent="0.3"/>
    <row r="4477" ht="14.4" x14ac:dyDescent="0.3"/>
    <row r="4478" ht="14.4" x14ac:dyDescent="0.3"/>
    <row r="4479" ht="14.4" x14ac:dyDescent="0.3"/>
    <row r="4480" ht="14.4" x14ac:dyDescent="0.3"/>
    <row r="4481" ht="14.4" x14ac:dyDescent="0.3"/>
    <row r="4482" ht="14.4" x14ac:dyDescent="0.3"/>
    <row r="4483" ht="14.4" x14ac:dyDescent="0.3"/>
    <row r="4484" ht="14.4" x14ac:dyDescent="0.3"/>
    <row r="4485" ht="14.4" x14ac:dyDescent="0.3"/>
    <row r="4486" ht="14.4" x14ac:dyDescent="0.3"/>
    <row r="4487" ht="14.4" x14ac:dyDescent="0.3"/>
    <row r="4488" ht="14.4" x14ac:dyDescent="0.3"/>
    <row r="4489" ht="14.4" x14ac:dyDescent="0.3"/>
    <row r="4490" ht="14.4" x14ac:dyDescent="0.3"/>
    <row r="4491" ht="14.4" x14ac:dyDescent="0.3"/>
    <row r="4492" ht="14.4" x14ac:dyDescent="0.3"/>
    <row r="4493" ht="14.4" x14ac:dyDescent="0.3"/>
    <row r="4494" ht="14.4" x14ac:dyDescent="0.3"/>
    <row r="4495" ht="14.4" x14ac:dyDescent="0.3"/>
    <row r="4496" ht="14.4" x14ac:dyDescent="0.3"/>
    <row r="4497" ht="14.4" x14ac:dyDescent="0.3"/>
    <row r="4498" ht="14.4" x14ac:dyDescent="0.3"/>
    <row r="4499" ht="14.4" x14ac:dyDescent="0.3"/>
    <row r="4500" ht="14.4" x14ac:dyDescent="0.3"/>
    <row r="4501" ht="14.4" x14ac:dyDescent="0.3"/>
    <row r="4502" ht="14.4" x14ac:dyDescent="0.3"/>
    <row r="4503" ht="14.4" x14ac:dyDescent="0.3"/>
    <row r="4504" ht="14.4" x14ac:dyDescent="0.3"/>
    <row r="4505" ht="14.4" x14ac:dyDescent="0.3"/>
    <row r="4506" ht="14.4" x14ac:dyDescent="0.3"/>
    <row r="4507" ht="14.4" x14ac:dyDescent="0.3"/>
    <row r="4508" ht="14.4" x14ac:dyDescent="0.3"/>
    <row r="4509" ht="14.4" x14ac:dyDescent="0.3"/>
    <row r="4510" ht="14.4" x14ac:dyDescent="0.3"/>
    <row r="4511" ht="14.4" x14ac:dyDescent="0.3"/>
    <row r="4512" ht="14.4" x14ac:dyDescent="0.3"/>
    <row r="4513" ht="14.4" x14ac:dyDescent="0.3"/>
    <row r="4514" ht="14.4" x14ac:dyDescent="0.3"/>
    <row r="4515" ht="14.4" x14ac:dyDescent="0.3"/>
    <row r="4516" ht="14.4" x14ac:dyDescent="0.3"/>
    <row r="4517" ht="14.4" x14ac:dyDescent="0.3"/>
    <row r="4518" ht="14.4" x14ac:dyDescent="0.3"/>
    <row r="4519" ht="14.4" x14ac:dyDescent="0.3"/>
    <row r="4520" ht="14.4" x14ac:dyDescent="0.3"/>
    <row r="4521" ht="14.4" x14ac:dyDescent="0.3"/>
    <row r="4522" ht="14.4" x14ac:dyDescent="0.3"/>
    <row r="4523" ht="14.4" x14ac:dyDescent="0.3"/>
    <row r="4524" ht="14.4" x14ac:dyDescent="0.3"/>
    <row r="4525" ht="14.4" x14ac:dyDescent="0.3"/>
    <row r="4526" ht="14.4" x14ac:dyDescent="0.3"/>
    <row r="4527" ht="14.4" x14ac:dyDescent="0.3"/>
    <row r="4528" ht="14.4" x14ac:dyDescent="0.3"/>
    <row r="4529" ht="14.4" x14ac:dyDescent="0.3"/>
    <row r="4530" ht="14.4" x14ac:dyDescent="0.3"/>
    <row r="4531" ht="14.4" x14ac:dyDescent="0.3"/>
    <row r="4532" ht="14.4" x14ac:dyDescent="0.3"/>
    <row r="4533" ht="14.4" x14ac:dyDescent="0.3"/>
    <row r="4534" ht="14.4" x14ac:dyDescent="0.3"/>
    <row r="4535" ht="14.4" x14ac:dyDescent="0.3"/>
    <row r="4536" ht="14.4" x14ac:dyDescent="0.3"/>
    <row r="4537" ht="14.4" x14ac:dyDescent="0.3"/>
    <row r="4538" ht="14.4" x14ac:dyDescent="0.3"/>
    <row r="4539" ht="14.4" x14ac:dyDescent="0.3"/>
    <row r="4540" ht="14.4" x14ac:dyDescent="0.3"/>
    <row r="4541" ht="14.4" x14ac:dyDescent="0.3"/>
    <row r="4542" ht="14.4" x14ac:dyDescent="0.3"/>
    <row r="4543" ht="14.4" x14ac:dyDescent="0.3"/>
    <row r="4544" ht="14.4" x14ac:dyDescent="0.3"/>
    <row r="4545" ht="14.4" x14ac:dyDescent="0.3"/>
    <row r="4546" ht="14.4" x14ac:dyDescent="0.3"/>
    <row r="4547" ht="14.4" x14ac:dyDescent="0.3"/>
    <row r="4548" ht="14.4" x14ac:dyDescent="0.3"/>
    <row r="4549" ht="14.4" x14ac:dyDescent="0.3"/>
    <row r="4550" ht="14.4" x14ac:dyDescent="0.3"/>
    <row r="4551" ht="14.4" x14ac:dyDescent="0.3"/>
    <row r="4552" ht="14.4" x14ac:dyDescent="0.3"/>
    <row r="4553" ht="14.4" x14ac:dyDescent="0.3"/>
    <row r="4554" ht="14.4" x14ac:dyDescent="0.3"/>
    <row r="4555" ht="14.4" x14ac:dyDescent="0.3"/>
    <row r="4556" ht="14.4" x14ac:dyDescent="0.3"/>
    <row r="4557" ht="14.4" x14ac:dyDescent="0.3"/>
    <row r="4558" ht="14.4" x14ac:dyDescent="0.3"/>
    <row r="4559" ht="14.4" x14ac:dyDescent="0.3"/>
    <row r="4560" ht="14.4" x14ac:dyDescent="0.3"/>
    <row r="4561" ht="14.4" x14ac:dyDescent="0.3"/>
    <row r="4562" ht="14.4" x14ac:dyDescent="0.3"/>
    <row r="4563" ht="14.4" x14ac:dyDescent="0.3"/>
    <row r="4564" ht="14.4" x14ac:dyDescent="0.3"/>
    <row r="4565" ht="14.4" x14ac:dyDescent="0.3"/>
    <row r="4566" ht="14.4" x14ac:dyDescent="0.3"/>
    <row r="4567" ht="14.4" x14ac:dyDescent="0.3"/>
    <row r="4568" ht="14.4" x14ac:dyDescent="0.3"/>
    <row r="4569" ht="14.4" x14ac:dyDescent="0.3"/>
    <row r="4570" ht="14.4" x14ac:dyDescent="0.3"/>
    <row r="4571" ht="14.4" x14ac:dyDescent="0.3"/>
    <row r="4572" ht="14.4" x14ac:dyDescent="0.3"/>
    <row r="4573" ht="14.4" x14ac:dyDescent="0.3"/>
    <row r="4574" ht="14.4" x14ac:dyDescent="0.3"/>
    <row r="4575" ht="14.4" x14ac:dyDescent="0.3"/>
    <row r="4576" ht="14.4" x14ac:dyDescent="0.3"/>
    <row r="4577" ht="14.4" x14ac:dyDescent="0.3"/>
    <row r="4578" ht="14.4" x14ac:dyDescent="0.3"/>
    <row r="4579" ht="14.4" x14ac:dyDescent="0.3"/>
    <row r="4580" ht="14.4" x14ac:dyDescent="0.3"/>
    <row r="4581" ht="14.4" x14ac:dyDescent="0.3"/>
    <row r="4582" ht="14.4" x14ac:dyDescent="0.3"/>
    <row r="4583" ht="14.4" x14ac:dyDescent="0.3"/>
    <row r="4584" ht="14.4" x14ac:dyDescent="0.3"/>
    <row r="4585" ht="14.4" x14ac:dyDescent="0.3"/>
    <row r="4586" ht="14.4" x14ac:dyDescent="0.3"/>
    <row r="4587" ht="14.4" x14ac:dyDescent="0.3"/>
    <row r="4588" ht="14.4" x14ac:dyDescent="0.3"/>
    <row r="4589" ht="14.4" x14ac:dyDescent="0.3"/>
    <row r="4590" ht="14.4" x14ac:dyDescent="0.3"/>
    <row r="4591" ht="14.4" x14ac:dyDescent="0.3"/>
    <row r="4592" ht="14.4" x14ac:dyDescent="0.3"/>
    <row r="4593" ht="14.4" x14ac:dyDescent="0.3"/>
    <row r="4594" ht="14.4" x14ac:dyDescent="0.3"/>
    <row r="4595" ht="14.4" x14ac:dyDescent="0.3"/>
    <row r="4596" ht="14.4" x14ac:dyDescent="0.3"/>
    <row r="4597" ht="14.4" x14ac:dyDescent="0.3"/>
    <row r="4598" ht="14.4" x14ac:dyDescent="0.3"/>
    <row r="4599" ht="14.4" x14ac:dyDescent="0.3"/>
    <row r="4600" ht="14.4" x14ac:dyDescent="0.3"/>
    <row r="4601" ht="14.4" x14ac:dyDescent="0.3"/>
    <row r="4602" ht="14.4" x14ac:dyDescent="0.3"/>
    <row r="4603" ht="14.4" x14ac:dyDescent="0.3"/>
    <row r="4604" ht="14.4" x14ac:dyDescent="0.3"/>
    <row r="4605" ht="14.4" x14ac:dyDescent="0.3"/>
    <row r="4606" ht="14.4" x14ac:dyDescent="0.3"/>
    <row r="4607" ht="14.4" x14ac:dyDescent="0.3"/>
    <row r="4608" ht="14.4" x14ac:dyDescent="0.3"/>
    <row r="4609" ht="14.4" x14ac:dyDescent="0.3"/>
    <row r="4610" ht="14.4" x14ac:dyDescent="0.3"/>
    <row r="4611" ht="14.4" x14ac:dyDescent="0.3"/>
    <row r="4612" ht="14.4" x14ac:dyDescent="0.3"/>
    <row r="4613" ht="14.4" x14ac:dyDescent="0.3"/>
    <row r="4614" ht="14.4" x14ac:dyDescent="0.3"/>
    <row r="4615" ht="14.4" x14ac:dyDescent="0.3"/>
    <row r="4616" ht="14.4" x14ac:dyDescent="0.3"/>
    <row r="4617" ht="14.4" x14ac:dyDescent="0.3"/>
    <row r="4618" ht="14.4" x14ac:dyDescent="0.3"/>
    <row r="4619" ht="14.4" x14ac:dyDescent="0.3"/>
    <row r="4620" ht="14.4" x14ac:dyDescent="0.3"/>
    <row r="4621" ht="14.4" x14ac:dyDescent="0.3"/>
    <row r="4622" ht="14.4" x14ac:dyDescent="0.3"/>
    <row r="4623" ht="14.4" x14ac:dyDescent="0.3"/>
    <row r="4624" ht="14.4" x14ac:dyDescent="0.3"/>
    <row r="4625" ht="14.4" x14ac:dyDescent="0.3"/>
    <row r="4626" ht="14.4" x14ac:dyDescent="0.3"/>
    <row r="4627" ht="14.4" x14ac:dyDescent="0.3"/>
    <row r="4628" ht="14.4" x14ac:dyDescent="0.3"/>
    <row r="4629" ht="14.4" x14ac:dyDescent="0.3"/>
    <row r="4630" ht="14.4" x14ac:dyDescent="0.3"/>
    <row r="4631" ht="14.4" x14ac:dyDescent="0.3"/>
    <row r="4632" ht="14.4" x14ac:dyDescent="0.3"/>
    <row r="4633" ht="14.4" x14ac:dyDescent="0.3"/>
    <row r="4634" ht="14.4" x14ac:dyDescent="0.3"/>
    <row r="4635" ht="14.4" x14ac:dyDescent="0.3"/>
    <row r="4636" ht="14.4" x14ac:dyDescent="0.3"/>
    <row r="4637" ht="14.4" x14ac:dyDescent="0.3"/>
    <row r="4638" ht="14.4" x14ac:dyDescent="0.3"/>
    <row r="4639" ht="14.4" x14ac:dyDescent="0.3"/>
    <row r="4640" ht="14.4" x14ac:dyDescent="0.3"/>
    <row r="4641" ht="14.4" x14ac:dyDescent="0.3"/>
    <row r="4642" ht="14.4" x14ac:dyDescent="0.3"/>
    <row r="4643" ht="14.4" x14ac:dyDescent="0.3"/>
    <row r="4644" ht="14.4" x14ac:dyDescent="0.3"/>
    <row r="4645" ht="14.4" x14ac:dyDescent="0.3"/>
    <row r="4646" ht="14.4" x14ac:dyDescent="0.3"/>
    <row r="4647" ht="14.4" x14ac:dyDescent="0.3"/>
    <row r="4648" ht="14.4" x14ac:dyDescent="0.3"/>
    <row r="4649" ht="14.4" x14ac:dyDescent="0.3"/>
    <row r="4650" ht="14.4" x14ac:dyDescent="0.3"/>
    <row r="4651" ht="14.4" x14ac:dyDescent="0.3"/>
    <row r="4652" ht="14.4" x14ac:dyDescent="0.3"/>
    <row r="4653" ht="14.4" x14ac:dyDescent="0.3"/>
    <row r="4654" ht="14.4" x14ac:dyDescent="0.3"/>
    <row r="4655" ht="14.4" x14ac:dyDescent="0.3"/>
    <row r="4656" ht="14.4" x14ac:dyDescent="0.3"/>
    <row r="4657" ht="14.4" x14ac:dyDescent="0.3"/>
    <row r="4658" ht="14.4" x14ac:dyDescent="0.3"/>
    <row r="4659" ht="14.4" x14ac:dyDescent="0.3"/>
    <row r="4660" ht="14.4" x14ac:dyDescent="0.3"/>
    <row r="4661" ht="14.4" x14ac:dyDescent="0.3"/>
    <row r="4662" ht="14.4" x14ac:dyDescent="0.3"/>
    <row r="4663" ht="14.4" x14ac:dyDescent="0.3"/>
    <row r="4664" ht="14.4" x14ac:dyDescent="0.3"/>
    <row r="4665" ht="14.4" x14ac:dyDescent="0.3"/>
    <row r="4666" ht="14.4" x14ac:dyDescent="0.3"/>
    <row r="4667" ht="14.4" x14ac:dyDescent="0.3"/>
    <row r="4668" ht="14.4" x14ac:dyDescent="0.3"/>
    <row r="4669" ht="14.4" x14ac:dyDescent="0.3"/>
    <row r="4670" ht="14.4" x14ac:dyDescent="0.3"/>
    <row r="4671" ht="14.4" x14ac:dyDescent="0.3"/>
    <row r="4672" ht="14.4" x14ac:dyDescent="0.3"/>
    <row r="4673" ht="14.4" x14ac:dyDescent="0.3"/>
    <row r="4674" ht="14.4" x14ac:dyDescent="0.3"/>
    <row r="4675" ht="14.4" x14ac:dyDescent="0.3"/>
    <row r="4676" ht="14.4" x14ac:dyDescent="0.3"/>
    <row r="4677" ht="14.4" x14ac:dyDescent="0.3"/>
    <row r="4678" ht="14.4" x14ac:dyDescent="0.3"/>
    <row r="4679" ht="14.4" x14ac:dyDescent="0.3"/>
    <row r="4680" ht="14.4" x14ac:dyDescent="0.3"/>
    <row r="4681" ht="14.4" x14ac:dyDescent="0.3"/>
    <row r="4682" ht="14.4" x14ac:dyDescent="0.3"/>
    <row r="4683" ht="14.4" x14ac:dyDescent="0.3"/>
    <row r="4684" ht="14.4" x14ac:dyDescent="0.3"/>
    <row r="4685" ht="14.4" x14ac:dyDescent="0.3"/>
    <row r="4686" ht="14.4" x14ac:dyDescent="0.3"/>
    <row r="4687" ht="14.4" x14ac:dyDescent="0.3"/>
    <row r="4688" ht="14.4" x14ac:dyDescent="0.3"/>
    <row r="4689" ht="14.4" x14ac:dyDescent="0.3"/>
    <row r="4690" ht="14.4" x14ac:dyDescent="0.3"/>
    <row r="4691" ht="14.4" x14ac:dyDescent="0.3"/>
    <row r="4692" ht="14.4" x14ac:dyDescent="0.3"/>
    <row r="4693" ht="14.4" x14ac:dyDescent="0.3"/>
    <row r="4694" ht="14.4" x14ac:dyDescent="0.3"/>
    <row r="4695" ht="14.4" x14ac:dyDescent="0.3"/>
    <row r="4696" ht="14.4" x14ac:dyDescent="0.3"/>
    <row r="4697" ht="14.4" x14ac:dyDescent="0.3"/>
    <row r="4698" ht="14.4" x14ac:dyDescent="0.3"/>
    <row r="4699" ht="14.4" x14ac:dyDescent="0.3"/>
    <row r="4700" ht="14.4" x14ac:dyDescent="0.3"/>
    <row r="4701" ht="14.4" x14ac:dyDescent="0.3"/>
    <row r="4702" ht="14.4" x14ac:dyDescent="0.3"/>
    <row r="4703" ht="14.4" x14ac:dyDescent="0.3"/>
    <row r="4704" ht="14.4" x14ac:dyDescent="0.3"/>
    <row r="4705" ht="14.4" x14ac:dyDescent="0.3"/>
    <row r="4706" ht="14.4" x14ac:dyDescent="0.3"/>
    <row r="4707" ht="14.4" x14ac:dyDescent="0.3"/>
    <row r="4708" ht="14.4" x14ac:dyDescent="0.3"/>
    <row r="4709" ht="14.4" x14ac:dyDescent="0.3"/>
    <row r="4710" ht="14.4" x14ac:dyDescent="0.3"/>
    <row r="4711" ht="14.4" x14ac:dyDescent="0.3"/>
    <row r="4712" ht="14.4" x14ac:dyDescent="0.3"/>
    <row r="4713" ht="14.4" x14ac:dyDescent="0.3"/>
    <row r="4714" ht="14.4" x14ac:dyDescent="0.3"/>
    <row r="4715" ht="14.4" x14ac:dyDescent="0.3"/>
    <row r="4716" ht="14.4" x14ac:dyDescent="0.3"/>
    <row r="4717" ht="14.4" x14ac:dyDescent="0.3"/>
    <row r="4718" ht="14.4" x14ac:dyDescent="0.3"/>
    <row r="4719" ht="14.4" x14ac:dyDescent="0.3"/>
    <row r="4720" ht="14.4" x14ac:dyDescent="0.3"/>
    <row r="4721" ht="14.4" x14ac:dyDescent="0.3"/>
    <row r="4722" ht="14.4" x14ac:dyDescent="0.3"/>
    <row r="4723" ht="14.4" x14ac:dyDescent="0.3"/>
    <row r="4724" ht="14.4" x14ac:dyDescent="0.3"/>
    <row r="4725" ht="14.4" x14ac:dyDescent="0.3"/>
    <row r="4726" ht="14.4" x14ac:dyDescent="0.3"/>
    <row r="4727" ht="14.4" x14ac:dyDescent="0.3"/>
    <row r="4728" ht="14.4" x14ac:dyDescent="0.3"/>
    <row r="4729" ht="14.4" x14ac:dyDescent="0.3"/>
    <row r="4730" ht="14.4" x14ac:dyDescent="0.3"/>
    <row r="4731" ht="14.4" x14ac:dyDescent="0.3"/>
    <row r="4732" ht="14.4" x14ac:dyDescent="0.3"/>
    <row r="4733" ht="14.4" x14ac:dyDescent="0.3"/>
    <row r="4734" ht="14.4" x14ac:dyDescent="0.3"/>
    <row r="4735" ht="14.4" x14ac:dyDescent="0.3"/>
    <row r="4736" ht="14.4" x14ac:dyDescent="0.3"/>
    <row r="4737" ht="14.4" x14ac:dyDescent="0.3"/>
    <row r="4738" ht="14.4" x14ac:dyDescent="0.3"/>
    <row r="4739" ht="14.4" x14ac:dyDescent="0.3"/>
    <row r="4740" ht="14.4" x14ac:dyDescent="0.3"/>
    <row r="4741" ht="14.4" x14ac:dyDescent="0.3"/>
    <row r="4742" ht="14.4" x14ac:dyDescent="0.3"/>
    <row r="4743" ht="14.4" x14ac:dyDescent="0.3"/>
    <row r="4744" ht="14.4" x14ac:dyDescent="0.3"/>
    <row r="4745" ht="14.4" x14ac:dyDescent="0.3"/>
    <row r="4746" ht="14.4" x14ac:dyDescent="0.3"/>
    <row r="4747" ht="14.4" x14ac:dyDescent="0.3"/>
    <row r="4748" ht="14.4" x14ac:dyDescent="0.3"/>
    <row r="4749" ht="14.4" x14ac:dyDescent="0.3"/>
    <row r="4750" ht="14.4" x14ac:dyDescent="0.3"/>
    <row r="4751" ht="14.4" x14ac:dyDescent="0.3"/>
    <row r="4752" ht="14.4" x14ac:dyDescent="0.3"/>
    <row r="4753" ht="14.4" x14ac:dyDescent="0.3"/>
    <row r="4754" ht="14.4" x14ac:dyDescent="0.3"/>
    <row r="4755" ht="14.4" x14ac:dyDescent="0.3"/>
    <row r="4756" ht="14.4" x14ac:dyDescent="0.3"/>
    <row r="4757" ht="14.4" x14ac:dyDescent="0.3"/>
    <row r="4758" ht="14.4" x14ac:dyDescent="0.3"/>
    <row r="4759" ht="14.4" x14ac:dyDescent="0.3"/>
    <row r="4760" ht="14.4" x14ac:dyDescent="0.3"/>
    <row r="4761" ht="14.4" x14ac:dyDescent="0.3"/>
    <row r="4762" ht="14.4" x14ac:dyDescent="0.3"/>
    <row r="4763" ht="14.4" x14ac:dyDescent="0.3"/>
    <row r="4764" ht="14.4" x14ac:dyDescent="0.3"/>
    <row r="4765" ht="14.4" x14ac:dyDescent="0.3"/>
    <row r="4766" ht="14.4" x14ac:dyDescent="0.3"/>
    <row r="4767" ht="14.4" x14ac:dyDescent="0.3"/>
    <row r="4768" ht="14.4" x14ac:dyDescent="0.3"/>
    <row r="4769" ht="14.4" x14ac:dyDescent="0.3"/>
    <row r="4770" ht="14.4" x14ac:dyDescent="0.3"/>
    <row r="4771" ht="14.4" x14ac:dyDescent="0.3"/>
    <row r="4772" ht="14.4" x14ac:dyDescent="0.3"/>
    <row r="4773" ht="14.4" x14ac:dyDescent="0.3"/>
    <row r="4774" ht="14.4" x14ac:dyDescent="0.3"/>
    <row r="4775" ht="14.4" x14ac:dyDescent="0.3"/>
    <row r="4776" ht="14.4" x14ac:dyDescent="0.3"/>
    <row r="4777" ht="14.4" x14ac:dyDescent="0.3"/>
  </sheetData>
  <autoFilter ref="DE5:DE19" xr:uid="{128C4547-F138-49FB-9B6E-ED885C5AECB1}">
    <sortState xmlns:xlrd2="http://schemas.microsoft.com/office/spreadsheetml/2017/richdata2" ref="DE6:DE19">
      <sortCondition ref="DE5:DE19"/>
    </sortState>
  </autoFilter>
  <mergeCells count="6">
    <mergeCell ref="A2:W2"/>
    <mergeCell ref="AE2:AP2"/>
    <mergeCell ref="AR2:AZ2"/>
    <mergeCell ref="A3:W3"/>
    <mergeCell ref="AE3:AP3"/>
    <mergeCell ref="AR3:AZ3"/>
  </mergeCells>
  <conditionalFormatting sqref="DL6:DL115">
    <cfRule type="duplicateValues" dxfId="6" priority="3"/>
  </conditionalFormatting>
  <conditionalFormatting sqref="DL120:DL229">
    <cfRule type="duplicateValues" dxfId="5" priority="1"/>
  </conditionalFormatting>
  <conditionalFormatting sqref="DR6:DR15">
    <cfRule type="duplicateValues" dxfId="4" priority="2"/>
  </conditionalFormatting>
  <dataValidations disablePrompts="1" count="5">
    <dataValidation type="list" allowBlank="1" showInputMessage="1" showErrorMessage="1" sqref="B139:B153 B9:B135" xr:uid="{72EA9011-7499-48BD-9E45-FBDD62DC73AA}">
      <formula1>$R$6:$R$23</formula1>
    </dataValidation>
    <dataValidation type="list" allowBlank="1" showInputMessage="1" showErrorMessage="1" sqref="C144:C153 C9:C135" xr:uid="{C75B805D-0A84-4298-8EC6-6EE95FA36A81}">
      <formula1>$AB$6:$AB$134</formula1>
    </dataValidation>
    <dataValidation type="list" allowBlank="1" showInputMessage="1" showErrorMessage="1" sqref="AF6:AF157" xr:uid="{907A083F-3317-42CC-B5C2-21C73AEDF58C}">
      <formula1>$AJ$6:$AJ$10</formula1>
    </dataValidation>
    <dataValidation type="list" allowBlank="1" showInputMessage="1" showErrorMessage="1" sqref="AG6:AG157" xr:uid="{86FB00F4-FC5F-4CEA-9108-3FF743FEDE0A}">
      <formula1>$AO$6:$AO$29</formula1>
    </dataValidation>
    <dataValidation type="list" allowBlank="1" showInputMessage="1" showErrorMessage="1" sqref="AH6:AH157" xr:uid="{C73CB55C-43E9-422D-AFE6-C1BB7817E200}">
      <formula1>$AQ$6:$AQ$157</formula1>
    </dataValidation>
  </dataValidations>
  <pageMargins left="0.7" right="0.7" top="0.75" bottom="0.75" header="0.3" footer="0.3"/>
  <pageSetup orientation="portrait" r:id="rId1"/>
  <legacyDrawing r:id="rId2"/>
  <tableParts count="98">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AB207"/>
  <sheetViews>
    <sheetView workbookViewId="0">
      <pane ySplit="1" topLeftCell="A2" activePane="bottomLeft" state="frozen"/>
      <selection activeCell="Y1" sqref="Y1"/>
      <selection pane="bottomLeft" activeCell="Y1" sqref="Y1"/>
    </sheetView>
  </sheetViews>
  <sheetFormatPr defaultRowHeight="14.4" x14ac:dyDescent="0.3"/>
  <cols>
    <col min="1" max="1" width="32" customWidth="1"/>
    <col min="2" max="2" width="8" customWidth="1"/>
    <col min="3" max="4" width="35" customWidth="1"/>
    <col min="5" max="6" width="28" customWidth="1"/>
    <col min="7" max="7" width="22" customWidth="1"/>
    <col min="8" max="8" width="38" customWidth="1"/>
    <col min="9" max="10" width="22" customWidth="1"/>
    <col min="11" max="11" width="14" customWidth="1"/>
    <col min="12" max="12" width="12" customWidth="1"/>
    <col min="13" max="13" width="14" customWidth="1"/>
    <col min="14" max="14" width="30" customWidth="1"/>
    <col min="15" max="15" width="18" customWidth="1"/>
    <col min="16" max="16" width="22" customWidth="1"/>
    <col min="17" max="17" width="40" customWidth="1"/>
    <col min="18" max="18" width="35" customWidth="1"/>
    <col min="19" max="19" width="16" customWidth="1"/>
    <col min="20" max="20" width="18" customWidth="1"/>
    <col min="21" max="21" width="14" customWidth="1"/>
    <col min="22" max="23" width="22" customWidth="1"/>
  </cols>
  <sheetData>
    <row r="1" spans="1:28" ht="30" customHeight="1" x14ac:dyDescent="0.3">
      <c r="A1" s="1" t="s">
        <v>6</v>
      </c>
      <c r="B1" s="1" t="s">
        <v>7</v>
      </c>
      <c r="C1" s="1" t="s">
        <v>523</v>
      </c>
      <c r="D1" s="1" t="s">
        <v>524</v>
      </c>
      <c r="E1" s="1" t="s">
        <v>525</v>
      </c>
      <c r="F1" s="1" t="s">
        <v>526</v>
      </c>
      <c r="G1" s="1" t="s">
        <v>0</v>
      </c>
      <c r="H1" s="1" t="s">
        <v>1</v>
      </c>
      <c r="I1" s="1" t="s">
        <v>11</v>
      </c>
      <c r="J1" s="1" t="s">
        <v>2</v>
      </c>
      <c r="K1" s="1" t="s">
        <v>3</v>
      </c>
      <c r="L1" s="1" t="s">
        <v>527</v>
      </c>
      <c r="M1" s="1" t="s">
        <v>12</v>
      </c>
      <c r="N1" s="1" t="s">
        <v>528</v>
      </c>
      <c r="O1" s="1" t="s">
        <v>529</v>
      </c>
      <c r="P1" s="1" t="s">
        <v>530</v>
      </c>
      <c r="Q1" s="1" t="s">
        <v>531</v>
      </c>
      <c r="R1" s="1" t="s">
        <v>532</v>
      </c>
      <c r="S1" s="1" t="s">
        <v>533</v>
      </c>
      <c r="T1" s="1" t="s">
        <v>534</v>
      </c>
      <c r="U1" s="1" t="s">
        <v>535</v>
      </c>
      <c r="V1" s="1" t="s">
        <v>536</v>
      </c>
      <c r="W1" s="1" t="s">
        <v>4</v>
      </c>
      <c r="X1" s="1" t="s">
        <v>7</v>
      </c>
      <c r="Y1" s="1" t="s">
        <v>8</v>
      </c>
      <c r="Z1" s="1" t="s">
        <v>9</v>
      </c>
      <c r="AA1" s="1" t="s">
        <v>10</v>
      </c>
      <c r="AB1" s="1" t="s">
        <v>13</v>
      </c>
    </row>
    <row r="2" spans="1:28" x14ac:dyDescent="0.3">
      <c r="A2" s="2" t="s">
        <v>14</v>
      </c>
      <c r="B2" s="2" t="s">
        <v>15</v>
      </c>
      <c r="C2" s="2" t="s">
        <v>537</v>
      </c>
      <c r="D2" s="2" t="s">
        <v>538</v>
      </c>
      <c r="E2" s="2"/>
      <c r="F2" s="2" t="s">
        <v>37</v>
      </c>
      <c r="G2" s="2"/>
      <c r="H2" s="2" t="s">
        <v>16</v>
      </c>
      <c r="I2" s="2" t="s">
        <v>17</v>
      </c>
      <c r="J2" s="2" t="s">
        <v>17</v>
      </c>
      <c r="K2" s="2" t="s">
        <v>18</v>
      </c>
      <c r="L2" s="2" t="s">
        <v>539</v>
      </c>
      <c r="M2" s="2"/>
      <c r="N2" s="2"/>
      <c r="O2" s="2" t="s">
        <v>540</v>
      </c>
      <c r="P2" s="2" t="s">
        <v>541</v>
      </c>
      <c r="Q2" s="2"/>
      <c r="R2" s="2"/>
      <c r="S2" s="2" t="s">
        <v>33</v>
      </c>
      <c r="T2" s="2" t="s">
        <v>33</v>
      </c>
      <c r="U2" s="2" t="s">
        <v>33</v>
      </c>
      <c r="V2" s="2" t="s">
        <v>542</v>
      </c>
      <c r="W2" s="2" t="s">
        <v>20</v>
      </c>
      <c r="X2" s="2" t="s">
        <v>15</v>
      </c>
      <c r="Y2" s="2"/>
      <c r="Z2" s="2"/>
      <c r="AA2" s="2" t="s">
        <v>10</v>
      </c>
      <c r="AB2" s="2" t="s">
        <v>19</v>
      </c>
    </row>
    <row r="3" spans="1:28" ht="27.6" x14ac:dyDescent="0.3">
      <c r="A3" s="2" t="s">
        <v>14</v>
      </c>
      <c r="B3" s="2" t="s">
        <v>15</v>
      </c>
      <c r="C3" s="2" t="s">
        <v>537</v>
      </c>
      <c r="D3" s="2" t="s">
        <v>538</v>
      </c>
      <c r="E3" s="2"/>
      <c r="F3" s="2" t="s">
        <v>37</v>
      </c>
      <c r="G3" s="2"/>
      <c r="H3" s="2" t="s">
        <v>21</v>
      </c>
      <c r="I3" s="2" t="s">
        <v>22</v>
      </c>
      <c r="J3" s="2" t="s">
        <v>22</v>
      </c>
      <c r="K3" s="2" t="s">
        <v>23</v>
      </c>
      <c r="L3" s="2" t="s">
        <v>360</v>
      </c>
      <c r="M3" s="2"/>
      <c r="N3" s="2"/>
      <c r="O3" s="2" t="s">
        <v>540</v>
      </c>
      <c r="P3" s="2" t="s">
        <v>543</v>
      </c>
      <c r="Q3" s="2"/>
      <c r="R3" s="2"/>
      <c r="S3" s="2" t="s">
        <v>33</v>
      </c>
      <c r="T3" s="2" t="s">
        <v>33</v>
      </c>
      <c r="U3" s="2"/>
      <c r="V3" s="2" t="s">
        <v>542</v>
      </c>
      <c r="W3" s="2" t="s">
        <v>20</v>
      </c>
      <c r="X3" s="2" t="s">
        <v>15</v>
      </c>
      <c r="Y3" s="2"/>
      <c r="Z3" s="2"/>
      <c r="AA3" s="2" t="s">
        <v>10</v>
      </c>
      <c r="AB3" s="2" t="s">
        <v>19</v>
      </c>
    </row>
    <row r="4" spans="1:28" x14ac:dyDescent="0.3">
      <c r="A4" s="2" t="s">
        <v>14</v>
      </c>
      <c r="B4" s="2" t="s">
        <v>15</v>
      </c>
      <c r="C4" s="2" t="s">
        <v>537</v>
      </c>
      <c r="D4" s="2" t="s">
        <v>538</v>
      </c>
      <c r="E4" s="2"/>
      <c r="F4" s="2" t="s">
        <v>37</v>
      </c>
      <c r="G4" s="2"/>
      <c r="H4" s="2" t="s">
        <v>24</v>
      </c>
      <c r="I4" s="2" t="s">
        <v>25</v>
      </c>
      <c r="J4" s="2" t="s">
        <v>25</v>
      </c>
      <c r="K4" s="2" t="s">
        <v>18</v>
      </c>
      <c r="L4" s="2" t="s">
        <v>539</v>
      </c>
      <c r="M4" s="2"/>
      <c r="N4" s="2"/>
      <c r="O4" s="2" t="s">
        <v>540</v>
      </c>
      <c r="P4" s="2" t="s">
        <v>541</v>
      </c>
      <c r="Q4" s="2"/>
      <c r="R4" s="2"/>
      <c r="S4" s="2" t="s">
        <v>33</v>
      </c>
      <c r="T4" s="2" t="s">
        <v>33</v>
      </c>
      <c r="U4" s="2" t="s">
        <v>33</v>
      </c>
      <c r="V4" s="2" t="s">
        <v>542</v>
      </c>
      <c r="W4" s="2" t="s">
        <v>20</v>
      </c>
      <c r="X4" s="2" t="s">
        <v>15</v>
      </c>
      <c r="Y4" s="2"/>
      <c r="Z4" s="2"/>
      <c r="AA4" s="2" t="s">
        <v>10</v>
      </c>
      <c r="AB4" s="2" t="s">
        <v>19</v>
      </c>
    </row>
    <row r="5" spans="1:28" x14ac:dyDescent="0.3">
      <c r="A5" s="2" t="s">
        <v>14</v>
      </c>
      <c r="B5" s="2" t="s">
        <v>15</v>
      </c>
      <c r="C5" s="2" t="s">
        <v>537</v>
      </c>
      <c r="D5" s="2" t="s">
        <v>538</v>
      </c>
      <c r="E5" s="2"/>
      <c r="F5" s="2" t="s">
        <v>37</v>
      </c>
      <c r="G5" s="2"/>
      <c r="H5" s="2" t="s">
        <v>26</v>
      </c>
      <c r="I5" s="2" t="s">
        <v>28</v>
      </c>
      <c r="J5" s="2" t="s">
        <v>28</v>
      </c>
      <c r="K5" s="2" t="s">
        <v>18</v>
      </c>
      <c r="L5" s="2" t="s">
        <v>544</v>
      </c>
      <c r="M5" s="2"/>
      <c r="N5" s="2"/>
      <c r="O5" s="2" t="s">
        <v>318</v>
      </c>
      <c r="P5" s="2" t="s">
        <v>545</v>
      </c>
      <c r="Q5" s="2"/>
      <c r="R5" s="2"/>
      <c r="S5" s="2" t="s">
        <v>33</v>
      </c>
      <c r="T5" s="2" t="s">
        <v>33</v>
      </c>
      <c r="U5" s="2" t="s">
        <v>33</v>
      </c>
      <c r="V5" s="2" t="s">
        <v>542</v>
      </c>
      <c r="W5" s="2" t="s">
        <v>20</v>
      </c>
      <c r="X5" s="2" t="s">
        <v>15</v>
      </c>
      <c r="Y5" s="2"/>
      <c r="Z5" s="2"/>
      <c r="AA5" s="2" t="s">
        <v>27</v>
      </c>
      <c r="AB5" s="2" t="s">
        <v>19</v>
      </c>
    </row>
    <row r="6" spans="1:28" x14ac:dyDescent="0.3">
      <c r="A6" s="2" t="s">
        <v>14</v>
      </c>
      <c r="B6" s="2" t="s">
        <v>15</v>
      </c>
      <c r="C6" s="2" t="s">
        <v>537</v>
      </c>
      <c r="D6" s="2" t="s">
        <v>538</v>
      </c>
      <c r="E6" s="2"/>
      <c r="F6" s="2" t="s">
        <v>37</v>
      </c>
      <c r="G6" s="2"/>
      <c r="H6" s="2" t="s">
        <v>29</v>
      </c>
      <c r="I6" s="2" t="s">
        <v>30</v>
      </c>
      <c r="J6" s="2" t="s">
        <v>30</v>
      </c>
      <c r="K6" s="2" t="s">
        <v>18</v>
      </c>
      <c r="L6" s="2" t="s">
        <v>544</v>
      </c>
      <c r="M6" s="2"/>
      <c r="N6" s="2"/>
      <c r="O6" s="2" t="s">
        <v>318</v>
      </c>
      <c r="P6" s="2" t="s">
        <v>545</v>
      </c>
      <c r="Q6" s="2"/>
      <c r="R6" s="2"/>
      <c r="S6" s="2" t="s">
        <v>33</v>
      </c>
      <c r="T6" s="2" t="s">
        <v>33</v>
      </c>
      <c r="U6" s="2" t="s">
        <v>33</v>
      </c>
      <c r="V6" s="2" t="s">
        <v>542</v>
      </c>
      <c r="W6" s="2" t="s">
        <v>20</v>
      </c>
      <c r="X6" s="2" t="s">
        <v>15</v>
      </c>
      <c r="Y6" s="2"/>
      <c r="Z6" s="2"/>
      <c r="AA6" s="2" t="s">
        <v>27</v>
      </c>
      <c r="AB6" s="2" t="s">
        <v>19</v>
      </c>
    </row>
    <row r="7" spans="1:28" ht="27.6" x14ac:dyDescent="0.3">
      <c r="A7" s="2" t="s">
        <v>14</v>
      </c>
      <c r="B7" s="2" t="s">
        <v>15</v>
      </c>
      <c r="C7" s="2" t="s">
        <v>537</v>
      </c>
      <c r="D7" s="2" t="s">
        <v>546</v>
      </c>
      <c r="E7" s="2"/>
      <c r="F7" s="2" t="s">
        <v>37</v>
      </c>
      <c r="G7" s="2"/>
      <c r="H7" s="2" t="s">
        <v>31</v>
      </c>
      <c r="I7" s="2">
        <v>178308</v>
      </c>
      <c r="J7" s="2">
        <v>190983</v>
      </c>
      <c r="K7" s="2" t="s">
        <v>18</v>
      </c>
      <c r="L7" s="2" t="s">
        <v>539</v>
      </c>
      <c r="M7" s="2" t="s">
        <v>32</v>
      </c>
      <c r="N7" s="2" t="s">
        <v>547</v>
      </c>
      <c r="O7" s="2" t="s">
        <v>540</v>
      </c>
      <c r="P7" s="2" t="s">
        <v>541</v>
      </c>
      <c r="Q7" s="2"/>
      <c r="R7" s="2" t="s">
        <v>548</v>
      </c>
      <c r="S7" s="2" t="s">
        <v>19</v>
      </c>
      <c r="T7" s="2" t="s">
        <v>33</v>
      </c>
      <c r="U7" s="2"/>
      <c r="V7" s="2" t="s">
        <v>542</v>
      </c>
      <c r="W7" s="2" t="s">
        <v>20</v>
      </c>
      <c r="X7" s="2" t="s">
        <v>15</v>
      </c>
      <c r="Y7" s="2"/>
      <c r="Z7" s="2"/>
      <c r="AA7" s="2" t="s">
        <v>10</v>
      </c>
      <c r="AB7" s="2" t="s">
        <v>33</v>
      </c>
    </row>
    <row r="8" spans="1:28" ht="27.6" x14ac:dyDescent="0.3">
      <c r="A8" s="2" t="s">
        <v>14</v>
      </c>
      <c r="B8" s="2" t="s">
        <v>15</v>
      </c>
      <c r="C8" s="2" t="s">
        <v>537</v>
      </c>
      <c r="D8" s="2" t="s">
        <v>546</v>
      </c>
      <c r="E8" s="2"/>
      <c r="F8" s="2" t="s">
        <v>37</v>
      </c>
      <c r="G8" s="2"/>
      <c r="H8" s="2" t="s">
        <v>34</v>
      </c>
      <c r="I8" s="2">
        <v>178309</v>
      </c>
      <c r="J8" s="2">
        <v>190984</v>
      </c>
      <c r="K8" s="2" t="s">
        <v>18</v>
      </c>
      <c r="L8" s="2" t="s">
        <v>539</v>
      </c>
      <c r="M8" s="2" t="s">
        <v>35</v>
      </c>
      <c r="N8" s="2" t="s">
        <v>547</v>
      </c>
      <c r="O8" s="2" t="s">
        <v>540</v>
      </c>
      <c r="P8" s="2" t="s">
        <v>541</v>
      </c>
      <c r="Q8" s="2"/>
      <c r="R8" s="2" t="s">
        <v>548</v>
      </c>
      <c r="S8" s="2" t="s">
        <v>19</v>
      </c>
      <c r="T8" s="2" t="s">
        <v>33</v>
      </c>
      <c r="U8" s="2"/>
      <c r="V8" s="2" t="s">
        <v>542</v>
      </c>
      <c r="W8" s="2" t="s">
        <v>20</v>
      </c>
      <c r="X8" s="2" t="s">
        <v>15</v>
      </c>
      <c r="Y8" s="2"/>
      <c r="Z8" s="2"/>
      <c r="AA8" s="2" t="s">
        <v>10</v>
      </c>
      <c r="AB8" s="2" t="s">
        <v>33</v>
      </c>
    </row>
    <row r="9" spans="1:28" ht="27.6" x14ac:dyDescent="0.3">
      <c r="A9" s="2" t="s">
        <v>14</v>
      </c>
      <c r="B9" s="2" t="s">
        <v>15</v>
      </c>
      <c r="C9" s="2" t="s">
        <v>537</v>
      </c>
      <c r="D9" s="2" t="s">
        <v>546</v>
      </c>
      <c r="E9" s="2"/>
      <c r="F9" s="2" t="s">
        <v>37</v>
      </c>
      <c r="G9" s="2"/>
      <c r="H9" s="2" t="s">
        <v>36</v>
      </c>
      <c r="I9" s="2">
        <v>178311</v>
      </c>
      <c r="J9" s="2">
        <v>190985</v>
      </c>
      <c r="K9" s="2" t="s">
        <v>18</v>
      </c>
      <c r="L9" s="2" t="s">
        <v>539</v>
      </c>
      <c r="M9" s="2" t="s">
        <v>32</v>
      </c>
      <c r="N9" s="2" t="s">
        <v>547</v>
      </c>
      <c r="O9" s="2" t="s">
        <v>540</v>
      </c>
      <c r="P9" s="2" t="s">
        <v>541</v>
      </c>
      <c r="Q9" s="2"/>
      <c r="R9" s="2" t="s">
        <v>548</v>
      </c>
      <c r="S9" s="2" t="s">
        <v>19</v>
      </c>
      <c r="T9" s="2" t="s">
        <v>33</v>
      </c>
      <c r="U9" s="2"/>
      <c r="V9" s="2" t="s">
        <v>542</v>
      </c>
      <c r="W9" s="2" t="s">
        <v>20</v>
      </c>
      <c r="X9" s="2" t="s">
        <v>15</v>
      </c>
      <c r="Y9" s="2"/>
      <c r="Z9" s="2"/>
      <c r="AA9" s="2" t="s">
        <v>10</v>
      </c>
      <c r="AB9" s="2" t="s">
        <v>33</v>
      </c>
    </row>
    <row r="10" spans="1:28" ht="27.6" x14ac:dyDescent="0.3">
      <c r="A10" s="2" t="s">
        <v>14</v>
      </c>
      <c r="B10" s="2" t="s">
        <v>15</v>
      </c>
      <c r="C10" s="2" t="s">
        <v>537</v>
      </c>
      <c r="D10" s="2" t="s">
        <v>546</v>
      </c>
      <c r="E10" s="2"/>
      <c r="F10" s="2" t="s">
        <v>37</v>
      </c>
      <c r="G10" s="2"/>
      <c r="H10" s="2" t="s">
        <v>37</v>
      </c>
      <c r="I10" s="2">
        <v>178312</v>
      </c>
      <c r="J10" s="2">
        <v>190986</v>
      </c>
      <c r="K10" s="2" t="s">
        <v>18</v>
      </c>
      <c r="L10" s="2" t="s">
        <v>539</v>
      </c>
      <c r="M10" s="2" t="s">
        <v>35</v>
      </c>
      <c r="N10" s="2" t="s">
        <v>547</v>
      </c>
      <c r="O10" s="2" t="s">
        <v>540</v>
      </c>
      <c r="P10" s="2" t="s">
        <v>541</v>
      </c>
      <c r="Q10" s="2"/>
      <c r="R10" s="2" t="s">
        <v>548</v>
      </c>
      <c r="S10" s="2" t="s">
        <v>19</v>
      </c>
      <c r="T10" s="2" t="s">
        <v>33</v>
      </c>
      <c r="U10" s="2"/>
      <c r="V10" s="2" t="s">
        <v>542</v>
      </c>
      <c r="W10" s="2" t="s">
        <v>20</v>
      </c>
      <c r="X10" s="2" t="s">
        <v>15</v>
      </c>
      <c r="Y10" s="2"/>
      <c r="Z10" s="2"/>
      <c r="AA10" s="2" t="s">
        <v>10</v>
      </c>
      <c r="AB10" s="2" t="s">
        <v>33</v>
      </c>
    </row>
    <row r="11" spans="1:28" ht="69" x14ac:dyDescent="0.3">
      <c r="A11" s="2" t="s">
        <v>14</v>
      </c>
      <c r="B11" s="2" t="s">
        <v>15</v>
      </c>
      <c r="C11" s="2" t="s">
        <v>537</v>
      </c>
      <c r="D11" s="2" t="s">
        <v>546</v>
      </c>
      <c r="E11" s="2"/>
      <c r="F11" s="2" t="s">
        <v>37</v>
      </c>
      <c r="G11" s="2"/>
      <c r="H11" s="2" t="s">
        <v>38</v>
      </c>
      <c r="I11" s="2">
        <v>178340</v>
      </c>
      <c r="J11" s="2">
        <v>190987</v>
      </c>
      <c r="K11" s="2" t="s">
        <v>18</v>
      </c>
      <c r="L11" s="2" t="s">
        <v>539</v>
      </c>
      <c r="M11" s="2" t="s">
        <v>35</v>
      </c>
      <c r="N11" s="2" t="s">
        <v>547</v>
      </c>
      <c r="O11" s="2" t="s">
        <v>540</v>
      </c>
      <c r="P11" s="2" t="s">
        <v>541</v>
      </c>
      <c r="Q11" s="2"/>
      <c r="R11" s="2" t="s">
        <v>549</v>
      </c>
      <c r="S11" s="2" t="s">
        <v>19</v>
      </c>
      <c r="T11" s="2" t="s">
        <v>33</v>
      </c>
      <c r="U11" s="2"/>
      <c r="V11" s="2" t="s">
        <v>542</v>
      </c>
      <c r="W11" s="2" t="s">
        <v>20</v>
      </c>
      <c r="X11" s="2" t="s">
        <v>15</v>
      </c>
      <c r="Y11" s="2"/>
      <c r="Z11" s="2"/>
      <c r="AA11" s="2" t="s">
        <v>10</v>
      </c>
      <c r="AB11" s="2" t="s">
        <v>33</v>
      </c>
    </row>
    <row r="12" spans="1:28" ht="55.2" x14ac:dyDescent="0.3">
      <c r="A12" s="2" t="s">
        <v>14</v>
      </c>
      <c r="B12" s="2" t="s">
        <v>15</v>
      </c>
      <c r="C12" s="2" t="s">
        <v>537</v>
      </c>
      <c r="D12" s="2" t="s">
        <v>546</v>
      </c>
      <c r="E12" s="2"/>
      <c r="F12" s="2" t="s">
        <v>37</v>
      </c>
      <c r="G12" s="2"/>
      <c r="H12" s="2" t="s">
        <v>39</v>
      </c>
      <c r="I12" s="2">
        <v>178310</v>
      </c>
      <c r="J12" s="2">
        <v>190988</v>
      </c>
      <c r="K12" s="2" t="s">
        <v>18</v>
      </c>
      <c r="L12" s="2" t="s">
        <v>539</v>
      </c>
      <c r="M12" s="2" t="s">
        <v>32</v>
      </c>
      <c r="N12" s="2" t="s">
        <v>547</v>
      </c>
      <c r="O12" s="2" t="s">
        <v>318</v>
      </c>
      <c r="P12" s="2" t="s">
        <v>541</v>
      </c>
      <c r="Q12" s="2"/>
      <c r="R12" s="2" t="s">
        <v>550</v>
      </c>
      <c r="S12" s="2" t="s">
        <v>19</v>
      </c>
      <c r="T12" s="2" t="s">
        <v>33</v>
      </c>
      <c r="U12" s="2"/>
      <c r="V12" s="2" t="s">
        <v>542</v>
      </c>
      <c r="W12" s="2" t="s">
        <v>20</v>
      </c>
      <c r="X12" s="2" t="s">
        <v>15</v>
      </c>
      <c r="Y12" s="2"/>
      <c r="Z12" s="2"/>
      <c r="AA12" s="2" t="s">
        <v>27</v>
      </c>
      <c r="AB12" s="2" t="s">
        <v>33</v>
      </c>
    </row>
    <row r="13" spans="1:28" ht="69" x14ac:dyDescent="0.3">
      <c r="A13" s="2" t="s">
        <v>14</v>
      </c>
      <c r="B13" s="2" t="s">
        <v>15</v>
      </c>
      <c r="C13" s="2" t="s">
        <v>537</v>
      </c>
      <c r="D13" s="2" t="s">
        <v>546</v>
      </c>
      <c r="E13" s="2"/>
      <c r="F13" s="2" t="s">
        <v>37</v>
      </c>
      <c r="G13" s="2"/>
      <c r="H13" s="2" t="s">
        <v>40</v>
      </c>
      <c r="I13" s="2">
        <v>3399</v>
      </c>
      <c r="J13" s="2">
        <v>3399</v>
      </c>
      <c r="K13" s="2" t="s">
        <v>18</v>
      </c>
      <c r="L13" s="2" t="s">
        <v>539</v>
      </c>
      <c r="M13" s="2" t="s">
        <v>32</v>
      </c>
      <c r="N13" s="2" t="s">
        <v>547</v>
      </c>
      <c r="O13" s="2" t="s">
        <v>540</v>
      </c>
      <c r="P13" s="2" t="s">
        <v>541</v>
      </c>
      <c r="Q13" s="2"/>
      <c r="R13" s="2" t="s">
        <v>549</v>
      </c>
      <c r="S13" s="2" t="s">
        <v>33</v>
      </c>
      <c r="T13" s="2" t="s">
        <v>33</v>
      </c>
      <c r="U13" s="2"/>
      <c r="V13" s="2" t="s">
        <v>542</v>
      </c>
      <c r="W13" s="2" t="s">
        <v>20</v>
      </c>
      <c r="X13" s="2" t="s">
        <v>15</v>
      </c>
      <c r="Y13" s="2"/>
      <c r="Z13" s="2"/>
      <c r="AA13" s="2" t="s">
        <v>10</v>
      </c>
      <c r="AB13" s="2" t="s">
        <v>33</v>
      </c>
    </row>
    <row r="14" spans="1:28" ht="27.6" x14ac:dyDescent="0.3">
      <c r="A14" s="2" t="s">
        <v>14</v>
      </c>
      <c r="B14" s="2" t="s">
        <v>15</v>
      </c>
      <c r="C14" s="2" t="s">
        <v>537</v>
      </c>
      <c r="D14" s="2" t="s">
        <v>546</v>
      </c>
      <c r="E14" s="2"/>
      <c r="F14" s="2" t="s">
        <v>37</v>
      </c>
      <c r="G14" s="2"/>
      <c r="H14" s="2" t="s">
        <v>41</v>
      </c>
      <c r="I14" s="2">
        <v>178339</v>
      </c>
      <c r="J14" s="2">
        <v>190989</v>
      </c>
      <c r="K14" s="2" t="s">
        <v>18</v>
      </c>
      <c r="L14" s="2" t="s">
        <v>539</v>
      </c>
      <c r="M14" s="2" t="s">
        <v>35</v>
      </c>
      <c r="N14" s="2" t="s">
        <v>547</v>
      </c>
      <c r="O14" s="2" t="s">
        <v>540</v>
      </c>
      <c r="P14" s="2" t="s">
        <v>541</v>
      </c>
      <c r="Q14" s="2"/>
      <c r="R14" s="2" t="s">
        <v>548</v>
      </c>
      <c r="S14" s="2" t="s">
        <v>19</v>
      </c>
      <c r="T14" s="2" t="s">
        <v>33</v>
      </c>
      <c r="U14" s="2"/>
      <c r="V14" s="2" t="s">
        <v>542</v>
      </c>
      <c r="W14" s="2" t="s">
        <v>20</v>
      </c>
      <c r="X14" s="2" t="s">
        <v>15</v>
      </c>
      <c r="Y14" s="2"/>
      <c r="Z14" s="2"/>
      <c r="AA14" s="2" t="s">
        <v>10</v>
      </c>
      <c r="AB14" s="2" t="s">
        <v>33</v>
      </c>
    </row>
    <row r="15" spans="1:28" ht="27.6" x14ac:dyDescent="0.3">
      <c r="A15" s="2" t="s">
        <v>14</v>
      </c>
      <c r="B15" s="2" t="s">
        <v>15</v>
      </c>
      <c r="C15" s="2" t="s">
        <v>537</v>
      </c>
      <c r="D15" s="2" t="s">
        <v>546</v>
      </c>
      <c r="E15" s="2"/>
      <c r="F15" s="2" t="s">
        <v>37</v>
      </c>
      <c r="G15" s="2"/>
      <c r="H15" s="2" t="s">
        <v>42</v>
      </c>
      <c r="I15" s="2">
        <v>4181</v>
      </c>
      <c r="J15" s="2">
        <v>4181</v>
      </c>
      <c r="K15" s="2" t="s">
        <v>18</v>
      </c>
      <c r="L15" s="2" t="s">
        <v>539</v>
      </c>
      <c r="M15" s="2" t="s">
        <v>35</v>
      </c>
      <c r="N15" s="2" t="s">
        <v>547</v>
      </c>
      <c r="O15" s="2" t="s">
        <v>540</v>
      </c>
      <c r="P15" s="2" t="s">
        <v>541</v>
      </c>
      <c r="Q15" s="2"/>
      <c r="R15" s="2" t="s">
        <v>548</v>
      </c>
      <c r="S15" s="2" t="s">
        <v>33</v>
      </c>
      <c r="T15" s="2" t="s">
        <v>33</v>
      </c>
      <c r="U15" s="2"/>
      <c r="V15" s="2" t="s">
        <v>542</v>
      </c>
      <c r="W15" s="2" t="s">
        <v>20</v>
      </c>
      <c r="X15" s="2" t="s">
        <v>15</v>
      </c>
      <c r="Y15" s="2"/>
      <c r="Z15" s="2"/>
      <c r="AA15" s="2" t="s">
        <v>10</v>
      </c>
      <c r="AB15" s="2" t="s">
        <v>33</v>
      </c>
    </row>
    <row r="16" spans="1:28" ht="27.6" x14ac:dyDescent="0.3">
      <c r="A16" s="2" t="s">
        <v>14</v>
      </c>
      <c r="B16" s="2" t="s">
        <v>15</v>
      </c>
      <c r="C16" s="2" t="s">
        <v>551</v>
      </c>
      <c r="D16" s="2" t="s">
        <v>552</v>
      </c>
      <c r="E16" s="2"/>
      <c r="F16" s="2" t="s">
        <v>38</v>
      </c>
      <c r="G16" s="2"/>
      <c r="H16" s="2" t="s">
        <v>43</v>
      </c>
      <c r="I16" s="2" t="s">
        <v>44</v>
      </c>
      <c r="J16" s="2" t="s">
        <v>44</v>
      </c>
      <c r="K16" s="2" t="s">
        <v>18</v>
      </c>
      <c r="L16" s="2" t="s">
        <v>539</v>
      </c>
      <c r="M16" s="2"/>
      <c r="N16" s="2"/>
      <c r="O16" s="2" t="s">
        <v>318</v>
      </c>
      <c r="P16" s="2"/>
      <c r="Q16" s="2"/>
      <c r="R16" s="2" t="s">
        <v>553</v>
      </c>
      <c r="S16" s="2" t="s">
        <v>33</v>
      </c>
      <c r="T16" s="2" t="s">
        <v>33</v>
      </c>
      <c r="U16" s="2" t="s">
        <v>33</v>
      </c>
      <c r="V16" s="2" t="s">
        <v>554</v>
      </c>
      <c r="W16" s="2" t="s">
        <v>20</v>
      </c>
      <c r="X16" s="2" t="s">
        <v>15</v>
      </c>
      <c r="Y16" s="2"/>
      <c r="Z16" s="2"/>
      <c r="AA16" s="2" t="s">
        <v>27</v>
      </c>
      <c r="AB16" s="2" t="s">
        <v>19</v>
      </c>
    </row>
    <row r="17" spans="1:28" ht="41.4" x14ac:dyDescent="0.3">
      <c r="A17" s="2" t="s">
        <v>14</v>
      </c>
      <c r="B17" s="2" t="s">
        <v>15</v>
      </c>
      <c r="C17" s="2" t="s">
        <v>551</v>
      </c>
      <c r="D17" s="2" t="s">
        <v>552</v>
      </c>
      <c r="E17" s="2"/>
      <c r="F17" s="2" t="s">
        <v>38</v>
      </c>
      <c r="G17" s="2"/>
      <c r="H17" s="2" t="s">
        <v>45</v>
      </c>
      <c r="I17" s="2" t="s">
        <v>46</v>
      </c>
      <c r="J17" s="2" t="s">
        <v>46</v>
      </c>
      <c r="K17" s="2" t="s">
        <v>18</v>
      </c>
      <c r="L17" s="2" t="s">
        <v>555</v>
      </c>
      <c r="M17" s="2"/>
      <c r="N17" s="2"/>
      <c r="O17" s="2" t="s">
        <v>318</v>
      </c>
      <c r="P17" s="2"/>
      <c r="Q17" s="2"/>
      <c r="R17" s="2" t="s">
        <v>556</v>
      </c>
      <c r="S17" s="2" t="s">
        <v>33</v>
      </c>
      <c r="T17" s="2" t="s">
        <v>33</v>
      </c>
      <c r="U17" s="2" t="s">
        <v>33</v>
      </c>
      <c r="V17" s="2" t="s">
        <v>554</v>
      </c>
      <c r="W17" s="2" t="s">
        <v>20</v>
      </c>
      <c r="X17" s="2" t="s">
        <v>15</v>
      </c>
      <c r="Y17" s="2"/>
      <c r="Z17" s="2"/>
      <c r="AA17" s="2" t="s">
        <v>27</v>
      </c>
      <c r="AB17" s="2" t="s">
        <v>19</v>
      </c>
    </row>
    <row r="18" spans="1:28" ht="41.4" x14ac:dyDescent="0.3">
      <c r="A18" s="2" t="s">
        <v>14</v>
      </c>
      <c r="B18" s="2" t="s">
        <v>15</v>
      </c>
      <c r="C18" s="2" t="s">
        <v>551</v>
      </c>
      <c r="D18" s="2" t="s">
        <v>552</v>
      </c>
      <c r="E18" s="2"/>
      <c r="F18" s="2" t="s">
        <v>38</v>
      </c>
      <c r="G18" s="2"/>
      <c r="H18" s="2" t="s">
        <v>47</v>
      </c>
      <c r="I18" s="2" t="s">
        <v>48</v>
      </c>
      <c r="J18" s="2" t="s">
        <v>48</v>
      </c>
      <c r="K18" s="2" t="s">
        <v>18</v>
      </c>
      <c r="L18" s="2" t="s">
        <v>555</v>
      </c>
      <c r="M18" s="2"/>
      <c r="N18" s="2"/>
      <c r="O18" s="2" t="s">
        <v>318</v>
      </c>
      <c r="P18" s="2"/>
      <c r="Q18" s="2"/>
      <c r="R18" s="2" t="s">
        <v>557</v>
      </c>
      <c r="S18" s="2" t="s">
        <v>33</v>
      </c>
      <c r="T18" s="2" t="s">
        <v>33</v>
      </c>
      <c r="U18" s="2" t="s">
        <v>33</v>
      </c>
      <c r="V18" s="2" t="s">
        <v>554</v>
      </c>
      <c r="W18" s="2" t="s">
        <v>20</v>
      </c>
      <c r="X18" s="2" t="s">
        <v>15</v>
      </c>
      <c r="Y18" s="2"/>
      <c r="Z18" s="2"/>
      <c r="AA18" s="2" t="s">
        <v>27</v>
      </c>
      <c r="AB18" s="2" t="s">
        <v>19</v>
      </c>
    </row>
    <row r="19" spans="1:28" ht="41.4" x14ac:dyDescent="0.3">
      <c r="A19" s="2" t="s">
        <v>14</v>
      </c>
      <c r="B19" s="2" t="s">
        <v>15</v>
      </c>
      <c r="C19" s="2" t="s">
        <v>551</v>
      </c>
      <c r="D19" s="2" t="s">
        <v>552</v>
      </c>
      <c r="E19" s="2"/>
      <c r="F19" s="2" t="s">
        <v>38</v>
      </c>
      <c r="G19" s="2"/>
      <c r="H19" s="2" t="s">
        <v>49</v>
      </c>
      <c r="I19" s="2">
        <v>1044</v>
      </c>
      <c r="J19" s="2">
        <v>1044</v>
      </c>
      <c r="K19" s="2" t="s">
        <v>50</v>
      </c>
      <c r="L19" s="2" t="s">
        <v>555</v>
      </c>
      <c r="M19" s="2"/>
      <c r="N19" s="2"/>
      <c r="O19" s="2" t="s">
        <v>318</v>
      </c>
      <c r="P19" s="2"/>
      <c r="Q19" s="2"/>
      <c r="R19" s="2" t="s">
        <v>557</v>
      </c>
      <c r="S19" s="2" t="s">
        <v>33</v>
      </c>
      <c r="T19" s="2" t="s">
        <v>33</v>
      </c>
      <c r="U19" s="2" t="s">
        <v>33</v>
      </c>
      <c r="V19" s="2" t="s">
        <v>554</v>
      </c>
      <c r="W19" s="2" t="s">
        <v>20</v>
      </c>
      <c r="X19" s="2" t="s">
        <v>15</v>
      </c>
      <c r="Y19" s="2"/>
      <c r="Z19" s="2"/>
      <c r="AA19" s="2" t="s">
        <v>27</v>
      </c>
      <c r="AB19" s="2" t="s">
        <v>19</v>
      </c>
    </row>
    <row r="20" spans="1:28" ht="41.4" x14ac:dyDescent="0.3">
      <c r="A20" s="2" t="s">
        <v>14</v>
      </c>
      <c r="B20" s="2" t="s">
        <v>15</v>
      </c>
      <c r="C20" s="2" t="s">
        <v>551</v>
      </c>
      <c r="D20" s="2" t="s">
        <v>552</v>
      </c>
      <c r="E20" s="2"/>
      <c r="F20" s="2" t="s">
        <v>38</v>
      </c>
      <c r="G20" s="2"/>
      <c r="H20" s="2" t="s">
        <v>51</v>
      </c>
      <c r="I20" s="2" t="s">
        <v>52</v>
      </c>
      <c r="J20" s="2" t="s">
        <v>52</v>
      </c>
      <c r="K20" s="2" t="s">
        <v>18</v>
      </c>
      <c r="L20" s="2" t="s">
        <v>555</v>
      </c>
      <c r="M20" s="2"/>
      <c r="N20" s="2"/>
      <c r="O20" s="2" t="s">
        <v>318</v>
      </c>
      <c r="P20" s="2"/>
      <c r="Q20" s="2"/>
      <c r="R20" s="2" t="s">
        <v>557</v>
      </c>
      <c r="S20" s="2" t="s">
        <v>33</v>
      </c>
      <c r="T20" s="2" t="s">
        <v>33</v>
      </c>
      <c r="U20" s="2"/>
      <c r="V20" s="2" t="s">
        <v>554</v>
      </c>
      <c r="W20" s="2" t="s">
        <v>20</v>
      </c>
      <c r="X20" s="2" t="s">
        <v>15</v>
      </c>
      <c r="Y20" s="2"/>
      <c r="Z20" s="2"/>
      <c r="AA20" s="2" t="s">
        <v>27</v>
      </c>
      <c r="AB20" s="2" t="s">
        <v>19</v>
      </c>
    </row>
    <row r="21" spans="1:28" ht="41.4" x14ac:dyDescent="0.3">
      <c r="A21" s="2" t="s">
        <v>14</v>
      </c>
      <c r="B21" s="2" t="s">
        <v>15</v>
      </c>
      <c r="C21" s="2" t="s">
        <v>551</v>
      </c>
      <c r="D21" s="2" t="s">
        <v>552</v>
      </c>
      <c r="E21" s="2"/>
      <c r="F21" s="2" t="s">
        <v>38</v>
      </c>
      <c r="G21" s="2"/>
      <c r="H21" s="2" t="s">
        <v>53</v>
      </c>
      <c r="I21" s="2" t="s">
        <v>54</v>
      </c>
      <c r="J21" s="2" t="s">
        <v>54</v>
      </c>
      <c r="K21" s="2" t="s">
        <v>18</v>
      </c>
      <c r="L21" s="2" t="s">
        <v>539</v>
      </c>
      <c r="M21" s="2"/>
      <c r="N21" s="2"/>
      <c r="O21" s="2" t="s">
        <v>318</v>
      </c>
      <c r="P21" s="2"/>
      <c r="Q21" s="2"/>
      <c r="R21" s="2" t="s">
        <v>557</v>
      </c>
      <c r="S21" s="2" t="s">
        <v>33</v>
      </c>
      <c r="T21" s="2" t="s">
        <v>33</v>
      </c>
      <c r="U21" s="2"/>
      <c r="V21" s="2" t="s">
        <v>554</v>
      </c>
      <c r="W21" s="2" t="s">
        <v>20</v>
      </c>
      <c r="X21" s="2" t="s">
        <v>15</v>
      </c>
      <c r="Y21" s="2"/>
      <c r="Z21" s="2"/>
      <c r="AA21" s="2" t="s">
        <v>27</v>
      </c>
      <c r="AB21" s="2" t="s">
        <v>19</v>
      </c>
    </row>
    <row r="22" spans="1:28" ht="372.6" x14ac:dyDescent="0.3">
      <c r="A22" s="2" t="s">
        <v>14</v>
      </c>
      <c r="B22" s="2" t="s">
        <v>15</v>
      </c>
      <c r="C22" s="2" t="s">
        <v>551</v>
      </c>
      <c r="D22" s="2" t="s">
        <v>552</v>
      </c>
      <c r="E22" s="2"/>
      <c r="F22" s="2" t="s">
        <v>38</v>
      </c>
      <c r="G22" s="2"/>
      <c r="H22" s="2" t="s">
        <v>55</v>
      </c>
      <c r="I22" s="2" t="s">
        <v>56</v>
      </c>
      <c r="J22" s="2" t="s">
        <v>56</v>
      </c>
      <c r="K22" s="2" t="s">
        <v>57</v>
      </c>
      <c r="L22" s="2" t="s">
        <v>539</v>
      </c>
      <c r="M22" s="2" t="s">
        <v>32</v>
      </c>
      <c r="N22" s="2" t="s">
        <v>558</v>
      </c>
      <c r="O22" s="2" t="s">
        <v>540</v>
      </c>
      <c r="P22" s="2"/>
      <c r="Q22" s="2"/>
      <c r="R22" s="2" t="s">
        <v>557</v>
      </c>
      <c r="S22" s="2" t="s">
        <v>33</v>
      </c>
      <c r="T22" s="2" t="s">
        <v>33</v>
      </c>
      <c r="U22" s="2"/>
      <c r="V22" s="2" t="s">
        <v>554</v>
      </c>
      <c r="W22" s="2" t="s">
        <v>20</v>
      </c>
      <c r="X22" s="2" t="s">
        <v>15</v>
      </c>
      <c r="Y22" s="2"/>
      <c r="Z22" s="2"/>
      <c r="AA22" s="2" t="s">
        <v>10</v>
      </c>
      <c r="AB22" s="2" t="s">
        <v>33</v>
      </c>
    </row>
    <row r="23" spans="1:28" ht="69" x14ac:dyDescent="0.3">
      <c r="A23" s="2" t="s">
        <v>14</v>
      </c>
      <c r="B23" s="2" t="s">
        <v>15</v>
      </c>
      <c r="C23" s="2" t="s">
        <v>551</v>
      </c>
      <c r="D23" s="2" t="s">
        <v>552</v>
      </c>
      <c r="E23" s="2"/>
      <c r="F23" s="2" t="s">
        <v>38</v>
      </c>
      <c r="G23" s="2"/>
      <c r="H23" s="2" t="s">
        <v>58</v>
      </c>
      <c r="I23" s="2" t="s">
        <v>59</v>
      </c>
      <c r="J23" s="2" t="s">
        <v>60</v>
      </c>
      <c r="K23" s="2" t="s">
        <v>57</v>
      </c>
      <c r="L23" s="2" t="s">
        <v>539</v>
      </c>
      <c r="M23" s="2" t="s">
        <v>32</v>
      </c>
      <c r="N23" s="2" t="s">
        <v>559</v>
      </c>
      <c r="O23" s="2" t="s">
        <v>318</v>
      </c>
      <c r="P23" s="2"/>
      <c r="Q23" s="2"/>
      <c r="R23" s="2" t="s">
        <v>560</v>
      </c>
      <c r="S23" s="2" t="s">
        <v>19</v>
      </c>
      <c r="T23" s="2" t="s">
        <v>19</v>
      </c>
      <c r="U23" s="2" t="s">
        <v>33</v>
      </c>
      <c r="V23" s="2" t="s">
        <v>554</v>
      </c>
      <c r="W23" s="2" t="s">
        <v>20</v>
      </c>
      <c r="X23" s="2" t="s">
        <v>15</v>
      </c>
      <c r="Y23" s="2"/>
      <c r="Z23" s="2"/>
      <c r="AA23" s="2" t="s">
        <v>27</v>
      </c>
      <c r="AB23" s="2" t="s">
        <v>33</v>
      </c>
    </row>
    <row r="24" spans="1:28" ht="69" x14ac:dyDescent="0.3">
      <c r="A24" s="2" t="s">
        <v>14</v>
      </c>
      <c r="B24" s="2" t="s">
        <v>15</v>
      </c>
      <c r="C24" s="2" t="s">
        <v>551</v>
      </c>
      <c r="D24" s="2" t="s">
        <v>552</v>
      </c>
      <c r="E24" s="2"/>
      <c r="F24" s="2" t="s">
        <v>38</v>
      </c>
      <c r="G24" s="2"/>
      <c r="H24" s="2" t="s">
        <v>61</v>
      </c>
      <c r="I24" s="2" t="s">
        <v>62</v>
      </c>
      <c r="J24" s="2" t="s">
        <v>63</v>
      </c>
      <c r="K24" s="2" t="s">
        <v>57</v>
      </c>
      <c r="L24" s="2" t="s">
        <v>539</v>
      </c>
      <c r="M24" s="2" t="s">
        <v>32</v>
      </c>
      <c r="N24" s="2" t="s">
        <v>561</v>
      </c>
      <c r="O24" s="2" t="s">
        <v>318</v>
      </c>
      <c r="P24" s="2"/>
      <c r="Q24" s="2"/>
      <c r="R24" s="2" t="s">
        <v>560</v>
      </c>
      <c r="S24" s="2" t="s">
        <v>19</v>
      </c>
      <c r="T24" s="2" t="s">
        <v>19</v>
      </c>
      <c r="U24" s="2"/>
      <c r="V24" s="2" t="s">
        <v>554</v>
      </c>
      <c r="W24" s="2" t="s">
        <v>20</v>
      </c>
      <c r="X24" s="2" t="s">
        <v>15</v>
      </c>
      <c r="Y24" s="2"/>
      <c r="Z24" s="2"/>
      <c r="AA24" s="2" t="s">
        <v>27</v>
      </c>
      <c r="AB24" s="2" t="s">
        <v>33</v>
      </c>
    </row>
    <row r="25" spans="1:28" ht="69" x14ac:dyDescent="0.3">
      <c r="A25" s="2" t="s">
        <v>14</v>
      </c>
      <c r="B25" s="2" t="s">
        <v>15</v>
      </c>
      <c r="C25" s="2" t="s">
        <v>551</v>
      </c>
      <c r="D25" s="2" t="s">
        <v>552</v>
      </c>
      <c r="E25" s="2"/>
      <c r="F25" s="2" t="s">
        <v>38</v>
      </c>
      <c r="G25" s="2"/>
      <c r="H25" s="2" t="s">
        <v>64</v>
      </c>
      <c r="I25" s="2" t="s">
        <v>65</v>
      </c>
      <c r="J25" s="2" t="s">
        <v>66</v>
      </c>
      <c r="K25" s="2" t="s">
        <v>57</v>
      </c>
      <c r="L25" s="2" t="s">
        <v>539</v>
      </c>
      <c r="M25" s="2" t="s">
        <v>32</v>
      </c>
      <c r="N25" s="2" t="s">
        <v>559</v>
      </c>
      <c r="O25" s="2" t="s">
        <v>318</v>
      </c>
      <c r="P25" s="2"/>
      <c r="Q25" s="2"/>
      <c r="R25" s="2" t="s">
        <v>560</v>
      </c>
      <c r="S25" s="2" t="s">
        <v>19</v>
      </c>
      <c r="T25" s="2" t="s">
        <v>19</v>
      </c>
      <c r="U25" s="2" t="s">
        <v>33</v>
      </c>
      <c r="V25" s="2" t="s">
        <v>554</v>
      </c>
      <c r="W25" s="2" t="s">
        <v>20</v>
      </c>
      <c r="X25" s="2" t="s">
        <v>15</v>
      </c>
      <c r="Y25" s="2"/>
      <c r="Z25" s="2"/>
      <c r="AA25" s="2" t="s">
        <v>27</v>
      </c>
      <c r="AB25" s="2" t="s">
        <v>33</v>
      </c>
    </row>
    <row r="26" spans="1:28" ht="69" x14ac:dyDescent="0.3">
      <c r="A26" s="2" t="s">
        <v>14</v>
      </c>
      <c r="B26" s="2" t="s">
        <v>15</v>
      </c>
      <c r="C26" s="2" t="s">
        <v>551</v>
      </c>
      <c r="D26" s="2" t="s">
        <v>552</v>
      </c>
      <c r="E26" s="2"/>
      <c r="F26" s="2" t="s">
        <v>38</v>
      </c>
      <c r="G26" s="2"/>
      <c r="H26" s="2" t="s">
        <v>67</v>
      </c>
      <c r="I26" s="2" t="s">
        <v>68</v>
      </c>
      <c r="J26" s="2" t="s">
        <v>69</v>
      </c>
      <c r="K26" s="2" t="s">
        <v>57</v>
      </c>
      <c r="L26" s="2" t="s">
        <v>539</v>
      </c>
      <c r="M26" s="2" t="s">
        <v>32</v>
      </c>
      <c r="N26" s="2" t="s">
        <v>561</v>
      </c>
      <c r="O26" s="2" t="s">
        <v>318</v>
      </c>
      <c r="P26" s="2"/>
      <c r="Q26" s="2"/>
      <c r="R26" s="2" t="s">
        <v>560</v>
      </c>
      <c r="S26" s="2" t="s">
        <v>19</v>
      </c>
      <c r="T26" s="2" t="s">
        <v>19</v>
      </c>
      <c r="U26" s="2"/>
      <c r="V26" s="2" t="s">
        <v>554</v>
      </c>
      <c r="W26" s="2" t="s">
        <v>20</v>
      </c>
      <c r="X26" s="2" t="s">
        <v>15</v>
      </c>
      <c r="Y26" s="2"/>
      <c r="Z26" s="2"/>
      <c r="AA26" s="2" t="s">
        <v>27</v>
      </c>
      <c r="AB26" s="2" t="s">
        <v>33</v>
      </c>
    </row>
    <row r="27" spans="1:28" ht="96.6" x14ac:dyDescent="0.3">
      <c r="A27" s="2" t="s">
        <v>14</v>
      </c>
      <c r="B27" s="2" t="s">
        <v>15</v>
      </c>
      <c r="C27" s="2" t="s">
        <v>537</v>
      </c>
      <c r="D27" s="2" t="s">
        <v>562</v>
      </c>
      <c r="E27" s="2"/>
      <c r="F27" s="2" t="s">
        <v>34</v>
      </c>
      <c r="G27" s="2"/>
      <c r="H27" s="2" t="s">
        <v>70</v>
      </c>
      <c r="I27" s="2" t="s">
        <v>72</v>
      </c>
      <c r="J27" s="2" t="s">
        <v>72</v>
      </c>
      <c r="K27" s="2" t="s">
        <v>73</v>
      </c>
      <c r="L27" s="2" t="s">
        <v>563</v>
      </c>
      <c r="M27" s="2"/>
      <c r="N27" s="2"/>
      <c r="O27" s="2" t="s">
        <v>72</v>
      </c>
      <c r="P27" s="2"/>
      <c r="Q27" s="2"/>
      <c r="R27" s="2" t="s">
        <v>564</v>
      </c>
      <c r="S27" s="2" t="s">
        <v>19</v>
      </c>
      <c r="T27" s="2" t="s">
        <v>33</v>
      </c>
      <c r="U27" s="2" t="s">
        <v>33</v>
      </c>
      <c r="V27" s="2" t="s">
        <v>542</v>
      </c>
      <c r="W27" s="2" t="s">
        <v>20</v>
      </c>
      <c r="X27" s="2" t="s">
        <v>15</v>
      </c>
      <c r="Y27" s="2"/>
      <c r="Z27" s="2"/>
      <c r="AA27" s="2" t="s">
        <v>71</v>
      </c>
      <c r="AB27" s="2" t="s">
        <v>19</v>
      </c>
    </row>
    <row r="28" spans="1:28" ht="409.6" x14ac:dyDescent="0.3">
      <c r="A28" s="2" t="s">
        <v>14</v>
      </c>
      <c r="B28" s="2" t="s">
        <v>15</v>
      </c>
      <c r="C28" s="2" t="s">
        <v>551</v>
      </c>
      <c r="D28" s="2" t="s">
        <v>562</v>
      </c>
      <c r="E28" s="2"/>
      <c r="F28" s="2" t="s">
        <v>34</v>
      </c>
      <c r="G28" s="2"/>
      <c r="H28" s="2" t="s">
        <v>74</v>
      </c>
      <c r="I28" s="2" t="s">
        <v>75</v>
      </c>
      <c r="J28" s="2" t="s">
        <v>75</v>
      </c>
      <c r="K28" s="2" t="s">
        <v>57</v>
      </c>
      <c r="L28" s="2" t="s">
        <v>539</v>
      </c>
      <c r="M28" s="2" t="s">
        <v>35</v>
      </c>
      <c r="N28" s="2" t="s">
        <v>565</v>
      </c>
      <c r="O28" s="2" t="s">
        <v>540</v>
      </c>
      <c r="P28" s="2" t="s">
        <v>541</v>
      </c>
      <c r="Q28" s="2"/>
      <c r="R28" s="2" t="s">
        <v>566</v>
      </c>
      <c r="S28" s="2" t="s">
        <v>33</v>
      </c>
      <c r="T28" s="2" t="s">
        <v>33</v>
      </c>
      <c r="U28" s="2" t="s">
        <v>33</v>
      </c>
      <c r="V28" s="2" t="s">
        <v>542</v>
      </c>
      <c r="W28" s="2" t="s">
        <v>20</v>
      </c>
      <c r="X28" s="2" t="s">
        <v>15</v>
      </c>
      <c r="Y28" s="2"/>
      <c r="Z28" s="2"/>
      <c r="AA28" s="2" t="s">
        <v>10</v>
      </c>
      <c r="AB28" s="2" t="s">
        <v>33</v>
      </c>
    </row>
    <row r="29" spans="1:28" ht="69" x14ac:dyDescent="0.3">
      <c r="A29" s="2" t="s">
        <v>14</v>
      </c>
      <c r="B29" s="2" t="s">
        <v>15</v>
      </c>
      <c r="C29" s="2" t="s">
        <v>551</v>
      </c>
      <c r="D29" s="2" t="s">
        <v>562</v>
      </c>
      <c r="E29" s="2"/>
      <c r="F29" s="2" t="s">
        <v>37</v>
      </c>
      <c r="G29" s="2"/>
      <c r="H29" s="2" t="s">
        <v>76</v>
      </c>
      <c r="I29" s="2" t="s">
        <v>72</v>
      </c>
      <c r="J29" s="2" t="s">
        <v>72</v>
      </c>
      <c r="K29" s="2" t="s">
        <v>77</v>
      </c>
      <c r="L29" s="2"/>
      <c r="M29" s="2"/>
      <c r="N29" s="2" t="s">
        <v>567</v>
      </c>
      <c r="O29" s="2" t="s">
        <v>72</v>
      </c>
      <c r="P29" s="2" t="s">
        <v>541</v>
      </c>
      <c r="Q29" s="2"/>
      <c r="R29" s="2" t="s">
        <v>568</v>
      </c>
      <c r="S29" s="2" t="s">
        <v>19</v>
      </c>
      <c r="T29" s="2" t="s">
        <v>19</v>
      </c>
      <c r="U29" s="2" t="s">
        <v>33</v>
      </c>
      <c r="V29" s="2" t="s">
        <v>542</v>
      </c>
      <c r="W29" s="2" t="s">
        <v>20</v>
      </c>
      <c r="X29" s="2" t="s">
        <v>15</v>
      </c>
      <c r="Y29" s="2"/>
      <c r="Z29" s="2"/>
      <c r="AA29" s="2" t="s">
        <v>71</v>
      </c>
      <c r="AB29" s="2" t="s">
        <v>19</v>
      </c>
    </row>
    <row r="30" spans="1:28" ht="151.80000000000001" x14ac:dyDescent="0.3">
      <c r="A30" s="2" t="s">
        <v>14</v>
      </c>
      <c r="B30" s="2" t="s">
        <v>15</v>
      </c>
      <c r="C30" s="2"/>
      <c r="D30" s="2" t="s">
        <v>569</v>
      </c>
      <c r="E30" s="2"/>
      <c r="F30" s="2" t="s">
        <v>34</v>
      </c>
      <c r="G30" s="2"/>
      <c r="H30" s="2" t="s">
        <v>78</v>
      </c>
      <c r="I30" s="2" t="s">
        <v>79</v>
      </c>
      <c r="J30" s="2" t="s">
        <v>80</v>
      </c>
      <c r="K30" s="2" t="s">
        <v>57</v>
      </c>
      <c r="L30" s="2"/>
      <c r="M30" s="2" t="s">
        <v>35</v>
      </c>
      <c r="N30" s="2" t="s">
        <v>570</v>
      </c>
      <c r="O30" s="2" t="s">
        <v>318</v>
      </c>
      <c r="P30" s="2" t="s">
        <v>541</v>
      </c>
      <c r="Q30" s="2"/>
      <c r="R30" s="2" t="s">
        <v>571</v>
      </c>
      <c r="S30" s="2" t="s">
        <v>19</v>
      </c>
      <c r="T30" s="2" t="s">
        <v>19</v>
      </c>
      <c r="U30" s="2" t="s">
        <v>33</v>
      </c>
      <c r="V30" s="2" t="s">
        <v>542</v>
      </c>
      <c r="W30" s="2" t="s">
        <v>20</v>
      </c>
      <c r="X30" s="2" t="s">
        <v>15</v>
      </c>
      <c r="Y30" s="2"/>
      <c r="Z30" s="2"/>
      <c r="AA30" s="2" t="s">
        <v>27</v>
      </c>
      <c r="AB30" s="2" t="s">
        <v>33</v>
      </c>
    </row>
    <row r="31" spans="1:28" ht="27.6" x14ac:dyDescent="0.3">
      <c r="A31" s="2" t="s">
        <v>14</v>
      </c>
      <c r="B31" s="2" t="s">
        <v>15</v>
      </c>
      <c r="C31" s="2" t="s">
        <v>81</v>
      </c>
      <c r="D31" s="2" t="s">
        <v>81</v>
      </c>
      <c r="E31" s="2"/>
      <c r="F31" s="2" t="s">
        <v>38</v>
      </c>
      <c r="G31" s="2"/>
      <c r="H31" s="2" t="s">
        <v>81</v>
      </c>
      <c r="I31" s="2" t="s">
        <v>82</v>
      </c>
      <c r="J31" s="2" t="s">
        <v>83</v>
      </c>
      <c r="K31" s="2" t="s">
        <v>57</v>
      </c>
      <c r="L31" s="2" t="s">
        <v>539</v>
      </c>
      <c r="M31" s="2" t="s">
        <v>32</v>
      </c>
      <c r="N31" s="2" t="s">
        <v>572</v>
      </c>
      <c r="O31" s="2" t="s">
        <v>540</v>
      </c>
      <c r="P31" s="2"/>
      <c r="Q31" s="2"/>
      <c r="R31" s="2"/>
      <c r="S31" s="2" t="s">
        <v>19</v>
      </c>
      <c r="T31" s="2" t="s">
        <v>19</v>
      </c>
      <c r="U31" s="2"/>
      <c r="V31" s="2" t="s">
        <v>554</v>
      </c>
      <c r="W31" s="2" t="s">
        <v>20</v>
      </c>
      <c r="X31" s="2" t="s">
        <v>15</v>
      </c>
      <c r="Y31" s="2"/>
      <c r="Z31" s="2"/>
      <c r="AA31" s="2" t="s">
        <v>10</v>
      </c>
      <c r="AB31" s="2" t="s">
        <v>33</v>
      </c>
    </row>
    <row r="32" spans="1:28" x14ac:dyDescent="0.3">
      <c r="A32" s="2" t="s">
        <v>14</v>
      </c>
      <c r="B32" s="2" t="s">
        <v>15</v>
      </c>
      <c r="C32" s="2" t="s">
        <v>81</v>
      </c>
      <c r="D32" s="2" t="s">
        <v>81</v>
      </c>
      <c r="E32" s="2"/>
      <c r="F32" s="2" t="s">
        <v>38</v>
      </c>
      <c r="G32" s="2"/>
      <c r="H32" s="2" t="s">
        <v>84</v>
      </c>
      <c r="I32" s="2" t="s">
        <v>85</v>
      </c>
      <c r="J32" s="2" t="s">
        <v>85</v>
      </c>
      <c r="K32" s="2" t="s">
        <v>18</v>
      </c>
      <c r="L32" s="2" t="s">
        <v>539</v>
      </c>
      <c r="M32" s="2"/>
      <c r="N32" s="2"/>
      <c r="O32" s="2" t="s">
        <v>540</v>
      </c>
      <c r="P32" s="2"/>
      <c r="Q32" s="2"/>
      <c r="R32" s="2"/>
      <c r="S32" s="2" t="s">
        <v>19</v>
      </c>
      <c r="T32" s="2" t="s">
        <v>19</v>
      </c>
      <c r="U32" s="2"/>
      <c r="V32" s="2" t="s">
        <v>554</v>
      </c>
      <c r="W32" s="2" t="s">
        <v>20</v>
      </c>
      <c r="X32" s="2" t="s">
        <v>15</v>
      </c>
      <c r="Y32" s="2"/>
      <c r="Z32" s="2"/>
      <c r="AA32" s="2" t="s">
        <v>10</v>
      </c>
      <c r="AB32" s="2" t="s">
        <v>19</v>
      </c>
    </row>
    <row r="33" spans="1:28" ht="27.6" x14ac:dyDescent="0.3">
      <c r="A33" s="2" t="s">
        <v>14</v>
      </c>
      <c r="B33" s="2" t="s">
        <v>15</v>
      </c>
      <c r="C33" s="2" t="s">
        <v>86</v>
      </c>
      <c r="D33" s="2" t="s">
        <v>86</v>
      </c>
      <c r="E33" s="2"/>
      <c r="F33" s="2" t="s">
        <v>31</v>
      </c>
      <c r="G33" s="2"/>
      <c r="H33" s="2" t="s">
        <v>86</v>
      </c>
      <c r="I33" s="2" t="s">
        <v>87</v>
      </c>
      <c r="J33" s="2" t="s">
        <v>88</v>
      </c>
      <c r="K33" s="2" t="s">
        <v>57</v>
      </c>
      <c r="L33" s="2" t="s">
        <v>539</v>
      </c>
      <c r="M33" s="2" t="s">
        <v>32</v>
      </c>
      <c r="N33" s="2" t="s">
        <v>572</v>
      </c>
      <c r="O33" s="2" t="s">
        <v>540</v>
      </c>
      <c r="P33" s="2" t="s">
        <v>19</v>
      </c>
      <c r="Q33" s="2"/>
      <c r="R33" s="2"/>
      <c r="S33" s="2" t="s">
        <v>19</v>
      </c>
      <c r="T33" s="2" t="s">
        <v>19</v>
      </c>
      <c r="U33" s="2"/>
      <c r="V33" s="2" t="s">
        <v>542</v>
      </c>
      <c r="W33" s="2" t="s">
        <v>20</v>
      </c>
      <c r="X33" s="2" t="s">
        <v>15</v>
      </c>
      <c r="Y33" s="2"/>
      <c r="Z33" s="2"/>
      <c r="AA33" s="2" t="s">
        <v>10</v>
      </c>
      <c r="AB33" s="2" t="s">
        <v>33</v>
      </c>
    </row>
    <row r="34" spans="1:28" x14ac:dyDescent="0.3">
      <c r="A34" s="2" t="s">
        <v>14</v>
      </c>
      <c r="B34" s="2" t="s">
        <v>15</v>
      </c>
      <c r="C34" s="2" t="s">
        <v>86</v>
      </c>
      <c r="D34" s="2" t="s">
        <v>86</v>
      </c>
      <c r="E34" s="2"/>
      <c r="F34" s="2" t="s">
        <v>31</v>
      </c>
      <c r="G34" s="2"/>
      <c r="H34" s="2" t="s">
        <v>89</v>
      </c>
      <c r="I34" s="2" t="s">
        <v>90</v>
      </c>
      <c r="J34" s="2" t="s">
        <v>90</v>
      </c>
      <c r="K34" s="2" t="s">
        <v>18</v>
      </c>
      <c r="L34" s="2" t="s">
        <v>539</v>
      </c>
      <c r="M34" s="2"/>
      <c r="N34" s="2"/>
      <c r="O34" s="2" t="s">
        <v>540</v>
      </c>
      <c r="P34" s="2"/>
      <c r="Q34" s="2"/>
      <c r="R34" s="2"/>
      <c r="S34" s="2" t="s">
        <v>19</v>
      </c>
      <c r="T34" s="2" t="s">
        <v>19</v>
      </c>
      <c r="U34" s="2"/>
      <c r="V34" s="2" t="s">
        <v>554</v>
      </c>
      <c r="W34" s="2" t="s">
        <v>20</v>
      </c>
      <c r="X34" s="2" t="s">
        <v>15</v>
      </c>
      <c r="Y34" s="2"/>
      <c r="Z34" s="2"/>
      <c r="AA34" s="2" t="s">
        <v>10</v>
      </c>
      <c r="AB34" s="2" t="s">
        <v>19</v>
      </c>
    </row>
    <row r="35" spans="1:28" ht="27.6" x14ac:dyDescent="0.3">
      <c r="A35" s="2" t="s">
        <v>14</v>
      </c>
      <c r="B35" s="2" t="s">
        <v>15</v>
      </c>
      <c r="C35" s="2" t="s">
        <v>91</v>
      </c>
      <c r="D35" s="2" t="s">
        <v>91</v>
      </c>
      <c r="E35" s="2"/>
      <c r="F35" s="2" t="s">
        <v>573</v>
      </c>
      <c r="G35" s="2"/>
      <c r="H35" s="2" t="s">
        <v>91</v>
      </c>
      <c r="I35" s="2" t="s">
        <v>92</v>
      </c>
      <c r="J35" s="2" t="s">
        <v>93</v>
      </c>
      <c r="K35" s="2" t="s">
        <v>57</v>
      </c>
      <c r="L35" s="2" t="s">
        <v>539</v>
      </c>
      <c r="M35" s="2" t="s">
        <v>32</v>
      </c>
      <c r="N35" s="2" t="s">
        <v>572</v>
      </c>
      <c r="O35" s="2" t="s">
        <v>540</v>
      </c>
      <c r="P35" s="2" t="s">
        <v>19</v>
      </c>
      <c r="Q35" s="2"/>
      <c r="R35" s="2"/>
      <c r="S35" s="2" t="s">
        <v>19</v>
      </c>
      <c r="T35" s="2" t="s">
        <v>19</v>
      </c>
      <c r="U35" s="2"/>
      <c r="V35" s="2" t="s">
        <v>542</v>
      </c>
      <c r="W35" s="2" t="s">
        <v>20</v>
      </c>
      <c r="X35" s="2" t="s">
        <v>15</v>
      </c>
      <c r="Y35" s="2"/>
      <c r="Z35" s="2"/>
      <c r="AA35" s="2" t="s">
        <v>10</v>
      </c>
      <c r="AB35" s="2" t="s">
        <v>33</v>
      </c>
    </row>
    <row r="36" spans="1:28" x14ac:dyDescent="0.3">
      <c r="A36" s="2" t="s">
        <v>14</v>
      </c>
      <c r="B36" s="2" t="s">
        <v>15</v>
      </c>
      <c r="C36" s="2" t="s">
        <v>91</v>
      </c>
      <c r="D36" s="2" t="s">
        <v>91</v>
      </c>
      <c r="E36" s="2"/>
      <c r="F36" s="2" t="s">
        <v>573</v>
      </c>
      <c r="G36" s="2"/>
      <c r="H36" s="2" t="s">
        <v>94</v>
      </c>
      <c r="I36" s="2" t="s">
        <v>95</v>
      </c>
      <c r="J36" s="2" t="s">
        <v>95</v>
      </c>
      <c r="K36" s="2" t="s">
        <v>18</v>
      </c>
      <c r="L36" s="2" t="s">
        <v>539</v>
      </c>
      <c r="M36" s="2"/>
      <c r="N36" s="2"/>
      <c r="O36" s="2" t="s">
        <v>540</v>
      </c>
      <c r="P36" s="2"/>
      <c r="Q36" s="2"/>
      <c r="R36" s="2"/>
      <c r="S36" s="2" t="s">
        <v>19</v>
      </c>
      <c r="T36" s="2" t="s">
        <v>19</v>
      </c>
      <c r="U36" s="2"/>
      <c r="V36" s="2" t="s">
        <v>554</v>
      </c>
      <c r="W36" s="2" t="s">
        <v>20</v>
      </c>
      <c r="X36" s="2" t="s">
        <v>15</v>
      </c>
      <c r="Y36" s="2"/>
      <c r="Z36" s="2"/>
      <c r="AA36" s="2" t="s">
        <v>10</v>
      </c>
      <c r="AB36" s="2" t="s">
        <v>19</v>
      </c>
    </row>
    <row r="37" spans="1:28" ht="41.4" x14ac:dyDescent="0.3">
      <c r="A37" s="2" t="s">
        <v>14</v>
      </c>
      <c r="B37" s="2" t="s">
        <v>15</v>
      </c>
      <c r="C37" s="2" t="s">
        <v>96</v>
      </c>
      <c r="D37" s="2" t="s">
        <v>96</v>
      </c>
      <c r="E37" s="2"/>
      <c r="F37" s="2" t="s">
        <v>41</v>
      </c>
      <c r="G37" s="2"/>
      <c r="H37" s="2" t="s">
        <v>96</v>
      </c>
      <c r="I37" s="2" t="s">
        <v>97</v>
      </c>
      <c r="J37" s="2" t="s">
        <v>98</v>
      </c>
      <c r="K37" s="2" t="s">
        <v>57</v>
      </c>
      <c r="L37" s="2" t="s">
        <v>539</v>
      </c>
      <c r="M37" s="2" t="s">
        <v>32</v>
      </c>
      <c r="N37" s="2" t="s">
        <v>574</v>
      </c>
      <c r="O37" s="2" t="s">
        <v>540</v>
      </c>
      <c r="P37" s="2" t="s">
        <v>19</v>
      </c>
      <c r="Q37" s="2"/>
      <c r="R37" s="2" t="s">
        <v>575</v>
      </c>
      <c r="S37" s="2" t="s">
        <v>19</v>
      </c>
      <c r="T37" s="2" t="s">
        <v>19</v>
      </c>
      <c r="U37" s="2" t="s">
        <v>33</v>
      </c>
      <c r="V37" s="2" t="s">
        <v>542</v>
      </c>
      <c r="W37" s="2" t="s">
        <v>20</v>
      </c>
      <c r="X37" s="2" t="s">
        <v>15</v>
      </c>
      <c r="Y37" s="2"/>
      <c r="Z37" s="2"/>
      <c r="AA37" s="2" t="s">
        <v>10</v>
      </c>
      <c r="AB37" s="2" t="s">
        <v>33</v>
      </c>
    </row>
    <row r="38" spans="1:28" x14ac:dyDescent="0.3">
      <c r="A38" s="2" t="s">
        <v>14</v>
      </c>
      <c r="B38" s="2" t="s">
        <v>15</v>
      </c>
      <c r="C38" s="2" t="s">
        <v>96</v>
      </c>
      <c r="D38" s="2" t="s">
        <v>96</v>
      </c>
      <c r="E38" s="2"/>
      <c r="F38" s="2" t="s">
        <v>31</v>
      </c>
      <c r="G38" s="2"/>
      <c r="H38" s="2" t="s">
        <v>99</v>
      </c>
      <c r="I38" s="2" t="s">
        <v>100</v>
      </c>
      <c r="J38" s="2" t="s">
        <v>100</v>
      </c>
      <c r="K38" s="2" t="s">
        <v>18</v>
      </c>
      <c r="L38" s="2" t="s">
        <v>539</v>
      </c>
      <c r="M38" s="2"/>
      <c r="N38" s="2"/>
      <c r="O38" s="2" t="s">
        <v>540</v>
      </c>
      <c r="P38" s="2"/>
      <c r="Q38" s="2"/>
      <c r="R38" s="2"/>
      <c r="S38" s="2" t="s">
        <v>19</v>
      </c>
      <c r="T38" s="2" t="s">
        <v>19</v>
      </c>
      <c r="U38" s="2"/>
      <c r="V38" s="2" t="s">
        <v>554</v>
      </c>
      <c r="W38" s="2" t="s">
        <v>20</v>
      </c>
      <c r="X38" s="2" t="s">
        <v>15</v>
      </c>
      <c r="Y38" s="2"/>
      <c r="Z38" s="2"/>
      <c r="AA38" s="2" t="s">
        <v>10</v>
      </c>
      <c r="AB38" s="2" t="s">
        <v>19</v>
      </c>
    </row>
    <row r="39" spans="1:28" ht="82.8" x14ac:dyDescent="0.3">
      <c r="A39" s="2" t="s">
        <v>14</v>
      </c>
      <c r="B39" s="2" t="s">
        <v>15</v>
      </c>
      <c r="C39" s="2"/>
      <c r="D39" s="2"/>
      <c r="E39" s="2"/>
      <c r="F39" s="2"/>
      <c r="G39" s="2"/>
      <c r="H39" s="2" t="s">
        <v>101</v>
      </c>
      <c r="I39" s="2" t="s">
        <v>103</v>
      </c>
      <c r="J39" s="2" t="s">
        <v>103</v>
      </c>
      <c r="K39" s="2" t="s">
        <v>57</v>
      </c>
      <c r="L39" s="2" t="s">
        <v>539</v>
      </c>
      <c r="M39" s="2" t="s">
        <v>32</v>
      </c>
      <c r="N39" s="2" t="s">
        <v>576</v>
      </c>
      <c r="O39" s="2" t="s">
        <v>497</v>
      </c>
      <c r="P39" s="2" t="s">
        <v>33</v>
      </c>
      <c r="Q39" s="2"/>
      <c r="R39" s="2" t="s">
        <v>577</v>
      </c>
      <c r="S39" s="2" t="s">
        <v>33</v>
      </c>
      <c r="T39" s="2" t="s">
        <v>33</v>
      </c>
      <c r="U39" s="2" t="s">
        <v>33</v>
      </c>
      <c r="V39" s="2" t="s">
        <v>542</v>
      </c>
      <c r="W39" s="2" t="s">
        <v>20</v>
      </c>
      <c r="X39" s="2" t="s">
        <v>15</v>
      </c>
      <c r="Y39" s="2"/>
      <c r="Z39" s="2"/>
      <c r="AA39" s="2" t="s">
        <v>102</v>
      </c>
      <c r="AB39" s="2" t="s">
        <v>33</v>
      </c>
    </row>
    <row r="40" spans="1:28" ht="27.6" x14ac:dyDescent="0.3">
      <c r="A40" s="2" t="s">
        <v>14</v>
      </c>
      <c r="B40" s="2" t="s">
        <v>15</v>
      </c>
      <c r="C40" s="2" t="s">
        <v>112</v>
      </c>
      <c r="D40" s="2" t="s">
        <v>112</v>
      </c>
      <c r="E40" s="2"/>
      <c r="F40" s="2" t="s">
        <v>112</v>
      </c>
      <c r="G40" s="2"/>
      <c r="H40" s="2" t="s">
        <v>104</v>
      </c>
      <c r="I40" s="2" t="s">
        <v>105</v>
      </c>
      <c r="J40" s="2" t="s">
        <v>106</v>
      </c>
      <c r="K40" s="2" t="s">
        <v>57</v>
      </c>
      <c r="L40" s="2" t="s">
        <v>539</v>
      </c>
      <c r="M40" s="2" t="s">
        <v>32</v>
      </c>
      <c r="N40" s="2" t="s">
        <v>578</v>
      </c>
      <c r="O40" s="2" t="s">
        <v>112</v>
      </c>
      <c r="P40" s="2" t="s">
        <v>112</v>
      </c>
      <c r="Q40" s="2"/>
      <c r="R40" s="2" t="s">
        <v>579</v>
      </c>
      <c r="S40" s="2" t="s">
        <v>19</v>
      </c>
      <c r="T40" s="2" t="s">
        <v>33</v>
      </c>
      <c r="U40" s="2" t="s">
        <v>112</v>
      </c>
      <c r="V40" s="2" t="s">
        <v>112</v>
      </c>
      <c r="W40" s="2" t="s">
        <v>20</v>
      </c>
      <c r="X40" s="2" t="s">
        <v>15</v>
      </c>
      <c r="Y40" s="2"/>
      <c r="Z40" s="2"/>
      <c r="AA40" s="2"/>
      <c r="AB40" s="2" t="s">
        <v>33</v>
      </c>
    </row>
    <row r="41" spans="1:28" ht="27.6" x14ac:dyDescent="0.3">
      <c r="A41" s="2" t="s">
        <v>14</v>
      </c>
      <c r="B41" s="2" t="s">
        <v>15</v>
      </c>
      <c r="C41" s="2" t="s">
        <v>112</v>
      </c>
      <c r="D41" s="2" t="s">
        <v>580</v>
      </c>
      <c r="E41" s="2"/>
      <c r="F41" s="2" t="s">
        <v>112</v>
      </c>
      <c r="G41" s="2"/>
      <c r="H41" s="2" t="s">
        <v>107</v>
      </c>
      <c r="I41" s="2" t="s">
        <v>108</v>
      </c>
      <c r="J41" s="2" t="s">
        <v>109</v>
      </c>
      <c r="K41" s="2" t="s">
        <v>57</v>
      </c>
      <c r="L41" s="2" t="s">
        <v>539</v>
      </c>
      <c r="M41" s="2" t="s">
        <v>32</v>
      </c>
      <c r="N41" s="2" t="s">
        <v>572</v>
      </c>
      <c r="O41" s="2" t="s">
        <v>112</v>
      </c>
      <c r="P41" s="2" t="s">
        <v>112</v>
      </c>
      <c r="Q41" s="2"/>
      <c r="R41" s="2" t="s">
        <v>581</v>
      </c>
      <c r="S41" s="2" t="s">
        <v>19</v>
      </c>
      <c r="T41" s="2" t="s">
        <v>19</v>
      </c>
      <c r="U41" s="2" t="s">
        <v>112</v>
      </c>
      <c r="V41" s="2" t="s">
        <v>112</v>
      </c>
      <c r="W41" s="2" t="s">
        <v>20</v>
      </c>
      <c r="X41" s="2" t="s">
        <v>15</v>
      </c>
      <c r="Y41" s="2"/>
      <c r="Z41" s="2"/>
      <c r="AA41" s="2"/>
      <c r="AB41" s="2" t="s">
        <v>33</v>
      </c>
    </row>
    <row r="42" spans="1:28" ht="27.6" x14ac:dyDescent="0.3">
      <c r="A42" s="2" t="s">
        <v>14</v>
      </c>
      <c r="B42" s="2" t="s">
        <v>15</v>
      </c>
      <c r="C42" s="2" t="s">
        <v>112</v>
      </c>
      <c r="D42" s="2" t="s">
        <v>580</v>
      </c>
      <c r="E42" s="2"/>
      <c r="F42" s="2" t="s">
        <v>112</v>
      </c>
      <c r="G42" s="2"/>
      <c r="H42" s="2" t="s">
        <v>110</v>
      </c>
      <c r="I42" s="2" t="s">
        <v>111</v>
      </c>
      <c r="J42" s="2" t="s">
        <v>111</v>
      </c>
      <c r="K42" s="2" t="s">
        <v>18</v>
      </c>
      <c r="L42" s="2" t="s">
        <v>539</v>
      </c>
      <c r="M42" s="2" t="s">
        <v>112</v>
      </c>
      <c r="N42" s="2" t="s">
        <v>112</v>
      </c>
      <c r="O42" s="2" t="s">
        <v>112</v>
      </c>
      <c r="P42" s="2" t="s">
        <v>112</v>
      </c>
      <c r="Q42" s="2"/>
      <c r="R42" s="2" t="s">
        <v>581</v>
      </c>
      <c r="S42" s="2" t="s">
        <v>19</v>
      </c>
      <c r="T42" s="2" t="s">
        <v>19</v>
      </c>
      <c r="U42" s="2" t="s">
        <v>112</v>
      </c>
      <c r="V42" s="2" t="s">
        <v>112</v>
      </c>
      <c r="W42" s="2" t="s">
        <v>20</v>
      </c>
      <c r="X42" s="2" t="s">
        <v>15</v>
      </c>
      <c r="Y42" s="2"/>
      <c r="Z42" s="2"/>
      <c r="AA42" s="2"/>
      <c r="AB42" s="2" t="s">
        <v>19</v>
      </c>
    </row>
    <row r="43" spans="1:28" ht="41.4" x14ac:dyDescent="0.3">
      <c r="A43" s="2" t="s">
        <v>14</v>
      </c>
      <c r="B43" s="2" t="s">
        <v>15</v>
      </c>
      <c r="C43" s="2" t="s">
        <v>112</v>
      </c>
      <c r="D43" s="2" t="s">
        <v>580</v>
      </c>
      <c r="E43" s="2"/>
      <c r="F43" s="2" t="s">
        <v>112</v>
      </c>
      <c r="G43" s="2"/>
      <c r="H43" s="2" t="s">
        <v>113</v>
      </c>
      <c r="I43" s="2" t="s">
        <v>114</v>
      </c>
      <c r="J43" s="2" t="s">
        <v>115</v>
      </c>
      <c r="K43" s="2" t="s">
        <v>57</v>
      </c>
      <c r="L43" s="2" t="s">
        <v>539</v>
      </c>
      <c r="M43" s="2" t="s">
        <v>32</v>
      </c>
      <c r="N43" s="2" t="s">
        <v>574</v>
      </c>
      <c r="O43" s="2" t="s">
        <v>112</v>
      </c>
      <c r="P43" s="2" t="s">
        <v>112</v>
      </c>
      <c r="Q43" s="2"/>
      <c r="R43" s="2" t="s">
        <v>581</v>
      </c>
      <c r="S43" s="2" t="s">
        <v>19</v>
      </c>
      <c r="T43" s="2" t="s">
        <v>19</v>
      </c>
      <c r="U43" s="2" t="s">
        <v>112</v>
      </c>
      <c r="V43" s="2" t="s">
        <v>112</v>
      </c>
      <c r="W43" s="2" t="s">
        <v>20</v>
      </c>
      <c r="X43" s="2" t="s">
        <v>15</v>
      </c>
      <c r="Y43" s="2"/>
      <c r="Z43" s="2"/>
      <c r="AA43" s="2"/>
      <c r="AB43" s="2" t="s">
        <v>33</v>
      </c>
    </row>
    <row r="44" spans="1:28" ht="27.6" x14ac:dyDescent="0.3">
      <c r="A44" s="2" t="s">
        <v>14</v>
      </c>
      <c r="B44" s="2" t="s">
        <v>15</v>
      </c>
      <c r="C44" s="2" t="s">
        <v>112</v>
      </c>
      <c r="D44" s="2" t="s">
        <v>580</v>
      </c>
      <c r="E44" s="2"/>
      <c r="F44" s="2" t="s">
        <v>112</v>
      </c>
      <c r="G44" s="2"/>
      <c r="H44" s="2" t="s">
        <v>116</v>
      </c>
      <c r="I44" s="2" t="s">
        <v>117</v>
      </c>
      <c r="J44" s="2" t="s">
        <v>117</v>
      </c>
      <c r="K44" s="2" t="s">
        <v>18</v>
      </c>
      <c r="L44" s="2" t="s">
        <v>539</v>
      </c>
      <c r="M44" s="2" t="s">
        <v>112</v>
      </c>
      <c r="N44" s="2" t="s">
        <v>112</v>
      </c>
      <c r="O44" s="2" t="s">
        <v>112</v>
      </c>
      <c r="P44" s="2" t="s">
        <v>112</v>
      </c>
      <c r="Q44" s="2"/>
      <c r="R44" s="2" t="s">
        <v>581</v>
      </c>
      <c r="S44" s="2" t="s">
        <v>19</v>
      </c>
      <c r="T44" s="2" t="s">
        <v>19</v>
      </c>
      <c r="U44" s="2" t="s">
        <v>112</v>
      </c>
      <c r="V44" s="2" t="s">
        <v>112</v>
      </c>
      <c r="W44" s="2" t="s">
        <v>20</v>
      </c>
      <c r="X44" s="2" t="s">
        <v>15</v>
      </c>
      <c r="Y44" s="2"/>
      <c r="Z44" s="2"/>
      <c r="AA44" s="2"/>
      <c r="AB44" s="2" t="s">
        <v>19</v>
      </c>
    </row>
    <row r="45" spans="1:28" x14ac:dyDescent="0.3">
      <c r="A45" s="2" t="s">
        <v>118</v>
      </c>
      <c r="B45" s="2" t="s">
        <v>119</v>
      </c>
      <c r="C45" s="2" t="s">
        <v>582</v>
      </c>
      <c r="D45" s="2" t="s">
        <v>583</v>
      </c>
      <c r="E45" s="2" t="s">
        <v>584</v>
      </c>
      <c r="F45" s="2" t="s">
        <v>34</v>
      </c>
      <c r="G45" s="2" t="s">
        <v>120</v>
      </c>
      <c r="H45" s="2" t="s">
        <v>121</v>
      </c>
      <c r="I45" s="2" t="s">
        <v>28</v>
      </c>
      <c r="J45" s="2" t="s">
        <v>18</v>
      </c>
      <c r="K45" s="2"/>
      <c r="L45" s="2"/>
      <c r="M45" s="2"/>
      <c r="N45" s="2"/>
      <c r="O45" s="2"/>
      <c r="P45" s="2"/>
      <c r="Q45" s="2"/>
      <c r="R45" s="2"/>
      <c r="S45" s="2" t="s">
        <v>19</v>
      </c>
      <c r="T45" s="2" t="s">
        <v>33</v>
      </c>
      <c r="U45" s="2"/>
      <c r="V45" s="2"/>
      <c r="W45" s="2"/>
      <c r="X45" s="2" t="s">
        <v>119</v>
      </c>
      <c r="Y45" s="2"/>
      <c r="Z45" s="2"/>
      <c r="AA45" s="2"/>
      <c r="AB45" s="2" t="s">
        <v>19</v>
      </c>
    </row>
    <row r="46" spans="1:28" x14ac:dyDescent="0.3">
      <c r="A46" s="2" t="s">
        <v>118</v>
      </c>
      <c r="B46" s="2" t="s">
        <v>119</v>
      </c>
      <c r="C46" s="2" t="s">
        <v>582</v>
      </c>
      <c r="D46" s="2" t="s">
        <v>583</v>
      </c>
      <c r="E46" s="2" t="s">
        <v>584</v>
      </c>
      <c r="F46" s="2" t="s">
        <v>34</v>
      </c>
      <c r="G46" s="2" t="s">
        <v>120</v>
      </c>
      <c r="H46" s="2" t="s">
        <v>122</v>
      </c>
      <c r="I46" s="2" t="s">
        <v>30</v>
      </c>
      <c r="J46" s="2" t="s">
        <v>18</v>
      </c>
      <c r="K46" s="2"/>
      <c r="L46" s="2"/>
      <c r="M46" s="2"/>
      <c r="N46" s="2"/>
      <c r="O46" s="2"/>
      <c r="P46" s="2"/>
      <c r="Q46" s="2"/>
      <c r="R46" s="2"/>
      <c r="S46" s="2" t="s">
        <v>19</v>
      </c>
      <c r="T46" s="2" t="s">
        <v>33</v>
      </c>
      <c r="U46" s="2"/>
      <c r="V46" s="2"/>
      <c r="W46" s="2"/>
      <c r="X46" s="2" t="s">
        <v>119</v>
      </c>
      <c r="Y46" s="2"/>
      <c r="Z46" s="2"/>
      <c r="AA46" s="2"/>
      <c r="AB46" s="2" t="s">
        <v>19</v>
      </c>
    </row>
    <row r="47" spans="1:28" ht="124.2" x14ac:dyDescent="0.3">
      <c r="A47" s="2" t="s">
        <v>118</v>
      </c>
      <c r="B47" s="2" t="s">
        <v>119</v>
      </c>
      <c r="C47" s="2" t="s">
        <v>582</v>
      </c>
      <c r="D47" s="2" t="s">
        <v>583</v>
      </c>
      <c r="E47" s="2" t="s">
        <v>584</v>
      </c>
      <c r="F47" s="2" t="s">
        <v>34</v>
      </c>
      <c r="G47" s="2" t="s">
        <v>120</v>
      </c>
      <c r="H47" s="2" t="s">
        <v>3</v>
      </c>
      <c r="I47" s="2" t="s">
        <v>123</v>
      </c>
      <c r="J47" s="2" t="s">
        <v>123</v>
      </c>
      <c r="K47" s="2" t="s">
        <v>57</v>
      </c>
      <c r="L47" s="2" t="s">
        <v>539</v>
      </c>
      <c r="M47" s="2" t="s">
        <v>32</v>
      </c>
      <c r="N47" s="2" t="s">
        <v>585</v>
      </c>
      <c r="O47" s="2"/>
      <c r="P47" s="2"/>
      <c r="Q47" s="2"/>
      <c r="R47" s="2"/>
      <c r="S47" s="2" t="s">
        <v>19</v>
      </c>
      <c r="T47" s="2" t="s">
        <v>33</v>
      </c>
      <c r="U47" s="2"/>
      <c r="V47" s="2"/>
      <c r="W47" s="2"/>
      <c r="X47" s="2" t="s">
        <v>119</v>
      </c>
      <c r="Y47" s="2"/>
      <c r="Z47" s="2"/>
      <c r="AA47" s="2"/>
      <c r="AB47" s="2" t="s">
        <v>33</v>
      </c>
    </row>
    <row r="48" spans="1:28" x14ac:dyDescent="0.3">
      <c r="A48" s="2" t="s">
        <v>118</v>
      </c>
      <c r="B48" s="2" t="s">
        <v>119</v>
      </c>
      <c r="C48" s="2" t="s">
        <v>582</v>
      </c>
      <c r="D48" s="2" t="s">
        <v>583</v>
      </c>
      <c r="E48" s="2" t="s">
        <v>584</v>
      </c>
      <c r="F48" s="2" t="s">
        <v>34</v>
      </c>
      <c r="G48" s="2" t="s">
        <v>120</v>
      </c>
      <c r="H48" s="2" t="s">
        <v>16</v>
      </c>
      <c r="I48" s="2" t="s">
        <v>124</v>
      </c>
      <c r="J48" s="2" t="s">
        <v>124</v>
      </c>
      <c r="K48" s="2" t="s">
        <v>18</v>
      </c>
      <c r="L48" s="2" t="s">
        <v>539</v>
      </c>
      <c r="M48" s="2"/>
      <c r="N48" s="2" t="s">
        <v>586</v>
      </c>
      <c r="O48" s="2"/>
      <c r="P48" s="2"/>
      <c r="Q48" s="2"/>
      <c r="R48" s="2"/>
      <c r="S48" s="2" t="s">
        <v>19</v>
      </c>
      <c r="T48" s="2" t="s">
        <v>33</v>
      </c>
      <c r="U48" s="2"/>
      <c r="V48" s="2"/>
      <c r="W48" s="2"/>
      <c r="X48" s="2" t="s">
        <v>119</v>
      </c>
      <c r="Y48" s="2"/>
      <c r="Z48" s="2"/>
      <c r="AA48" s="2"/>
      <c r="AB48" s="2" t="s">
        <v>19</v>
      </c>
    </row>
    <row r="49" spans="1:28" ht="55.2" x14ac:dyDescent="0.3">
      <c r="A49" s="2" t="s">
        <v>118</v>
      </c>
      <c r="B49" s="2" t="s">
        <v>119</v>
      </c>
      <c r="C49" s="2" t="s">
        <v>582</v>
      </c>
      <c r="D49" s="2" t="s">
        <v>583</v>
      </c>
      <c r="E49" s="2" t="s">
        <v>584</v>
      </c>
      <c r="F49" s="2" t="s">
        <v>34</v>
      </c>
      <c r="G49" s="2" t="s">
        <v>120</v>
      </c>
      <c r="H49" s="2" t="s">
        <v>125</v>
      </c>
      <c r="I49" s="2" t="s">
        <v>126</v>
      </c>
      <c r="J49" s="2" t="s">
        <v>126</v>
      </c>
      <c r="K49" s="2" t="s">
        <v>57</v>
      </c>
      <c r="L49" s="2" t="s">
        <v>539</v>
      </c>
      <c r="M49" s="2" t="s">
        <v>32</v>
      </c>
      <c r="N49" s="2" t="s">
        <v>587</v>
      </c>
      <c r="O49" s="2"/>
      <c r="P49" s="2"/>
      <c r="Q49" s="2"/>
      <c r="R49" s="2"/>
      <c r="S49" s="2" t="s">
        <v>19</v>
      </c>
      <c r="T49" s="2" t="s">
        <v>33</v>
      </c>
      <c r="U49" s="2"/>
      <c r="V49" s="2"/>
      <c r="W49" s="2"/>
      <c r="X49" s="2" t="s">
        <v>119</v>
      </c>
      <c r="Y49" s="2"/>
      <c r="Z49" s="2"/>
      <c r="AA49" s="2"/>
      <c r="AB49" s="2" t="s">
        <v>33</v>
      </c>
    </row>
    <row r="50" spans="1:28" ht="27.6" x14ac:dyDescent="0.3">
      <c r="A50" s="2" t="s">
        <v>118</v>
      </c>
      <c r="B50" s="2" t="s">
        <v>119</v>
      </c>
      <c r="C50" s="2" t="s">
        <v>582</v>
      </c>
      <c r="D50" s="2" t="s">
        <v>583</v>
      </c>
      <c r="E50" s="2" t="s">
        <v>584</v>
      </c>
      <c r="F50" s="2" t="s">
        <v>34</v>
      </c>
      <c r="G50" s="2" t="s">
        <v>120</v>
      </c>
      <c r="H50" s="2" t="s">
        <v>127</v>
      </c>
      <c r="I50" s="2" t="s">
        <v>128</v>
      </c>
      <c r="J50" s="2" t="s">
        <v>128</v>
      </c>
      <c r="K50" s="2" t="s">
        <v>18</v>
      </c>
      <c r="L50" s="2" t="s">
        <v>588</v>
      </c>
      <c r="M50" s="2"/>
      <c r="N50" s="2" t="s">
        <v>589</v>
      </c>
      <c r="O50" s="2"/>
      <c r="P50" s="2"/>
      <c r="Q50" s="2"/>
      <c r="R50" s="2"/>
      <c r="S50" s="2" t="s">
        <v>19</v>
      </c>
      <c r="T50" s="2" t="s">
        <v>33</v>
      </c>
      <c r="U50" s="2"/>
      <c r="V50" s="2"/>
      <c r="W50" s="2"/>
      <c r="X50" s="2" t="s">
        <v>119</v>
      </c>
      <c r="Y50" s="2"/>
      <c r="Z50" s="2"/>
      <c r="AA50" s="2"/>
      <c r="AB50" s="2" t="s">
        <v>19</v>
      </c>
    </row>
    <row r="51" spans="1:28" ht="27.6" x14ac:dyDescent="0.3">
      <c r="A51" s="2" t="s">
        <v>118</v>
      </c>
      <c r="B51" s="2" t="s">
        <v>119</v>
      </c>
      <c r="C51" s="2" t="s">
        <v>582</v>
      </c>
      <c r="D51" s="2" t="s">
        <v>583</v>
      </c>
      <c r="E51" s="2" t="s">
        <v>584</v>
      </c>
      <c r="F51" s="2" t="s">
        <v>34</v>
      </c>
      <c r="G51" s="2" t="s">
        <v>120</v>
      </c>
      <c r="H51" s="2" t="s">
        <v>129</v>
      </c>
      <c r="I51" s="2" t="s">
        <v>130</v>
      </c>
      <c r="J51" s="2" t="s">
        <v>130</v>
      </c>
      <c r="K51" s="2" t="s">
        <v>18</v>
      </c>
      <c r="L51" s="2" t="s">
        <v>588</v>
      </c>
      <c r="M51" s="2"/>
      <c r="N51" s="2" t="s">
        <v>590</v>
      </c>
      <c r="O51" s="2"/>
      <c r="P51" s="2"/>
      <c r="Q51" s="2"/>
      <c r="R51" s="2"/>
      <c r="S51" s="2" t="s">
        <v>19</v>
      </c>
      <c r="T51" s="2" t="s">
        <v>33</v>
      </c>
      <c r="U51" s="2"/>
      <c r="V51" s="2"/>
      <c r="W51" s="2"/>
      <c r="X51" s="2" t="s">
        <v>119</v>
      </c>
      <c r="Y51" s="2"/>
      <c r="Z51" s="2"/>
      <c r="AA51" s="2"/>
      <c r="AB51" s="2" t="s">
        <v>19</v>
      </c>
    </row>
    <row r="52" spans="1:28" ht="27.6" x14ac:dyDescent="0.3">
      <c r="A52" s="2" t="s">
        <v>118</v>
      </c>
      <c r="B52" s="2" t="s">
        <v>119</v>
      </c>
      <c r="C52" s="2" t="s">
        <v>591</v>
      </c>
      <c r="D52" s="2" t="s">
        <v>592</v>
      </c>
      <c r="E52" s="2"/>
      <c r="F52" s="2" t="s">
        <v>34</v>
      </c>
      <c r="G52" s="2" t="s">
        <v>120</v>
      </c>
      <c r="H52" s="2" t="s">
        <v>131</v>
      </c>
      <c r="I52" s="2" t="s">
        <v>132</v>
      </c>
      <c r="J52" s="2" t="s">
        <v>132</v>
      </c>
      <c r="K52" s="2" t="s">
        <v>133</v>
      </c>
      <c r="L52" s="2" t="s">
        <v>539</v>
      </c>
      <c r="M52" s="2"/>
      <c r="N52" s="2"/>
      <c r="O52" s="2" t="s">
        <v>540</v>
      </c>
      <c r="P52" s="2" t="s">
        <v>19</v>
      </c>
      <c r="Q52" s="2"/>
      <c r="R52" s="2" t="s">
        <v>593</v>
      </c>
      <c r="S52" s="2" t="s">
        <v>33</v>
      </c>
      <c r="T52" s="2" t="s">
        <v>33</v>
      </c>
      <c r="U52" s="2"/>
      <c r="V52" s="2" t="s">
        <v>542</v>
      </c>
      <c r="W52" s="2"/>
      <c r="X52" s="2" t="s">
        <v>119</v>
      </c>
      <c r="Y52" s="2"/>
      <c r="Z52" s="2"/>
      <c r="AA52" s="2" t="s">
        <v>10</v>
      </c>
      <c r="AB52" s="2" t="s">
        <v>19</v>
      </c>
    </row>
    <row r="53" spans="1:28" ht="82.8" x14ac:dyDescent="0.3">
      <c r="A53" s="2" t="s">
        <v>118</v>
      </c>
      <c r="B53" s="2" t="s">
        <v>119</v>
      </c>
      <c r="C53" s="2" t="s">
        <v>591</v>
      </c>
      <c r="D53" s="2" t="s">
        <v>592</v>
      </c>
      <c r="E53" s="2"/>
      <c r="F53" s="2" t="s">
        <v>34</v>
      </c>
      <c r="G53" s="2" t="s">
        <v>120</v>
      </c>
      <c r="H53" s="2" t="s">
        <v>134</v>
      </c>
      <c r="I53" s="2" t="s">
        <v>135</v>
      </c>
      <c r="J53" s="2" t="s">
        <v>135</v>
      </c>
      <c r="K53" s="2" t="s">
        <v>57</v>
      </c>
      <c r="L53" s="2" t="s">
        <v>539</v>
      </c>
      <c r="M53" s="2" t="s">
        <v>32</v>
      </c>
      <c r="N53" s="2" t="s">
        <v>594</v>
      </c>
      <c r="O53" s="2" t="s">
        <v>540</v>
      </c>
      <c r="P53" s="2" t="s">
        <v>19</v>
      </c>
      <c r="Q53" s="2"/>
      <c r="R53" s="2" t="s">
        <v>595</v>
      </c>
      <c r="S53" s="2" t="s">
        <v>33</v>
      </c>
      <c r="T53" s="2" t="s">
        <v>33</v>
      </c>
      <c r="U53" s="2"/>
      <c r="V53" s="2" t="s">
        <v>542</v>
      </c>
      <c r="W53" s="2"/>
      <c r="X53" s="2" t="s">
        <v>119</v>
      </c>
      <c r="Y53" s="2"/>
      <c r="Z53" s="2"/>
      <c r="AA53" s="2" t="s">
        <v>10</v>
      </c>
      <c r="AB53" s="2" t="s">
        <v>33</v>
      </c>
    </row>
    <row r="54" spans="1:28" x14ac:dyDescent="0.3">
      <c r="A54" s="2" t="s">
        <v>118</v>
      </c>
      <c r="B54" s="2" t="s">
        <v>119</v>
      </c>
      <c r="C54" s="2" t="s">
        <v>591</v>
      </c>
      <c r="D54" s="2" t="s">
        <v>592</v>
      </c>
      <c r="E54" s="2"/>
      <c r="F54" s="2" t="s">
        <v>34</v>
      </c>
      <c r="G54" s="2" t="s">
        <v>120</v>
      </c>
      <c r="H54" s="2" t="s">
        <v>136</v>
      </c>
      <c r="I54" s="2" t="s">
        <v>124</v>
      </c>
      <c r="J54" s="2" t="s">
        <v>124</v>
      </c>
      <c r="K54" s="2" t="s">
        <v>18</v>
      </c>
      <c r="L54" s="2" t="s">
        <v>539</v>
      </c>
      <c r="M54" s="2"/>
      <c r="N54" s="2"/>
      <c r="O54" s="2" t="s">
        <v>540</v>
      </c>
      <c r="P54" s="2" t="s">
        <v>33</v>
      </c>
      <c r="Q54" s="2"/>
      <c r="R54" s="2"/>
      <c r="S54" s="2" t="s">
        <v>33</v>
      </c>
      <c r="T54" s="2" t="s">
        <v>33</v>
      </c>
      <c r="U54" s="2" t="s">
        <v>33</v>
      </c>
      <c r="V54" s="2" t="s">
        <v>542</v>
      </c>
      <c r="W54" s="2"/>
      <c r="X54" s="2" t="s">
        <v>119</v>
      </c>
      <c r="Y54" s="2"/>
      <c r="Z54" s="2"/>
      <c r="AA54" s="2" t="s">
        <v>10</v>
      </c>
      <c r="AB54" s="2" t="s">
        <v>19</v>
      </c>
    </row>
    <row r="55" spans="1:28" ht="27.6" x14ac:dyDescent="0.3">
      <c r="A55" s="2" t="s">
        <v>118</v>
      </c>
      <c r="B55" s="2" t="s">
        <v>119</v>
      </c>
      <c r="C55" s="2" t="s">
        <v>591</v>
      </c>
      <c r="D55" s="2" t="s">
        <v>592</v>
      </c>
      <c r="E55" s="2"/>
      <c r="F55" s="2" t="s">
        <v>34</v>
      </c>
      <c r="G55" s="2" t="s">
        <v>120</v>
      </c>
      <c r="H55" s="2" t="s">
        <v>137</v>
      </c>
      <c r="I55" s="2"/>
      <c r="J55" s="2" t="s">
        <v>138</v>
      </c>
      <c r="K55" s="2" t="s">
        <v>57</v>
      </c>
      <c r="L55" s="2" t="s">
        <v>539</v>
      </c>
      <c r="M55" s="2" t="s">
        <v>32</v>
      </c>
      <c r="N55" s="2"/>
      <c r="O55" s="2"/>
      <c r="P55" s="2"/>
      <c r="Q55" s="2"/>
      <c r="R55" s="2"/>
      <c r="S55" s="2" t="s">
        <v>19</v>
      </c>
      <c r="T55" s="2" t="s">
        <v>19</v>
      </c>
      <c r="U55" s="2"/>
      <c r="V55" s="2"/>
      <c r="W55" s="2"/>
      <c r="X55" s="2" t="s">
        <v>119</v>
      </c>
      <c r="Y55" s="2"/>
      <c r="Z55" s="2"/>
      <c r="AA55" s="2"/>
      <c r="AB55" s="2" t="s">
        <v>19</v>
      </c>
    </row>
    <row r="56" spans="1:28" ht="27.6" x14ac:dyDescent="0.3">
      <c r="A56" s="2" t="s">
        <v>118</v>
      </c>
      <c r="B56" s="2" t="s">
        <v>119</v>
      </c>
      <c r="C56" s="2" t="s">
        <v>591</v>
      </c>
      <c r="D56" s="2" t="s">
        <v>592</v>
      </c>
      <c r="E56" s="2"/>
      <c r="F56" s="2" t="s">
        <v>34</v>
      </c>
      <c r="G56" s="2" t="s">
        <v>120</v>
      </c>
      <c r="H56" s="2" t="s">
        <v>139</v>
      </c>
      <c r="I56" s="2" t="s">
        <v>140</v>
      </c>
      <c r="J56" s="2" t="s">
        <v>141</v>
      </c>
      <c r="K56" s="2" t="s">
        <v>57</v>
      </c>
      <c r="L56" s="2" t="s">
        <v>539</v>
      </c>
      <c r="M56" s="2" t="s">
        <v>32</v>
      </c>
      <c r="N56" s="2" t="s">
        <v>559</v>
      </c>
      <c r="O56" s="2" t="s">
        <v>540</v>
      </c>
      <c r="P56" s="2" t="s">
        <v>19</v>
      </c>
      <c r="Q56" s="2"/>
      <c r="R56" s="2"/>
      <c r="S56" s="2" t="s">
        <v>19</v>
      </c>
      <c r="T56" s="2" t="s">
        <v>19</v>
      </c>
      <c r="U56" s="2"/>
      <c r="V56" s="2" t="s">
        <v>542</v>
      </c>
      <c r="W56" s="2"/>
      <c r="X56" s="2" t="s">
        <v>119</v>
      </c>
      <c r="Y56" s="2"/>
      <c r="Z56" s="2"/>
      <c r="AA56" s="2" t="s">
        <v>10</v>
      </c>
      <c r="AB56" s="2" t="s">
        <v>33</v>
      </c>
    </row>
    <row r="57" spans="1:28" ht="55.2" x14ac:dyDescent="0.3">
      <c r="A57" s="2" t="s">
        <v>118</v>
      </c>
      <c r="B57" s="2" t="s">
        <v>119</v>
      </c>
      <c r="C57" s="2" t="s">
        <v>591</v>
      </c>
      <c r="D57" s="2" t="s">
        <v>592</v>
      </c>
      <c r="E57" s="2"/>
      <c r="F57" s="2" t="s">
        <v>34</v>
      </c>
      <c r="G57" s="2" t="s">
        <v>120</v>
      </c>
      <c r="H57" s="2" t="s">
        <v>142</v>
      </c>
      <c r="I57" s="2" t="s">
        <v>143</v>
      </c>
      <c r="J57" s="2" t="s">
        <v>144</v>
      </c>
      <c r="K57" s="2" t="s">
        <v>57</v>
      </c>
      <c r="L57" s="2" t="s">
        <v>539</v>
      </c>
      <c r="M57" s="2" t="s">
        <v>32</v>
      </c>
      <c r="N57" s="2" t="s">
        <v>596</v>
      </c>
      <c r="O57" s="2"/>
      <c r="P57" s="2"/>
      <c r="Q57" s="2"/>
      <c r="R57" s="2"/>
      <c r="S57" s="2" t="s">
        <v>33</v>
      </c>
      <c r="T57" s="2" t="s">
        <v>597</v>
      </c>
      <c r="U57" s="2"/>
      <c r="V57" s="2"/>
      <c r="W57" s="2"/>
      <c r="X57" s="2" t="s">
        <v>119</v>
      </c>
      <c r="Y57" s="2"/>
      <c r="Z57" s="2"/>
      <c r="AA57" s="2"/>
      <c r="AB57" s="2" t="s">
        <v>33</v>
      </c>
    </row>
    <row r="58" spans="1:28" x14ac:dyDescent="0.3">
      <c r="A58" s="2" t="s">
        <v>118</v>
      </c>
      <c r="B58" s="2" t="s">
        <v>119</v>
      </c>
      <c r="C58" s="2" t="s">
        <v>591</v>
      </c>
      <c r="D58" s="2" t="s">
        <v>546</v>
      </c>
      <c r="E58" s="2"/>
      <c r="F58" s="2" t="s">
        <v>34</v>
      </c>
      <c r="G58" s="2" t="s">
        <v>145</v>
      </c>
      <c r="H58" s="2" t="s">
        <v>146</v>
      </c>
      <c r="I58" s="2">
        <v>178353</v>
      </c>
      <c r="J58" s="2">
        <v>191003</v>
      </c>
      <c r="K58" s="2" t="s">
        <v>18</v>
      </c>
      <c r="L58" s="2" t="s">
        <v>539</v>
      </c>
      <c r="M58" s="2" t="s">
        <v>35</v>
      </c>
      <c r="N58" s="2" t="s">
        <v>598</v>
      </c>
      <c r="O58" s="2" t="s">
        <v>540</v>
      </c>
      <c r="P58" s="2" t="s">
        <v>33</v>
      </c>
      <c r="Q58" s="2"/>
      <c r="R58" s="2"/>
      <c r="S58" s="2" t="s">
        <v>19</v>
      </c>
      <c r="T58" s="2" t="s">
        <v>33</v>
      </c>
      <c r="U58" s="2"/>
      <c r="V58" s="2" t="s">
        <v>542</v>
      </c>
      <c r="W58" s="2"/>
      <c r="X58" s="2" t="s">
        <v>119</v>
      </c>
      <c r="Y58" s="2"/>
      <c r="Z58" s="2"/>
      <c r="AA58" s="2" t="s">
        <v>10</v>
      </c>
      <c r="AB58" s="2" t="s">
        <v>33</v>
      </c>
    </row>
    <row r="59" spans="1:28" x14ac:dyDescent="0.3">
      <c r="A59" s="2" t="s">
        <v>118</v>
      </c>
      <c r="B59" s="2" t="s">
        <v>119</v>
      </c>
      <c r="C59" s="2" t="s">
        <v>591</v>
      </c>
      <c r="D59" s="2" t="s">
        <v>546</v>
      </c>
      <c r="E59" s="2"/>
      <c r="F59" s="2" t="s">
        <v>34</v>
      </c>
      <c r="G59" s="2" t="s">
        <v>145</v>
      </c>
      <c r="H59" s="2" t="s">
        <v>31</v>
      </c>
      <c r="I59" s="2">
        <v>178308</v>
      </c>
      <c r="J59" s="2">
        <v>191003</v>
      </c>
      <c r="K59" s="2" t="s">
        <v>18</v>
      </c>
      <c r="L59" s="2" t="s">
        <v>539</v>
      </c>
      <c r="M59" s="2" t="s">
        <v>32</v>
      </c>
      <c r="N59" s="2" t="s">
        <v>598</v>
      </c>
      <c r="O59" s="2" t="s">
        <v>540</v>
      </c>
      <c r="P59" s="2" t="s">
        <v>33</v>
      </c>
      <c r="Q59" s="2"/>
      <c r="R59" s="2"/>
      <c r="S59" s="2" t="s">
        <v>19</v>
      </c>
      <c r="T59" s="2" t="s">
        <v>33</v>
      </c>
      <c r="U59" s="2"/>
      <c r="V59" s="2" t="s">
        <v>542</v>
      </c>
      <c r="W59" s="2"/>
      <c r="X59" s="2" t="s">
        <v>119</v>
      </c>
      <c r="Y59" s="2"/>
      <c r="Z59" s="2"/>
      <c r="AA59" s="2" t="s">
        <v>10</v>
      </c>
      <c r="AB59" s="2" t="s">
        <v>33</v>
      </c>
    </row>
    <row r="60" spans="1:28" x14ac:dyDescent="0.3">
      <c r="A60" s="2" t="s">
        <v>118</v>
      </c>
      <c r="B60" s="2" t="s">
        <v>119</v>
      </c>
      <c r="C60" s="2" t="s">
        <v>591</v>
      </c>
      <c r="D60" s="2" t="s">
        <v>546</v>
      </c>
      <c r="E60" s="2"/>
      <c r="F60" s="2" t="s">
        <v>34</v>
      </c>
      <c r="G60" s="2" t="s">
        <v>145</v>
      </c>
      <c r="H60" s="2" t="s">
        <v>34</v>
      </c>
      <c r="I60" s="2">
        <v>178309</v>
      </c>
      <c r="J60" s="2">
        <v>190984</v>
      </c>
      <c r="K60" s="2" t="s">
        <v>18</v>
      </c>
      <c r="L60" s="2" t="s">
        <v>539</v>
      </c>
      <c r="M60" s="2" t="s">
        <v>35</v>
      </c>
      <c r="N60" s="2" t="s">
        <v>598</v>
      </c>
      <c r="O60" s="2" t="s">
        <v>540</v>
      </c>
      <c r="P60" s="2" t="s">
        <v>33</v>
      </c>
      <c r="Q60" s="2"/>
      <c r="R60" s="2"/>
      <c r="S60" s="2" t="s">
        <v>19</v>
      </c>
      <c r="T60" s="2" t="s">
        <v>33</v>
      </c>
      <c r="U60" s="2"/>
      <c r="V60" s="2" t="s">
        <v>542</v>
      </c>
      <c r="W60" s="2"/>
      <c r="X60" s="2" t="s">
        <v>119</v>
      </c>
      <c r="Y60" s="2"/>
      <c r="Z60" s="2"/>
      <c r="AA60" s="2" t="s">
        <v>10</v>
      </c>
      <c r="AB60" s="2" t="s">
        <v>33</v>
      </c>
    </row>
    <row r="61" spans="1:28" x14ac:dyDescent="0.3">
      <c r="A61" s="2" t="s">
        <v>118</v>
      </c>
      <c r="B61" s="2" t="s">
        <v>119</v>
      </c>
      <c r="C61" s="2" t="s">
        <v>591</v>
      </c>
      <c r="D61" s="2" t="s">
        <v>546</v>
      </c>
      <c r="E61" s="2"/>
      <c r="F61" s="2" t="s">
        <v>34</v>
      </c>
      <c r="G61" s="2" t="s">
        <v>145</v>
      </c>
      <c r="H61" s="2" t="s">
        <v>36</v>
      </c>
      <c r="I61" s="2">
        <v>178311</v>
      </c>
      <c r="J61" s="2">
        <v>190985</v>
      </c>
      <c r="K61" s="2" t="s">
        <v>18</v>
      </c>
      <c r="L61" s="2" t="s">
        <v>539</v>
      </c>
      <c r="M61" s="2" t="s">
        <v>32</v>
      </c>
      <c r="N61" s="2" t="s">
        <v>598</v>
      </c>
      <c r="O61" s="2" t="s">
        <v>540</v>
      </c>
      <c r="P61" s="2" t="s">
        <v>19</v>
      </c>
      <c r="Q61" s="2"/>
      <c r="R61" s="2"/>
      <c r="S61" s="2" t="s">
        <v>19</v>
      </c>
      <c r="T61" s="2" t="s">
        <v>33</v>
      </c>
      <c r="U61" s="2"/>
      <c r="V61" s="2" t="s">
        <v>542</v>
      </c>
      <c r="W61" s="2"/>
      <c r="X61" s="2" t="s">
        <v>119</v>
      </c>
      <c r="Y61" s="2"/>
      <c r="Z61" s="2"/>
      <c r="AA61" s="2" t="s">
        <v>10</v>
      </c>
      <c r="AB61" s="2" t="s">
        <v>33</v>
      </c>
    </row>
    <row r="62" spans="1:28" ht="27.6" x14ac:dyDescent="0.3">
      <c r="A62" s="2" t="s">
        <v>118</v>
      </c>
      <c r="B62" s="2" t="s">
        <v>119</v>
      </c>
      <c r="C62" s="2" t="s">
        <v>591</v>
      </c>
      <c r="D62" s="2" t="s">
        <v>546</v>
      </c>
      <c r="E62" s="2" t="s">
        <v>599</v>
      </c>
      <c r="F62" s="2" t="s">
        <v>34</v>
      </c>
      <c r="G62" s="2" t="s">
        <v>145</v>
      </c>
      <c r="H62" s="2" t="s">
        <v>147</v>
      </c>
      <c r="I62" s="2">
        <v>178521</v>
      </c>
      <c r="J62" s="2">
        <v>191004</v>
      </c>
      <c r="K62" s="2" t="s">
        <v>18</v>
      </c>
      <c r="L62" s="2" t="s">
        <v>539</v>
      </c>
      <c r="M62" s="2" t="s">
        <v>32</v>
      </c>
      <c r="N62" s="2" t="s">
        <v>598</v>
      </c>
      <c r="O62" s="2" t="s">
        <v>540</v>
      </c>
      <c r="P62" s="2" t="s">
        <v>19</v>
      </c>
      <c r="Q62" s="2"/>
      <c r="R62" s="2"/>
      <c r="S62" s="2" t="s">
        <v>19</v>
      </c>
      <c r="T62" s="2" t="s">
        <v>33</v>
      </c>
      <c r="U62" s="2"/>
      <c r="V62" s="2" t="s">
        <v>542</v>
      </c>
      <c r="W62" s="2"/>
      <c r="X62" s="2" t="s">
        <v>119</v>
      </c>
      <c r="Y62" s="2"/>
      <c r="Z62" s="2"/>
      <c r="AA62" s="2" t="s">
        <v>10</v>
      </c>
      <c r="AB62" s="2" t="s">
        <v>33</v>
      </c>
    </row>
    <row r="63" spans="1:28" x14ac:dyDescent="0.3">
      <c r="A63" s="2" t="s">
        <v>118</v>
      </c>
      <c r="B63" s="2" t="s">
        <v>119</v>
      </c>
      <c r="C63" s="2" t="s">
        <v>591</v>
      </c>
      <c r="D63" s="2" t="s">
        <v>546</v>
      </c>
      <c r="E63" s="2"/>
      <c r="F63" s="2" t="s">
        <v>34</v>
      </c>
      <c r="G63" s="2" t="s">
        <v>145</v>
      </c>
      <c r="H63" s="2" t="s">
        <v>148</v>
      </c>
      <c r="I63" s="2">
        <v>179115</v>
      </c>
      <c r="J63" s="2">
        <v>191005</v>
      </c>
      <c r="K63" s="2" t="s">
        <v>18</v>
      </c>
      <c r="L63" s="2" t="s">
        <v>539</v>
      </c>
      <c r="M63" s="2" t="s">
        <v>35</v>
      </c>
      <c r="N63" s="2" t="s">
        <v>598</v>
      </c>
      <c r="O63" s="2" t="s">
        <v>540</v>
      </c>
      <c r="P63" s="2" t="s">
        <v>19</v>
      </c>
      <c r="Q63" s="2"/>
      <c r="R63" s="2"/>
      <c r="S63" s="2" t="s">
        <v>19</v>
      </c>
      <c r="T63" s="2" t="s">
        <v>33</v>
      </c>
      <c r="U63" s="2"/>
      <c r="V63" s="2" t="s">
        <v>542</v>
      </c>
      <c r="W63" s="2"/>
      <c r="X63" s="2" t="s">
        <v>119</v>
      </c>
      <c r="Y63" s="2"/>
      <c r="Z63" s="2"/>
      <c r="AA63" s="2" t="s">
        <v>10</v>
      </c>
      <c r="AB63" s="2" t="s">
        <v>33</v>
      </c>
    </row>
    <row r="64" spans="1:28" x14ac:dyDescent="0.3">
      <c r="A64" s="2" t="s">
        <v>118</v>
      </c>
      <c r="B64" s="2" t="s">
        <v>119</v>
      </c>
      <c r="C64" s="2" t="s">
        <v>591</v>
      </c>
      <c r="D64" s="2" t="s">
        <v>546</v>
      </c>
      <c r="E64" s="2"/>
      <c r="F64" s="2" t="s">
        <v>34</v>
      </c>
      <c r="G64" s="2" t="s">
        <v>145</v>
      </c>
      <c r="H64" s="2" t="s">
        <v>37</v>
      </c>
      <c r="I64" s="2">
        <v>178312</v>
      </c>
      <c r="J64" s="2">
        <v>190986</v>
      </c>
      <c r="K64" s="2" t="s">
        <v>18</v>
      </c>
      <c r="L64" s="2" t="s">
        <v>539</v>
      </c>
      <c r="M64" s="2" t="s">
        <v>35</v>
      </c>
      <c r="N64" s="2" t="s">
        <v>598</v>
      </c>
      <c r="O64" s="2" t="s">
        <v>540</v>
      </c>
      <c r="P64" s="2" t="s">
        <v>33</v>
      </c>
      <c r="Q64" s="2"/>
      <c r="R64" s="2"/>
      <c r="S64" s="2" t="s">
        <v>19</v>
      </c>
      <c r="T64" s="2" t="s">
        <v>33</v>
      </c>
      <c r="U64" s="2"/>
      <c r="V64" s="2" t="s">
        <v>542</v>
      </c>
      <c r="W64" s="2"/>
      <c r="X64" s="2" t="s">
        <v>119</v>
      </c>
      <c r="Y64" s="2"/>
      <c r="Z64" s="2"/>
      <c r="AA64" s="2" t="s">
        <v>10</v>
      </c>
      <c r="AB64" s="2" t="s">
        <v>33</v>
      </c>
    </row>
    <row r="65" spans="1:28" ht="27.6" x14ac:dyDescent="0.3">
      <c r="A65" s="2" t="s">
        <v>118</v>
      </c>
      <c r="B65" s="2" t="s">
        <v>119</v>
      </c>
      <c r="C65" s="2" t="s">
        <v>591</v>
      </c>
      <c r="D65" s="2" t="s">
        <v>546</v>
      </c>
      <c r="E65" s="2" t="s">
        <v>599</v>
      </c>
      <c r="F65" s="2" t="s">
        <v>34</v>
      </c>
      <c r="G65" s="2" t="s">
        <v>145</v>
      </c>
      <c r="H65" s="2" t="s">
        <v>38</v>
      </c>
      <c r="I65" s="2">
        <v>178340</v>
      </c>
      <c r="J65" s="2">
        <v>190987</v>
      </c>
      <c r="K65" s="2" t="s">
        <v>18</v>
      </c>
      <c r="L65" s="2" t="s">
        <v>539</v>
      </c>
      <c r="M65" s="2" t="s">
        <v>35</v>
      </c>
      <c r="N65" s="2" t="s">
        <v>598</v>
      </c>
      <c r="O65" s="2" t="s">
        <v>540</v>
      </c>
      <c r="P65" s="2" t="s">
        <v>19</v>
      </c>
      <c r="Q65" s="2"/>
      <c r="R65" s="2"/>
      <c r="S65" s="2" t="s">
        <v>19</v>
      </c>
      <c r="T65" s="2" t="s">
        <v>33</v>
      </c>
      <c r="U65" s="2"/>
      <c r="V65" s="2" t="s">
        <v>542</v>
      </c>
      <c r="W65" s="2"/>
      <c r="X65" s="2" t="s">
        <v>119</v>
      </c>
      <c r="Y65" s="2"/>
      <c r="Z65" s="2"/>
      <c r="AA65" s="2" t="s">
        <v>10</v>
      </c>
      <c r="AB65" s="2" t="s">
        <v>33</v>
      </c>
    </row>
    <row r="66" spans="1:28" x14ac:dyDescent="0.3">
      <c r="A66" s="2" t="s">
        <v>118</v>
      </c>
      <c r="B66" s="2" t="s">
        <v>119</v>
      </c>
      <c r="C66" s="2" t="s">
        <v>591</v>
      </c>
      <c r="D66" s="2" t="s">
        <v>546</v>
      </c>
      <c r="E66" s="2"/>
      <c r="F66" s="2" t="s">
        <v>34</v>
      </c>
      <c r="G66" s="2" t="s">
        <v>145</v>
      </c>
      <c r="H66" s="2" t="s">
        <v>39</v>
      </c>
      <c r="I66" s="2">
        <v>178310</v>
      </c>
      <c r="J66" s="2">
        <v>190988</v>
      </c>
      <c r="K66" s="2" t="s">
        <v>18</v>
      </c>
      <c r="L66" s="2" t="s">
        <v>539</v>
      </c>
      <c r="M66" s="2" t="s">
        <v>32</v>
      </c>
      <c r="N66" s="2" t="s">
        <v>598</v>
      </c>
      <c r="O66" s="2" t="s">
        <v>540</v>
      </c>
      <c r="P66" s="2" t="s">
        <v>33</v>
      </c>
      <c r="Q66" s="2"/>
      <c r="R66" s="2" t="s">
        <v>600</v>
      </c>
      <c r="S66" s="2" t="s">
        <v>19</v>
      </c>
      <c r="T66" s="2" t="s">
        <v>33</v>
      </c>
      <c r="U66" s="2"/>
      <c r="V66" s="2" t="s">
        <v>542</v>
      </c>
      <c r="W66" s="2"/>
      <c r="X66" s="2" t="s">
        <v>119</v>
      </c>
      <c r="Y66" s="2"/>
      <c r="Z66" s="2"/>
      <c r="AA66" s="2" t="s">
        <v>10</v>
      </c>
      <c r="AB66" s="2" t="s">
        <v>33</v>
      </c>
    </row>
    <row r="67" spans="1:28" ht="27.6" x14ac:dyDescent="0.3">
      <c r="A67" s="2" t="s">
        <v>118</v>
      </c>
      <c r="B67" s="2" t="s">
        <v>119</v>
      </c>
      <c r="C67" s="2" t="s">
        <v>591</v>
      </c>
      <c r="D67" s="2" t="s">
        <v>546</v>
      </c>
      <c r="E67" s="2" t="s">
        <v>599</v>
      </c>
      <c r="F67" s="2" t="s">
        <v>34</v>
      </c>
      <c r="G67" s="2" t="s">
        <v>145</v>
      </c>
      <c r="H67" s="2" t="s">
        <v>40</v>
      </c>
      <c r="I67" s="2">
        <v>3399</v>
      </c>
      <c r="J67" s="2">
        <v>3399</v>
      </c>
      <c r="K67" s="2" t="s">
        <v>18</v>
      </c>
      <c r="L67" s="2" t="s">
        <v>539</v>
      </c>
      <c r="M67" s="2" t="s">
        <v>32</v>
      </c>
      <c r="N67" s="2" t="s">
        <v>598</v>
      </c>
      <c r="O67" s="2"/>
      <c r="P67" s="2" t="s">
        <v>19</v>
      </c>
      <c r="Q67" s="2"/>
      <c r="R67" s="2"/>
      <c r="S67" s="2" t="s">
        <v>33</v>
      </c>
      <c r="T67" s="2" t="s">
        <v>33</v>
      </c>
      <c r="U67" s="2"/>
      <c r="V67" s="2" t="s">
        <v>542</v>
      </c>
      <c r="W67" s="2"/>
      <c r="X67" s="2" t="s">
        <v>119</v>
      </c>
      <c r="Y67" s="2"/>
      <c r="Z67" s="2"/>
      <c r="AA67" s="2"/>
      <c r="AB67" s="2" t="s">
        <v>33</v>
      </c>
    </row>
    <row r="68" spans="1:28" x14ac:dyDescent="0.3">
      <c r="A68" s="2" t="s">
        <v>118</v>
      </c>
      <c r="B68" s="2" t="s">
        <v>119</v>
      </c>
      <c r="C68" s="2" t="s">
        <v>591</v>
      </c>
      <c r="D68" s="2" t="s">
        <v>546</v>
      </c>
      <c r="E68" s="2"/>
      <c r="F68" s="2" t="s">
        <v>34</v>
      </c>
      <c r="G68" s="2" t="s">
        <v>145</v>
      </c>
      <c r="H68" s="2" t="s">
        <v>41</v>
      </c>
      <c r="I68" s="2">
        <v>178339</v>
      </c>
      <c r="J68" s="2">
        <v>190989</v>
      </c>
      <c r="K68" s="2" t="s">
        <v>18</v>
      </c>
      <c r="L68" s="2" t="s">
        <v>539</v>
      </c>
      <c r="M68" s="2" t="s">
        <v>35</v>
      </c>
      <c r="N68" s="2" t="s">
        <v>598</v>
      </c>
      <c r="O68" s="2" t="s">
        <v>540</v>
      </c>
      <c r="P68" s="2" t="s">
        <v>19</v>
      </c>
      <c r="Q68" s="2"/>
      <c r="R68" s="2"/>
      <c r="S68" s="2" t="s">
        <v>19</v>
      </c>
      <c r="T68" s="2" t="s">
        <v>33</v>
      </c>
      <c r="U68" s="2"/>
      <c r="V68" s="2" t="s">
        <v>542</v>
      </c>
      <c r="W68" s="2"/>
      <c r="X68" s="2" t="s">
        <v>119</v>
      </c>
      <c r="Y68" s="2"/>
      <c r="Z68" s="2"/>
      <c r="AA68" s="2" t="s">
        <v>10</v>
      </c>
      <c r="AB68" s="2" t="s">
        <v>33</v>
      </c>
    </row>
    <row r="69" spans="1:28" ht="41.4" x14ac:dyDescent="0.3">
      <c r="A69" s="2" t="s">
        <v>118</v>
      </c>
      <c r="B69" s="2" t="s">
        <v>119</v>
      </c>
      <c r="C69" s="2" t="s">
        <v>591</v>
      </c>
      <c r="D69" s="2" t="s">
        <v>601</v>
      </c>
      <c r="E69" s="2"/>
      <c r="F69" s="2" t="s">
        <v>34</v>
      </c>
      <c r="G69" s="2" t="s">
        <v>145</v>
      </c>
      <c r="H69" s="2" t="s">
        <v>149</v>
      </c>
      <c r="I69" s="2" t="s">
        <v>150</v>
      </c>
      <c r="J69" s="2" t="s">
        <v>150</v>
      </c>
      <c r="K69" s="2" t="s">
        <v>133</v>
      </c>
      <c r="L69" s="2" t="s">
        <v>539</v>
      </c>
      <c r="M69" s="2"/>
      <c r="N69" s="2" t="s">
        <v>598</v>
      </c>
      <c r="O69" s="2" t="s">
        <v>540</v>
      </c>
      <c r="P69" s="2"/>
      <c r="Q69" s="2"/>
      <c r="R69" s="2" t="s">
        <v>602</v>
      </c>
      <c r="S69" s="2" t="s">
        <v>33</v>
      </c>
      <c r="T69" s="2" t="s">
        <v>33</v>
      </c>
      <c r="U69" s="2" t="s">
        <v>33</v>
      </c>
      <c r="V69" s="2" t="s">
        <v>542</v>
      </c>
      <c r="W69" s="2"/>
      <c r="X69" s="2" t="s">
        <v>119</v>
      </c>
      <c r="Y69" s="2"/>
      <c r="Z69" s="2"/>
      <c r="AA69" s="2" t="s">
        <v>10</v>
      </c>
      <c r="AB69" s="2" t="s">
        <v>19</v>
      </c>
    </row>
    <row r="70" spans="1:28" ht="234.6" x14ac:dyDescent="0.3">
      <c r="A70" s="2" t="s">
        <v>118</v>
      </c>
      <c r="B70" s="2" t="s">
        <v>119</v>
      </c>
      <c r="C70" s="2" t="s">
        <v>591</v>
      </c>
      <c r="D70" s="2" t="s">
        <v>601</v>
      </c>
      <c r="E70" s="2"/>
      <c r="F70" s="2" t="s">
        <v>34</v>
      </c>
      <c r="G70" s="2" t="s">
        <v>145</v>
      </c>
      <c r="H70" s="2" t="s">
        <v>151</v>
      </c>
      <c r="I70" s="2" t="s">
        <v>152</v>
      </c>
      <c r="J70" s="2" t="s">
        <v>153</v>
      </c>
      <c r="K70" s="2" t="s">
        <v>57</v>
      </c>
      <c r="L70" s="2" t="s">
        <v>539</v>
      </c>
      <c r="M70" s="2" t="s">
        <v>32</v>
      </c>
      <c r="N70" s="2" t="s">
        <v>603</v>
      </c>
      <c r="O70" s="2" t="s">
        <v>318</v>
      </c>
      <c r="P70" s="2"/>
      <c r="Q70" s="2"/>
      <c r="R70" s="2" t="s">
        <v>604</v>
      </c>
      <c r="S70" s="2" t="s">
        <v>19</v>
      </c>
      <c r="T70" s="2" t="s">
        <v>33</v>
      </c>
      <c r="U70" s="2" t="s">
        <v>33</v>
      </c>
      <c r="V70" s="2" t="s">
        <v>542</v>
      </c>
      <c r="W70" s="2"/>
      <c r="X70" s="2" t="s">
        <v>119</v>
      </c>
      <c r="Y70" s="2"/>
      <c r="Z70" s="2"/>
      <c r="AA70" s="2" t="s">
        <v>27</v>
      </c>
      <c r="AB70" s="2" t="s">
        <v>33</v>
      </c>
    </row>
    <row r="71" spans="1:28" ht="41.4" x14ac:dyDescent="0.3">
      <c r="A71" s="2" t="s">
        <v>118</v>
      </c>
      <c r="B71" s="2" t="s">
        <v>119</v>
      </c>
      <c r="C71" s="2"/>
      <c r="D71" s="2" t="s">
        <v>605</v>
      </c>
      <c r="E71" s="2" t="s">
        <v>605</v>
      </c>
      <c r="F71" s="2" t="s">
        <v>606</v>
      </c>
      <c r="G71" s="2" t="s">
        <v>145</v>
      </c>
      <c r="H71" s="2" t="s">
        <v>154</v>
      </c>
      <c r="I71" s="2" t="s">
        <v>155</v>
      </c>
      <c r="J71" s="2" t="s">
        <v>155</v>
      </c>
      <c r="K71" s="2" t="s">
        <v>18</v>
      </c>
      <c r="L71" s="2" t="s">
        <v>539</v>
      </c>
      <c r="M71" s="2"/>
      <c r="N71" s="2"/>
      <c r="O71" s="2" t="s">
        <v>540</v>
      </c>
      <c r="P71" s="2"/>
      <c r="Q71" s="2"/>
      <c r="R71" s="2"/>
      <c r="S71" s="2" t="s">
        <v>33</v>
      </c>
      <c r="T71" s="2"/>
      <c r="U71" s="2"/>
      <c r="V71" s="2" t="s">
        <v>72</v>
      </c>
      <c r="W71" s="2"/>
      <c r="X71" s="2" t="s">
        <v>119</v>
      </c>
      <c r="Y71" s="2"/>
      <c r="Z71" s="2"/>
      <c r="AA71" s="2" t="s">
        <v>10</v>
      </c>
      <c r="AB71" s="2" t="s">
        <v>19</v>
      </c>
    </row>
    <row r="72" spans="1:28" ht="82.8" x14ac:dyDescent="0.3">
      <c r="A72" s="2" t="s">
        <v>118</v>
      </c>
      <c r="B72" s="2" t="s">
        <v>119</v>
      </c>
      <c r="C72" s="2"/>
      <c r="D72" s="2" t="s">
        <v>605</v>
      </c>
      <c r="E72" s="2" t="s">
        <v>605</v>
      </c>
      <c r="F72" s="2" t="s">
        <v>607</v>
      </c>
      <c r="G72" s="2" t="s">
        <v>145</v>
      </c>
      <c r="H72" s="2" t="s">
        <v>156</v>
      </c>
      <c r="I72" s="2" t="s">
        <v>157</v>
      </c>
      <c r="J72" s="2" t="s">
        <v>157</v>
      </c>
      <c r="K72" s="2" t="s">
        <v>57</v>
      </c>
      <c r="L72" s="2" t="s">
        <v>539</v>
      </c>
      <c r="M72" s="2" t="s">
        <v>32</v>
      </c>
      <c r="N72" s="2" t="s">
        <v>608</v>
      </c>
      <c r="O72" s="2"/>
      <c r="P72" s="2"/>
      <c r="Q72" s="2"/>
      <c r="R72" s="2" t="s">
        <v>609</v>
      </c>
      <c r="S72" s="2" t="s">
        <v>33</v>
      </c>
      <c r="T72" s="2"/>
      <c r="U72" s="2"/>
      <c r="V72" s="2" t="s">
        <v>72</v>
      </c>
      <c r="W72" s="2"/>
      <c r="X72" s="2" t="s">
        <v>119</v>
      </c>
      <c r="Y72" s="2"/>
      <c r="Z72" s="2"/>
      <c r="AA72" s="2"/>
      <c r="AB72" s="2" t="s">
        <v>33</v>
      </c>
    </row>
    <row r="73" spans="1:28" ht="151.80000000000001" x14ac:dyDescent="0.3">
      <c r="A73" s="2" t="s">
        <v>118</v>
      </c>
      <c r="B73" s="2" t="s">
        <v>119</v>
      </c>
      <c r="C73" s="2"/>
      <c r="D73" s="2" t="s">
        <v>605</v>
      </c>
      <c r="E73" s="2" t="s">
        <v>605</v>
      </c>
      <c r="F73" s="2" t="s">
        <v>607</v>
      </c>
      <c r="G73" s="2" t="s">
        <v>145</v>
      </c>
      <c r="H73" s="2" t="s">
        <v>158</v>
      </c>
      <c r="I73" s="2" t="s">
        <v>159</v>
      </c>
      <c r="J73" s="2" t="s">
        <v>159</v>
      </c>
      <c r="K73" s="2" t="s">
        <v>57</v>
      </c>
      <c r="L73" s="2" t="s">
        <v>539</v>
      </c>
      <c r="M73" s="2" t="s">
        <v>32</v>
      </c>
      <c r="N73" s="2" t="s">
        <v>610</v>
      </c>
      <c r="O73" s="2"/>
      <c r="P73" s="2"/>
      <c r="Q73" s="2"/>
      <c r="R73" s="2" t="s">
        <v>609</v>
      </c>
      <c r="S73" s="2" t="s">
        <v>33</v>
      </c>
      <c r="T73" s="2"/>
      <c r="U73" s="2"/>
      <c r="V73" s="2" t="s">
        <v>72</v>
      </c>
      <c r="W73" s="2"/>
      <c r="X73" s="2" t="s">
        <v>119</v>
      </c>
      <c r="Y73" s="2"/>
      <c r="Z73" s="2"/>
      <c r="AA73" s="2"/>
      <c r="AB73" s="2" t="s">
        <v>33</v>
      </c>
    </row>
    <row r="74" spans="1:28" ht="41.4" x14ac:dyDescent="0.3">
      <c r="A74" s="2" t="s">
        <v>118</v>
      </c>
      <c r="B74" s="2" t="s">
        <v>119</v>
      </c>
      <c r="C74" s="2" t="s">
        <v>591</v>
      </c>
      <c r="D74" s="2" t="s">
        <v>605</v>
      </c>
      <c r="E74" s="2" t="s">
        <v>605</v>
      </c>
      <c r="F74" s="2" t="s">
        <v>606</v>
      </c>
      <c r="G74" s="2" t="s">
        <v>145</v>
      </c>
      <c r="H74" s="2" t="s">
        <v>160</v>
      </c>
      <c r="I74" s="2" t="s">
        <v>161</v>
      </c>
      <c r="J74" s="2" t="s">
        <v>161</v>
      </c>
      <c r="K74" s="2" t="s">
        <v>18</v>
      </c>
      <c r="L74" s="2" t="s">
        <v>539</v>
      </c>
      <c r="M74" s="2"/>
      <c r="N74" s="2"/>
      <c r="O74" s="2" t="s">
        <v>540</v>
      </c>
      <c r="P74" s="2"/>
      <c r="Q74" s="2"/>
      <c r="R74" s="2"/>
      <c r="S74" s="2" t="s">
        <v>33</v>
      </c>
      <c r="T74" s="2" t="s">
        <v>33</v>
      </c>
      <c r="U74" s="2"/>
      <c r="V74" s="2" t="s">
        <v>611</v>
      </c>
      <c r="W74" s="2"/>
      <c r="X74" s="2" t="s">
        <v>119</v>
      </c>
      <c r="Y74" s="2"/>
      <c r="Z74" s="2"/>
      <c r="AA74" s="2" t="s">
        <v>10</v>
      </c>
      <c r="AB74" s="2" t="s">
        <v>19</v>
      </c>
    </row>
    <row r="75" spans="1:28" ht="41.4" x14ac:dyDescent="0.3">
      <c r="A75" s="2" t="s">
        <v>118</v>
      </c>
      <c r="B75" s="2" t="s">
        <v>119</v>
      </c>
      <c r="C75" s="2" t="s">
        <v>591</v>
      </c>
      <c r="D75" s="2" t="s">
        <v>605</v>
      </c>
      <c r="E75" s="2" t="s">
        <v>605</v>
      </c>
      <c r="F75" s="2" t="s">
        <v>606</v>
      </c>
      <c r="G75" s="2" t="s">
        <v>145</v>
      </c>
      <c r="H75" s="2" t="s">
        <v>162</v>
      </c>
      <c r="I75" s="2" t="s">
        <v>163</v>
      </c>
      <c r="J75" s="2" t="s">
        <v>163</v>
      </c>
      <c r="K75" s="2" t="s">
        <v>18</v>
      </c>
      <c r="L75" s="2" t="s">
        <v>539</v>
      </c>
      <c r="M75" s="2"/>
      <c r="N75" s="2"/>
      <c r="O75" s="2" t="s">
        <v>540</v>
      </c>
      <c r="P75" s="2"/>
      <c r="Q75" s="2"/>
      <c r="R75" s="2"/>
      <c r="S75" s="2" t="s">
        <v>33</v>
      </c>
      <c r="T75" s="2" t="s">
        <v>33</v>
      </c>
      <c r="U75" s="2"/>
      <c r="V75" s="2" t="s">
        <v>611</v>
      </c>
      <c r="W75" s="2"/>
      <c r="X75" s="2" t="s">
        <v>119</v>
      </c>
      <c r="Y75" s="2"/>
      <c r="Z75" s="2"/>
      <c r="AA75" s="2" t="s">
        <v>10</v>
      </c>
      <c r="AB75" s="2" t="s">
        <v>19</v>
      </c>
    </row>
    <row r="76" spans="1:28" ht="41.4" x14ac:dyDescent="0.3">
      <c r="A76" s="2" t="s">
        <v>118</v>
      </c>
      <c r="B76" s="2" t="s">
        <v>119</v>
      </c>
      <c r="C76" s="2" t="s">
        <v>591</v>
      </c>
      <c r="D76" s="2" t="s">
        <v>605</v>
      </c>
      <c r="E76" s="2" t="s">
        <v>605</v>
      </c>
      <c r="F76" s="2" t="s">
        <v>606</v>
      </c>
      <c r="G76" s="2" t="s">
        <v>145</v>
      </c>
      <c r="H76" s="2" t="s">
        <v>43</v>
      </c>
      <c r="I76" s="2" t="s">
        <v>164</v>
      </c>
      <c r="J76" s="2" t="s">
        <v>164</v>
      </c>
      <c r="K76" s="2" t="s">
        <v>18</v>
      </c>
      <c r="L76" s="2" t="s">
        <v>539</v>
      </c>
      <c r="M76" s="2"/>
      <c r="N76" s="2"/>
      <c r="O76" s="2" t="s">
        <v>540</v>
      </c>
      <c r="P76" s="2"/>
      <c r="Q76" s="2"/>
      <c r="R76" s="2"/>
      <c r="S76" s="2" t="s">
        <v>33</v>
      </c>
      <c r="T76" s="2" t="s">
        <v>33</v>
      </c>
      <c r="U76" s="2" t="s">
        <v>33</v>
      </c>
      <c r="V76" s="2" t="s">
        <v>611</v>
      </c>
      <c r="W76" s="2"/>
      <c r="X76" s="2" t="s">
        <v>119</v>
      </c>
      <c r="Y76" s="2"/>
      <c r="Z76" s="2"/>
      <c r="AA76" s="2" t="s">
        <v>10</v>
      </c>
      <c r="AB76" s="2" t="s">
        <v>19</v>
      </c>
    </row>
    <row r="77" spans="1:28" ht="69" x14ac:dyDescent="0.3">
      <c r="A77" s="2" t="s">
        <v>118</v>
      </c>
      <c r="B77" s="2" t="s">
        <v>119</v>
      </c>
      <c r="C77" s="2" t="s">
        <v>591</v>
      </c>
      <c r="D77" s="2" t="s">
        <v>605</v>
      </c>
      <c r="E77" s="2" t="s">
        <v>605</v>
      </c>
      <c r="F77" s="2" t="s">
        <v>606</v>
      </c>
      <c r="G77" s="2" t="s">
        <v>145</v>
      </c>
      <c r="H77" s="2" t="s">
        <v>165</v>
      </c>
      <c r="I77" s="2" t="s">
        <v>166</v>
      </c>
      <c r="J77" s="2" t="s">
        <v>166</v>
      </c>
      <c r="K77" s="2" t="s">
        <v>57</v>
      </c>
      <c r="L77" s="2" t="s">
        <v>539</v>
      </c>
      <c r="M77" s="2" t="s">
        <v>32</v>
      </c>
      <c r="N77" s="2" t="s">
        <v>612</v>
      </c>
      <c r="O77" s="2" t="s">
        <v>540</v>
      </c>
      <c r="P77" s="2" t="s">
        <v>613</v>
      </c>
      <c r="Q77" s="2"/>
      <c r="R77" s="2"/>
      <c r="S77" s="2" t="s">
        <v>33</v>
      </c>
      <c r="T77" s="2" t="s">
        <v>33</v>
      </c>
      <c r="U77" s="2" t="s">
        <v>33</v>
      </c>
      <c r="V77" s="2" t="s">
        <v>611</v>
      </c>
      <c r="W77" s="2"/>
      <c r="X77" s="2" t="s">
        <v>119</v>
      </c>
      <c r="Y77" s="2"/>
      <c r="Z77" s="2"/>
      <c r="AA77" s="2" t="s">
        <v>10</v>
      </c>
      <c r="AB77" s="2" t="s">
        <v>33</v>
      </c>
    </row>
    <row r="78" spans="1:28" ht="41.4" x14ac:dyDescent="0.3">
      <c r="A78" s="2" t="s">
        <v>118</v>
      </c>
      <c r="B78" s="2" t="s">
        <v>119</v>
      </c>
      <c r="C78" s="2" t="s">
        <v>591</v>
      </c>
      <c r="D78" s="2" t="s">
        <v>605</v>
      </c>
      <c r="E78" s="2" t="s">
        <v>605</v>
      </c>
      <c r="F78" s="2" t="s">
        <v>606</v>
      </c>
      <c r="G78" s="2" t="s">
        <v>145</v>
      </c>
      <c r="H78" s="2" t="s">
        <v>167</v>
      </c>
      <c r="I78" s="2" t="s">
        <v>168</v>
      </c>
      <c r="J78" s="2" t="s">
        <v>168</v>
      </c>
      <c r="K78" s="2" t="s">
        <v>18</v>
      </c>
      <c r="L78" s="2" t="s">
        <v>539</v>
      </c>
      <c r="M78" s="2"/>
      <c r="N78" s="2"/>
      <c r="O78" s="2" t="s">
        <v>540</v>
      </c>
      <c r="P78" s="2"/>
      <c r="Q78" s="2"/>
      <c r="R78" s="2"/>
      <c r="S78" s="2" t="s">
        <v>33</v>
      </c>
      <c r="T78" s="2" t="s">
        <v>33</v>
      </c>
      <c r="U78" s="2"/>
      <c r="V78" s="2" t="s">
        <v>611</v>
      </c>
      <c r="W78" s="2"/>
      <c r="X78" s="2" t="s">
        <v>119</v>
      </c>
      <c r="Y78" s="2"/>
      <c r="Z78" s="2"/>
      <c r="AA78" s="2" t="s">
        <v>10</v>
      </c>
      <c r="AB78" s="2" t="s">
        <v>19</v>
      </c>
    </row>
    <row r="79" spans="1:28" ht="96.6" x14ac:dyDescent="0.3">
      <c r="A79" s="2" t="s">
        <v>118</v>
      </c>
      <c r="B79" s="2" t="s">
        <v>119</v>
      </c>
      <c r="C79" s="2" t="s">
        <v>591</v>
      </c>
      <c r="D79" s="2" t="s">
        <v>605</v>
      </c>
      <c r="E79" s="2" t="s">
        <v>605</v>
      </c>
      <c r="F79" s="2" t="s">
        <v>606</v>
      </c>
      <c r="G79" s="2" t="s">
        <v>145</v>
      </c>
      <c r="H79" s="2" t="s">
        <v>169</v>
      </c>
      <c r="I79" s="2" t="s">
        <v>170</v>
      </c>
      <c r="J79" s="2" t="s">
        <v>170</v>
      </c>
      <c r="K79" s="2" t="s">
        <v>57</v>
      </c>
      <c r="L79" s="2" t="s">
        <v>539</v>
      </c>
      <c r="M79" s="2" t="s">
        <v>35</v>
      </c>
      <c r="N79" s="2" t="s">
        <v>614</v>
      </c>
      <c r="O79" s="2" t="s">
        <v>540</v>
      </c>
      <c r="P79" s="2"/>
      <c r="Q79" s="2"/>
      <c r="R79" s="2"/>
      <c r="S79" s="2" t="s">
        <v>33</v>
      </c>
      <c r="T79" s="2" t="s">
        <v>33</v>
      </c>
      <c r="U79" s="2"/>
      <c r="V79" s="2" t="s">
        <v>611</v>
      </c>
      <c r="W79" s="2"/>
      <c r="X79" s="2" t="s">
        <v>119</v>
      </c>
      <c r="Y79" s="2"/>
      <c r="Z79" s="2"/>
      <c r="AA79" s="2" t="s">
        <v>10</v>
      </c>
      <c r="AB79" s="2" t="s">
        <v>33</v>
      </c>
    </row>
    <row r="80" spans="1:28" ht="69" x14ac:dyDescent="0.3">
      <c r="A80" s="2" t="s">
        <v>118</v>
      </c>
      <c r="B80" s="2" t="s">
        <v>119</v>
      </c>
      <c r="C80" s="2" t="s">
        <v>591</v>
      </c>
      <c r="D80" s="2" t="s">
        <v>605</v>
      </c>
      <c r="E80" s="2" t="s">
        <v>615</v>
      </c>
      <c r="F80" s="2" t="s">
        <v>606</v>
      </c>
      <c r="G80" s="2" t="s">
        <v>145</v>
      </c>
      <c r="H80" s="2" t="s">
        <v>171</v>
      </c>
      <c r="I80" s="2" t="s">
        <v>172</v>
      </c>
      <c r="J80" s="2" t="s">
        <v>172</v>
      </c>
      <c r="K80" s="2" t="s">
        <v>57</v>
      </c>
      <c r="L80" s="2" t="s">
        <v>539</v>
      </c>
      <c r="M80" s="2" t="s">
        <v>32</v>
      </c>
      <c r="N80" s="2" t="s">
        <v>616</v>
      </c>
      <c r="O80" s="2" t="s">
        <v>540</v>
      </c>
      <c r="P80" s="2"/>
      <c r="Q80" s="2"/>
      <c r="R80" s="2" t="s">
        <v>600</v>
      </c>
      <c r="S80" s="2" t="s">
        <v>33</v>
      </c>
      <c r="T80" s="2" t="s">
        <v>33</v>
      </c>
      <c r="U80" s="2" t="s">
        <v>33</v>
      </c>
      <c r="V80" s="2" t="s">
        <v>611</v>
      </c>
      <c r="W80" s="2"/>
      <c r="X80" s="2" t="s">
        <v>119</v>
      </c>
      <c r="Y80" s="2"/>
      <c r="Z80" s="2"/>
      <c r="AA80" s="2" t="s">
        <v>10</v>
      </c>
      <c r="AB80" s="2" t="s">
        <v>33</v>
      </c>
    </row>
    <row r="81" spans="1:28" ht="27.6" x14ac:dyDescent="0.3">
      <c r="A81" s="2" t="s">
        <v>118</v>
      </c>
      <c r="B81" s="2" t="s">
        <v>119</v>
      </c>
      <c r="C81" s="2" t="s">
        <v>591</v>
      </c>
      <c r="D81" s="2" t="s">
        <v>605</v>
      </c>
      <c r="E81" s="2" t="s">
        <v>615</v>
      </c>
      <c r="F81" s="2" t="s">
        <v>39</v>
      </c>
      <c r="G81" s="2" t="s">
        <v>145</v>
      </c>
      <c r="H81" s="2" t="s">
        <v>173</v>
      </c>
      <c r="I81" s="2" t="s">
        <v>174</v>
      </c>
      <c r="J81" s="2" t="s">
        <v>174</v>
      </c>
      <c r="K81" s="2" t="s">
        <v>57</v>
      </c>
      <c r="L81" s="2" t="s">
        <v>539</v>
      </c>
      <c r="M81" s="2" t="s">
        <v>32</v>
      </c>
      <c r="N81" s="2" t="s">
        <v>559</v>
      </c>
      <c r="O81" s="2" t="s">
        <v>540</v>
      </c>
      <c r="P81" s="2"/>
      <c r="Q81" s="2"/>
      <c r="R81" s="2" t="s">
        <v>600</v>
      </c>
      <c r="S81" s="2" t="s">
        <v>19</v>
      </c>
      <c r="T81" s="2" t="s">
        <v>19</v>
      </c>
      <c r="U81" s="2" t="s">
        <v>33</v>
      </c>
      <c r="V81" s="2" t="s">
        <v>611</v>
      </c>
      <c r="W81" s="2"/>
      <c r="X81" s="2" t="s">
        <v>119</v>
      </c>
      <c r="Y81" s="2"/>
      <c r="Z81" s="2"/>
      <c r="AA81" s="2" t="s">
        <v>10</v>
      </c>
      <c r="AB81" s="2" t="s">
        <v>33</v>
      </c>
    </row>
    <row r="82" spans="1:28" ht="27.6" x14ac:dyDescent="0.3">
      <c r="A82" s="2" t="s">
        <v>118</v>
      </c>
      <c r="B82" s="2" t="s">
        <v>119</v>
      </c>
      <c r="C82" s="2" t="s">
        <v>591</v>
      </c>
      <c r="D82" s="2" t="s">
        <v>605</v>
      </c>
      <c r="E82" s="2" t="s">
        <v>615</v>
      </c>
      <c r="F82" s="2" t="s">
        <v>39</v>
      </c>
      <c r="G82" s="2" t="s">
        <v>145</v>
      </c>
      <c r="H82" s="2" t="s">
        <v>175</v>
      </c>
      <c r="I82" s="2" t="s">
        <v>176</v>
      </c>
      <c r="J82" s="2" t="s">
        <v>176</v>
      </c>
      <c r="K82" s="2" t="s">
        <v>57</v>
      </c>
      <c r="L82" s="2" t="s">
        <v>539</v>
      </c>
      <c r="M82" s="2" t="s">
        <v>32</v>
      </c>
      <c r="N82" s="2" t="s">
        <v>559</v>
      </c>
      <c r="O82" s="2"/>
      <c r="P82" s="2"/>
      <c r="Q82" s="2"/>
      <c r="R82" s="2" t="s">
        <v>600</v>
      </c>
      <c r="S82" s="2" t="s">
        <v>33</v>
      </c>
      <c r="T82" s="2" t="s">
        <v>33</v>
      </c>
      <c r="U82" s="2"/>
      <c r="V82" s="2" t="s">
        <v>611</v>
      </c>
      <c r="W82" s="2"/>
      <c r="X82" s="2" t="s">
        <v>119</v>
      </c>
      <c r="Y82" s="2"/>
      <c r="Z82" s="2"/>
      <c r="AA82" s="2"/>
      <c r="AB82" s="2" t="s">
        <v>33</v>
      </c>
    </row>
    <row r="83" spans="1:28" ht="27.6" x14ac:dyDescent="0.3">
      <c r="A83" s="2" t="s">
        <v>118</v>
      </c>
      <c r="B83" s="2" t="s">
        <v>119</v>
      </c>
      <c r="C83" s="2" t="s">
        <v>591</v>
      </c>
      <c r="D83" s="2" t="s">
        <v>605</v>
      </c>
      <c r="E83" s="2" t="s">
        <v>615</v>
      </c>
      <c r="F83" s="2" t="s">
        <v>39</v>
      </c>
      <c r="G83" s="2" t="s">
        <v>145</v>
      </c>
      <c r="H83" s="2" t="s">
        <v>177</v>
      </c>
      <c r="I83" s="2" t="s">
        <v>178</v>
      </c>
      <c r="J83" s="2" t="s">
        <v>178</v>
      </c>
      <c r="K83" s="2" t="s">
        <v>57</v>
      </c>
      <c r="L83" s="2" t="s">
        <v>539</v>
      </c>
      <c r="M83" s="2" t="s">
        <v>32</v>
      </c>
      <c r="N83" s="2" t="s">
        <v>559</v>
      </c>
      <c r="O83" s="2"/>
      <c r="P83" s="2"/>
      <c r="Q83" s="2"/>
      <c r="R83" s="2" t="s">
        <v>600</v>
      </c>
      <c r="S83" s="2" t="s">
        <v>33</v>
      </c>
      <c r="T83" s="2" t="s">
        <v>33</v>
      </c>
      <c r="U83" s="2"/>
      <c r="V83" s="2" t="s">
        <v>611</v>
      </c>
      <c r="W83" s="2"/>
      <c r="X83" s="2" t="s">
        <v>119</v>
      </c>
      <c r="Y83" s="2"/>
      <c r="Z83" s="2"/>
      <c r="AA83" s="2"/>
      <c r="AB83" s="2" t="s">
        <v>33</v>
      </c>
    </row>
    <row r="84" spans="1:28" ht="27.6" x14ac:dyDescent="0.3">
      <c r="A84" s="2" t="s">
        <v>118</v>
      </c>
      <c r="B84" s="2" t="s">
        <v>119</v>
      </c>
      <c r="C84" s="2" t="s">
        <v>591</v>
      </c>
      <c r="D84" s="2" t="s">
        <v>605</v>
      </c>
      <c r="E84" s="2" t="s">
        <v>615</v>
      </c>
      <c r="F84" s="2" t="s">
        <v>39</v>
      </c>
      <c r="G84" s="2" t="s">
        <v>145</v>
      </c>
      <c r="H84" s="2" t="s">
        <v>179</v>
      </c>
      <c r="I84" s="2" t="s">
        <v>180</v>
      </c>
      <c r="J84" s="2" t="s">
        <v>180</v>
      </c>
      <c r="K84" s="2" t="s">
        <v>57</v>
      </c>
      <c r="L84" s="2" t="s">
        <v>539</v>
      </c>
      <c r="M84" s="2" t="s">
        <v>32</v>
      </c>
      <c r="N84" s="2" t="s">
        <v>559</v>
      </c>
      <c r="O84" s="2"/>
      <c r="P84" s="2"/>
      <c r="Q84" s="2"/>
      <c r="R84" s="2" t="s">
        <v>600</v>
      </c>
      <c r="S84" s="2" t="s">
        <v>33</v>
      </c>
      <c r="T84" s="2" t="s">
        <v>33</v>
      </c>
      <c r="U84" s="2"/>
      <c r="V84" s="2" t="s">
        <v>611</v>
      </c>
      <c r="W84" s="2"/>
      <c r="X84" s="2" t="s">
        <v>119</v>
      </c>
      <c r="Y84" s="2"/>
      <c r="Z84" s="2"/>
      <c r="AA84" s="2"/>
      <c r="AB84" s="2" t="s">
        <v>33</v>
      </c>
    </row>
    <row r="85" spans="1:28" ht="27.6" x14ac:dyDescent="0.3">
      <c r="A85" s="2" t="s">
        <v>118</v>
      </c>
      <c r="B85" s="2" t="s">
        <v>119</v>
      </c>
      <c r="C85" s="2" t="s">
        <v>591</v>
      </c>
      <c r="D85" s="2" t="s">
        <v>605</v>
      </c>
      <c r="E85" s="2" t="s">
        <v>615</v>
      </c>
      <c r="F85" s="2" t="s">
        <v>39</v>
      </c>
      <c r="G85" s="2" t="s">
        <v>145</v>
      </c>
      <c r="H85" s="2" t="s">
        <v>181</v>
      </c>
      <c r="I85" s="2" t="s">
        <v>182</v>
      </c>
      <c r="J85" s="2" t="s">
        <v>182</v>
      </c>
      <c r="K85" s="2" t="s">
        <v>18</v>
      </c>
      <c r="L85" s="2" t="s">
        <v>539</v>
      </c>
      <c r="M85" s="2"/>
      <c r="N85" s="2"/>
      <c r="O85" s="2" t="s">
        <v>318</v>
      </c>
      <c r="P85" s="2"/>
      <c r="Q85" s="2"/>
      <c r="R85" s="2" t="s">
        <v>600</v>
      </c>
      <c r="S85" s="2" t="s">
        <v>33</v>
      </c>
      <c r="T85" s="2" t="s">
        <v>33</v>
      </c>
      <c r="U85" s="2" t="s">
        <v>33</v>
      </c>
      <c r="V85" s="2" t="s">
        <v>611</v>
      </c>
      <c r="W85" s="2"/>
      <c r="X85" s="2" t="s">
        <v>119</v>
      </c>
      <c r="Y85" s="2"/>
      <c r="Z85" s="2"/>
      <c r="AA85" s="2" t="s">
        <v>27</v>
      </c>
      <c r="AB85" s="2" t="s">
        <v>19</v>
      </c>
    </row>
    <row r="86" spans="1:28" ht="27.6" x14ac:dyDescent="0.3">
      <c r="A86" s="2" t="s">
        <v>118</v>
      </c>
      <c r="B86" s="2" t="s">
        <v>119</v>
      </c>
      <c r="C86" s="2" t="s">
        <v>591</v>
      </c>
      <c r="D86" s="2" t="s">
        <v>605</v>
      </c>
      <c r="E86" s="2" t="s">
        <v>615</v>
      </c>
      <c r="F86" s="2" t="s">
        <v>39</v>
      </c>
      <c r="G86" s="2" t="s">
        <v>145</v>
      </c>
      <c r="H86" s="2" t="s">
        <v>183</v>
      </c>
      <c r="I86" s="2" t="s">
        <v>184</v>
      </c>
      <c r="J86" s="2" t="s">
        <v>184</v>
      </c>
      <c r="K86" s="2" t="s">
        <v>18</v>
      </c>
      <c r="L86" s="2" t="s">
        <v>617</v>
      </c>
      <c r="M86" s="2"/>
      <c r="N86" s="2"/>
      <c r="O86" s="2" t="s">
        <v>540</v>
      </c>
      <c r="P86" s="2"/>
      <c r="Q86" s="2"/>
      <c r="R86" s="2" t="s">
        <v>600</v>
      </c>
      <c r="S86" s="2" t="s">
        <v>33</v>
      </c>
      <c r="T86" s="2" t="s">
        <v>33</v>
      </c>
      <c r="U86" s="2"/>
      <c r="V86" s="2" t="s">
        <v>611</v>
      </c>
      <c r="W86" s="2"/>
      <c r="X86" s="2" t="s">
        <v>119</v>
      </c>
      <c r="Y86" s="2"/>
      <c r="Z86" s="2"/>
      <c r="AA86" s="2" t="s">
        <v>10</v>
      </c>
      <c r="AB86" s="2" t="s">
        <v>19</v>
      </c>
    </row>
    <row r="87" spans="1:28" ht="41.4" x14ac:dyDescent="0.3">
      <c r="A87" s="2" t="s">
        <v>118</v>
      </c>
      <c r="B87" s="2" t="s">
        <v>119</v>
      </c>
      <c r="C87" s="2"/>
      <c r="D87" s="2" t="s">
        <v>605</v>
      </c>
      <c r="E87" s="2"/>
      <c r="F87" s="2" t="s">
        <v>606</v>
      </c>
      <c r="G87" s="2" t="s">
        <v>145</v>
      </c>
      <c r="H87" s="2" t="s">
        <v>185</v>
      </c>
      <c r="I87" s="2" t="s">
        <v>186</v>
      </c>
      <c r="J87" s="2" t="s">
        <v>186</v>
      </c>
      <c r="K87" s="2" t="s">
        <v>133</v>
      </c>
      <c r="L87" s="2" t="s">
        <v>588</v>
      </c>
      <c r="M87" s="2"/>
      <c r="N87" s="2"/>
      <c r="O87" s="2" t="s">
        <v>497</v>
      </c>
      <c r="P87" s="2"/>
      <c r="Q87" s="2"/>
      <c r="R87" s="2" t="s">
        <v>618</v>
      </c>
      <c r="S87" s="2" t="s">
        <v>33</v>
      </c>
      <c r="T87" s="2" t="s">
        <v>33</v>
      </c>
      <c r="U87" s="2" t="s">
        <v>33</v>
      </c>
      <c r="V87" s="2" t="s">
        <v>611</v>
      </c>
      <c r="W87" s="2"/>
      <c r="X87" s="2" t="s">
        <v>119</v>
      </c>
      <c r="Y87" s="2"/>
      <c r="Z87" s="2"/>
      <c r="AA87" s="2" t="s">
        <v>102</v>
      </c>
      <c r="AB87" s="2" t="s">
        <v>19</v>
      </c>
    </row>
    <row r="88" spans="1:28" ht="41.4" x14ac:dyDescent="0.3">
      <c r="A88" s="2" t="s">
        <v>118</v>
      </c>
      <c r="B88" s="2" t="s">
        <v>119</v>
      </c>
      <c r="C88" s="2"/>
      <c r="D88" s="2" t="s">
        <v>605</v>
      </c>
      <c r="E88" s="2"/>
      <c r="F88" s="2" t="s">
        <v>606</v>
      </c>
      <c r="G88" s="2" t="s">
        <v>145</v>
      </c>
      <c r="H88" s="2" t="s">
        <v>187</v>
      </c>
      <c r="I88" s="2" t="s">
        <v>188</v>
      </c>
      <c r="J88" s="2" t="s">
        <v>188</v>
      </c>
      <c r="K88" s="2" t="s">
        <v>133</v>
      </c>
      <c r="L88" s="2" t="s">
        <v>588</v>
      </c>
      <c r="M88" s="2"/>
      <c r="N88" s="2"/>
      <c r="O88" s="2" t="s">
        <v>497</v>
      </c>
      <c r="P88" s="2"/>
      <c r="Q88" s="2"/>
      <c r="R88" s="2" t="s">
        <v>618</v>
      </c>
      <c r="S88" s="2" t="s">
        <v>33</v>
      </c>
      <c r="T88" s="2" t="s">
        <v>33</v>
      </c>
      <c r="U88" s="2" t="s">
        <v>33</v>
      </c>
      <c r="V88" s="2" t="s">
        <v>611</v>
      </c>
      <c r="W88" s="2"/>
      <c r="X88" s="2" t="s">
        <v>119</v>
      </c>
      <c r="Y88" s="2"/>
      <c r="Z88" s="2"/>
      <c r="AA88" s="2" t="s">
        <v>102</v>
      </c>
      <c r="AB88" s="2" t="s">
        <v>19</v>
      </c>
    </row>
    <row r="89" spans="1:28" x14ac:dyDescent="0.3">
      <c r="A89" s="2" t="s">
        <v>118</v>
      </c>
      <c r="B89" s="2" t="s">
        <v>119</v>
      </c>
      <c r="C89" s="2" t="s">
        <v>619</v>
      </c>
      <c r="D89" s="2" t="s">
        <v>620</v>
      </c>
      <c r="E89" s="2"/>
      <c r="F89" s="2" t="s">
        <v>38</v>
      </c>
      <c r="G89" s="2" t="s">
        <v>145</v>
      </c>
      <c r="H89" s="2" t="s">
        <v>53</v>
      </c>
      <c r="I89" s="2" t="s">
        <v>189</v>
      </c>
      <c r="J89" s="2" t="s">
        <v>189</v>
      </c>
      <c r="K89" s="2" t="s">
        <v>18</v>
      </c>
      <c r="L89" s="2" t="s">
        <v>539</v>
      </c>
      <c r="M89" s="2" t="s">
        <v>190</v>
      </c>
      <c r="N89" s="2" t="s">
        <v>190</v>
      </c>
      <c r="O89" s="2" t="s">
        <v>540</v>
      </c>
      <c r="P89" s="2"/>
      <c r="Q89" s="2"/>
      <c r="R89" s="2"/>
      <c r="S89" s="2" t="s">
        <v>33</v>
      </c>
      <c r="T89" s="2" t="s">
        <v>33</v>
      </c>
      <c r="U89" s="2"/>
      <c r="V89" s="2" t="s">
        <v>554</v>
      </c>
      <c r="W89" s="2"/>
      <c r="X89" s="2" t="s">
        <v>119</v>
      </c>
      <c r="Y89" s="2"/>
      <c r="Z89" s="2"/>
      <c r="AA89" s="2" t="s">
        <v>10</v>
      </c>
      <c r="AB89" s="2" t="s">
        <v>19</v>
      </c>
    </row>
    <row r="90" spans="1:28" ht="69" x14ac:dyDescent="0.3">
      <c r="A90" s="2" t="s">
        <v>118</v>
      </c>
      <c r="B90" s="2" t="s">
        <v>119</v>
      </c>
      <c r="C90" s="2" t="s">
        <v>619</v>
      </c>
      <c r="D90" s="2" t="s">
        <v>620</v>
      </c>
      <c r="E90" s="2"/>
      <c r="F90" s="2" t="s">
        <v>38</v>
      </c>
      <c r="G90" s="2" t="s">
        <v>145</v>
      </c>
      <c r="H90" s="2" t="s">
        <v>191</v>
      </c>
      <c r="I90" s="2" t="s">
        <v>192</v>
      </c>
      <c r="J90" s="2" t="s">
        <v>192</v>
      </c>
      <c r="K90" s="2" t="s">
        <v>57</v>
      </c>
      <c r="L90" s="2" t="s">
        <v>539</v>
      </c>
      <c r="M90" s="2" t="s">
        <v>32</v>
      </c>
      <c r="N90" s="2" t="s">
        <v>621</v>
      </c>
      <c r="O90" s="2" t="s">
        <v>540</v>
      </c>
      <c r="P90" s="2" t="s">
        <v>19</v>
      </c>
      <c r="Q90" s="2"/>
      <c r="R90" s="2" t="s">
        <v>622</v>
      </c>
      <c r="S90" s="2" t="s">
        <v>33</v>
      </c>
      <c r="T90" s="2" t="s">
        <v>623</v>
      </c>
      <c r="U90" s="2"/>
      <c r="V90" s="2" t="s">
        <v>554</v>
      </c>
      <c r="W90" s="2"/>
      <c r="X90" s="2" t="s">
        <v>119</v>
      </c>
      <c r="Y90" s="2"/>
      <c r="Z90" s="2"/>
      <c r="AA90" s="2" t="s">
        <v>10</v>
      </c>
      <c r="AB90" s="2" t="s">
        <v>33</v>
      </c>
    </row>
    <row r="91" spans="1:28" ht="110.4" x14ac:dyDescent="0.3">
      <c r="A91" s="2" t="s">
        <v>118</v>
      </c>
      <c r="B91" s="2" t="s">
        <v>119</v>
      </c>
      <c r="C91" s="2" t="s">
        <v>619</v>
      </c>
      <c r="D91" s="2" t="s">
        <v>620</v>
      </c>
      <c r="E91" s="2"/>
      <c r="F91" s="2" t="s">
        <v>38</v>
      </c>
      <c r="G91" s="2" t="s">
        <v>145</v>
      </c>
      <c r="H91" s="2" t="s">
        <v>193</v>
      </c>
      <c r="I91" s="2" t="s">
        <v>194</v>
      </c>
      <c r="J91" s="2" t="s">
        <v>194</v>
      </c>
      <c r="K91" s="2" t="s">
        <v>18</v>
      </c>
      <c r="L91" s="2" t="s">
        <v>555</v>
      </c>
      <c r="M91" s="2"/>
      <c r="N91" s="2"/>
      <c r="O91" s="2" t="s">
        <v>540</v>
      </c>
      <c r="P91" s="2"/>
      <c r="Q91" s="2"/>
      <c r="R91" s="2" t="s">
        <v>624</v>
      </c>
      <c r="S91" s="2" t="s">
        <v>19</v>
      </c>
      <c r="T91" s="2" t="s">
        <v>33</v>
      </c>
      <c r="U91" s="2" t="s">
        <v>33</v>
      </c>
      <c r="V91" s="2" t="s">
        <v>554</v>
      </c>
      <c r="W91" s="2"/>
      <c r="X91" s="2" t="s">
        <v>119</v>
      </c>
      <c r="Y91" s="2"/>
      <c r="Z91" s="2"/>
      <c r="AA91" s="2" t="s">
        <v>10</v>
      </c>
      <c r="AB91" s="2" t="s">
        <v>19</v>
      </c>
    </row>
    <row r="92" spans="1:28" ht="124.2" x14ac:dyDescent="0.3">
      <c r="A92" s="2" t="s">
        <v>118</v>
      </c>
      <c r="B92" s="2" t="s">
        <v>119</v>
      </c>
      <c r="C92" s="2" t="s">
        <v>619</v>
      </c>
      <c r="D92" s="2" t="s">
        <v>620</v>
      </c>
      <c r="E92" s="2"/>
      <c r="F92" s="2" t="s">
        <v>38</v>
      </c>
      <c r="G92" s="2" t="s">
        <v>145</v>
      </c>
      <c r="H92" s="2" t="s">
        <v>195</v>
      </c>
      <c r="I92" s="2" t="s">
        <v>196</v>
      </c>
      <c r="J92" s="2" t="s">
        <v>196</v>
      </c>
      <c r="K92" s="2" t="s">
        <v>18</v>
      </c>
      <c r="L92" s="2" t="s">
        <v>555</v>
      </c>
      <c r="M92" s="2" t="s">
        <v>190</v>
      </c>
      <c r="N92" s="2" t="s">
        <v>190</v>
      </c>
      <c r="O92" s="2" t="s">
        <v>540</v>
      </c>
      <c r="P92" s="2"/>
      <c r="Q92" s="2"/>
      <c r="R92" s="2" t="s">
        <v>625</v>
      </c>
      <c r="S92" s="2" t="s">
        <v>19</v>
      </c>
      <c r="T92" s="2" t="s">
        <v>33</v>
      </c>
      <c r="U92" s="2" t="s">
        <v>33</v>
      </c>
      <c r="V92" s="2" t="s">
        <v>554</v>
      </c>
      <c r="W92" s="2"/>
      <c r="X92" s="2" t="s">
        <v>119</v>
      </c>
      <c r="Y92" s="2"/>
      <c r="Z92" s="2"/>
      <c r="AA92" s="2" t="s">
        <v>10</v>
      </c>
      <c r="AB92" s="2" t="s">
        <v>19</v>
      </c>
    </row>
    <row r="93" spans="1:28" ht="124.2" x14ac:dyDescent="0.3">
      <c r="A93" s="2" t="s">
        <v>118</v>
      </c>
      <c r="B93" s="2" t="s">
        <v>119</v>
      </c>
      <c r="C93" s="2" t="s">
        <v>619</v>
      </c>
      <c r="D93" s="2" t="s">
        <v>620</v>
      </c>
      <c r="E93" s="2"/>
      <c r="F93" s="2" t="s">
        <v>38</v>
      </c>
      <c r="G93" s="2" t="s">
        <v>145</v>
      </c>
      <c r="H93" s="2" t="s">
        <v>197</v>
      </c>
      <c r="I93" s="2" t="s">
        <v>198</v>
      </c>
      <c r="J93" s="2" t="s">
        <v>198</v>
      </c>
      <c r="K93" s="2" t="s">
        <v>18</v>
      </c>
      <c r="L93" s="2" t="s">
        <v>555</v>
      </c>
      <c r="M93" s="2" t="s">
        <v>190</v>
      </c>
      <c r="N93" s="2" t="s">
        <v>190</v>
      </c>
      <c r="O93" s="2" t="s">
        <v>540</v>
      </c>
      <c r="P93" s="2"/>
      <c r="Q93" s="2"/>
      <c r="R93" s="2" t="s">
        <v>626</v>
      </c>
      <c r="S93" s="2" t="s">
        <v>19</v>
      </c>
      <c r="T93" s="2" t="s">
        <v>33</v>
      </c>
      <c r="U93" s="2" t="s">
        <v>33</v>
      </c>
      <c r="V93" s="2" t="s">
        <v>554</v>
      </c>
      <c r="W93" s="2"/>
      <c r="X93" s="2" t="s">
        <v>119</v>
      </c>
      <c r="Y93" s="2"/>
      <c r="Z93" s="2"/>
      <c r="AA93" s="2" t="s">
        <v>10</v>
      </c>
      <c r="AB93" s="2" t="s">
        <v>19</v>
      </c>
    </row>
    <row r="94" spans="1:28" ht="124.2" x14ac:dyDescent="0.3">
      <c r="A94" s="2" t="s">
        <v>118</v>
      </c>
      <c r="B94" s="2" t="s">
        <v>119</v>
      </c>
      <c r="C94" s="2" t="s">
        <v>619</v>
      </c>
      <c r="D94" s="2" t="s">
        <v>620</v>
      </c>
      <c r="E94" s="2"/>
      <c r="F94" s="2" t="s">
        <v>38</v>
      </c>
      <c r="G94" s="2" t="s">
        <v>145</v>
      </c>
      <c r="H94" s="2" t="s">
        <v>199</v>
      </c>
      <c r="I94" s="2" t="s">
        <v>200</v>
      </c>
      <c r="J94" s="2" t="s">
        <v>200</v>
      </c>
      <c r="K94" s="2" t="s">
        <v>18</v>
      </c>
      <c r="L94" s="2" t="s">
        <v>555</v>
      </c>
      <c r="M94" s="2" t="s">
        <v>190</v>
      </c>
      <c r="N94" s="2" t="s">
        <v>190</v>
      </c>
      <c r="O94" s="2" t="s">
        <v>540</v>
      </c>
      <c r="P94" s="2"/>
      <c r="Q94" s="2"/>
      <c r="R94" s="2" t="s">
        <v>627</v>
      </c>
      <c r="S94" s="2" t="s">
        <v>19</v>
      </c>
      <c r="T94" s="2" t="s">
        <v>33</v>
      </c>
      <c r="U94" s="2" t="s">
        <v>33</v>
      </c>
      <c r="V94" s="2" t="s">
        <v>554</v>
      </c>
      <c r="W94" s="2"/>
      <c r="X94" s="2" t="s">
        <v>119</v>
      </c>
      <c r="Y94" s="2"/>
      <c r="Z94" s="2"/>
      <c r="AA94" s="2" t="s">
        <v>10</v>
      </c>
      <c r="AB94" s="2" t="s">
        <v>19</v>
      </c>
    </row>
    <row r="95" spans="1:28" ht="124.2" x14ac:dyDescent="0.3">
      <c r="A95" s="2" t="s">
        <v>118</v>
      </c>
      <c r="B95" s="2" t="s">
        <v>119</v>
      </c>
      <c r="C95" s="2" t="s">
        <v>619</v>
      </c>
      <c r="D95" s="2" t="s">
        <v>620</v>
      </c>
      <c r="E95" s="2"/>
      <c r="F95" s="2" t="s">
        <v>38</v>
      </c>
      <c r="G95" s="2" t="s">
        <v>145</v>
      </c>
      <c r="H95" s="2" t="s">
        <v>201</v>
      </c>
      <c r="I95" s="2" t="s">
        <v>202</v>
      </c>
      <c r="J95" s="2" t="s">
        <v>202</v>
      </c>
      <c r="K95" s="2" t="s">
        <v>18</v>
      </c>
      <c r="L95" s="2" t="s">
        <v>555</v>
      </c>
      <c r="M95" s="2" t="s">
        <v>190</v>
      </c>
      <c r="N95" s="2" t="s">
        <v>190</v>
      </c>
      <c r="O95" s="2" t="s">
        <v>540</v>
      </c>
      <c r="P95" s="2"/>
      <c r="Q95" s="2"/>
      <c r="R95" s="2" t="s">
        <v>628</v>
      </c>
      <c r="S95" s="2" t="s">
        <v>19</v>
      </c>
      <c r="T95" s="2" t="s">
        <v>33</v>
      </c>
      <c r="U95" s="2" t="s">
        <v>33</v>
      </c>
      <c r="V95" s="2" t="s">
        <v>554</v>
      </c>
      <c r="W95" s="2"/>
      <c r="X95" s="2" t="s">
        <v>119</v>
      </c>
      <c r="Y95" s="2"/>
      <c r="Z95" s="2"/>
      <c r="AA95" s="2" t="s">
        <v>10</v>
      </c>
      <c r="AB95" s="2" t="s">
        <v>19</v>
      </c>
    </row>
    <row r="96" spans="1:28" x14ac:dyDescent="0.3">
      <c r="A96" s="2" t="s">
        <v>118</v>
      </c>
      <c r="B96" s="2" t="s">
        <v>119</v>
      </c>
      <c r="C96" s="2" t="s">
        <v>619</v>
      </c>
      <c r="D96" s="2" t="s">
        <v>620</v>
      </c>
      <c r="E96" s="2"/>
      <c r="F96" s="2" t="s">
        <v>38</v>
      </c>
      <c r="G96" s="2" t="s">
        <v>145</v>
      </c>
      <c r="H96" s="2" t="s">
        <v>203</v>
      </c>
      <c r="I96" s="2" t="s">
        <v>48</v>
      </c>
      <c r="J96" s="2" t="s">
        <v>204</v>
      </c>
      <c r="K96" s="2" t="s">
        <v>18</v>
      </c>
      <c r="L96" s="2" t="s">
        <v>555</v>
      </c>
      <c r="M96" s="2" t="s">
        <v>190</v>
      </c>
      <c r="N96" s="2"/>
      <c r="O96" s="2" t="s">
        <v>540</v>
      </c>
      <c r="P96" s="2"/>
      <c r="Q96" s="2"/>
      <c r="R96" s="2"/>
      <c r="S96" s="2" t="s">
        <v>33</v>
      </c>
      <c r="T96" s="2" t="s">
        <v>623</v>
      </c>
      <c r="U96" s="2" t="s">
        <v>33</v>
      </c>
      <c r="V96" s="2" t="s">
        <v>554</v>
      </c>
      <c r="W96" s="2"/>
      <c r="X96" s="2" t="s">
        <v>119</v>
      </c>
      <c r="Y96" s="2"/>
      <c r="Z96" s="2"/>
      <c r="AA96" s="2" t="s">
        <v>10</v>
      </c>
      <c r="AB96" s="2" t="s">
        <v>19</v>
      </c>
    </row>
    <row r="97" spans="1:28" x14ac:dyDescent="0.3">
      <c r="A97" s="2" t="s">
        <v>118</v>
      </c>
      <c r="B97" s="2" t="s">
        <v>119</v>
      </c>
      <c r="C97" s="2" t="s">
        <v>619</v>
      </c>
      <c r="D97" s="2" t="s">
        <v>620</v>
      </c>
      <c r="E97" s="2"/>
      <c r="F97" s="2" t="s">
        <v>38</v>
      </c>
      <c r="G97" s="2" t="s">
        <v>145</v>
      </c>
      <c r="H97" s="2" t="s">
        <v>205</v>
      </c>
      <c r="I97" s="2" t="s">
        <v>206</v>
      </c>
      <c r="J97" s="2" t="s">
        <v>206</v>
      </c>
      <c r="K97" s="2" t="s">
        <v>18</v>
      </c>
      <c r="L97" s="2" t="s">
        <v>555</v>
      </c>
      <c r="M97" s="2" t="s">
        <v>190</v>
      </c>
      <c r="N97" s="2"/>
      <c r="O97" s="2" t="s">
        <v>540</v>
      </c>
      <c r="P97" s="2"/>
      <c r="Q97" s="2"/>
      <c r="R97" s="2"/>
      <c r="S97" s="2" t="s">
        <v>19</v>
      </c>
      <c r="T97" s="2" t="s">
        <v>33</v>
      </c>
      <c r="U97" s="2" t="s">
        <v>33</v>
      </c>
      <c r="V97" s="2" t="s">
        <v>554</v>
      </c>
      <c r="W97" s="2"/>
      <c r="X97" s="2" t="s">
        <v>119</v>
      </c>
      <c r="Y97" s="2"/>
      <c r="Z97" s="2"/>
      <c r="AA97" s="2" t="s">
        <v>10</v>
      </c>
      <c r="AB97" s="2" t="s">
        <v>19</v>
      </c>
    </row>
    <row r="98" spans="1:28" ht="69" x14ac:dyDescent="0.3">
      <c r="A98" s="2" t="s">
        <v>118</v>
      </c>
      <c r="B98" s="2" t="s">
        <v>119</v>
      </c>
      <c r="C98" s="2" t="s">
        <v>619</v>
      </c>
      <c r="D98" s="2" t="s">
        <v>620</v>
      </c>
      <c r="E98" s="2"/>
      <c r="F98" s="2" t="s">
        <v>38</v>
      </c>
      <c r="G98" s="2" t="s">
        <v>145</v>
      </c>
      <c r="H98" s="2" t="s">
        <v>207</v>
      </c>
      <c r="I98" s="2" t="s">
        <v>208</v>
      </c>
      <c r="J98" s="2" t="s">
        <v>209</v>
      </c>
      <c r="K98" s="2" t="s">
        <v>18</v>
      </c>
      <c r="L98" s="2" t="s">
        <v>555</v>
      </c>
      <c r="M98" s="2" t="s">
        <v>190</v>
      </c>
      <c r="N98" s="2"/>
      <c r="O98" s="2" t="s">
        <v>540</v>
      </c>
      <c r="P98" s="2"/>
      <c r="Q98" s="2"/>
      <c r="R98" s="2" t="s">
        <v>629</v>
      </c>
      <c r="S98" s="2" t="s">
        <v>19</v>
      </c>
      <c r="T98" s="2" t="s">
        <v>33</v>
      </c>
      <c r="U98" s="2"/>
      <c r="V98" s="2" t="s">
        <v>554</v>
      </c>
      <c r="W98" s="2"/>
      <c r="X98" s="2" t="s">
        <v>119</v>
      </c>
      <c r="Y98" s="2"/>
      <c r="Z98" s="2"/>
      <c r="AA98" s="2" t="s">
        <v>10</v>
      </c>
      <c r="AB98" s="2" t="s">
        <v>19</v>
      </c>
    </row>
    <row r="99" spans="1:28" ht="409.6" x14ac:dyDescent="0.3">
      <c r="A99" s="2" t="s">
        <v>118</v>
      </c>
      <c r="B99" s="2" t="s">
        <v>119</v>
      </c>
      <c r="C99" s="2" t="s">
        <v>619</v>
      </c>
      <c r="D99" s="2" t="s">
        <v>620</v>
      </c>
      <c r="E99" s="2"/>
      <c r="F99" s="2" t="s">
        <v>38</v>
      </c>
      <c r="G99" s="2" t="s">
        <v>145</v>
      </c>
      <c r="H99" s="2" t="s">
        <v>74</v>
      </c>
      <c r="I99" s="2" t="s">
        <v>75</v>
      </c>
      <c r="J99" s="2" t="s">
        <v>75</v>
      </c>
      <c r="K99" s="2" t="s">
        <v>57</v>
      </c>
      <c r="L99" s="2" t="s">
        <v>539</v>
      </c>
      <c r="M99" s="2" t="s">
        <v>35</v>
      </c>
      <c r="N99" s="2" t="s">
        <v>630</v>
      </c>
      <c r="O99" s="2" t="s">
        <v>540</v>
      </c>
      <c r="P99" s="2"/>
      <c r="Q99" s="2"/>
      <c r="R99" s="2"/>
      <c r="S99" s="2" t="s">
        <v>33</v>
      </c>
      <c r="T99" s="2" t="s">
        <v>33</v>
      </c>
      <c r="U99" s="2" t="s">
        <v>33</v>
      </c>
      <c r="V99" s="2" t="s">
        <v>554</v>
      </c>
      <c r="W99" s="2"/>
      <c r="X99" s="2" t="s">
        <v>119</v>
      </c>
      <c r="Y99" s="2"/>
      <c r="Z99" s="2"/>
      <c r="AA99" s="2" t="s">
        <v>10</v>
      </c>
      <c r="AB99" s="2" t="s">
        <v>33</v>
      </c>
    </row>
    <row r="100" spans="1:28" ht="372.6" x14ac:dyDescent="0.3">
      <c r="A100" s="2" t="s">
        <v>118</v>
      </c>
      <c r="B100" s="2" t="s">
        <v>119</v>
      </c>
      <c r="C100" s="2" t="s">
        <v>619</v>
      </c>
      <c r="D100" s="2" t="s">
        <v>620</v>
      </c>
      <c r="E100" s="2"/>
      <c r="F100" s="2" t="s">
        <v>38</v>
      </c>
      <c r="G100" s="2" t="s">
        <v>145</v>
      </c>
      <c r="H100" s="2" t="s">
        <v>55</v>
      </c>
      <c r="I100" s="2" t="s">
        <v>56</v>
      </c>
      <c r="J100" s="2" t="s">
        <v>56</v>
      </c>
      <c r="K100" s="2" t="s">
        <v>57</v>
      </c>
      <c r="L100" s="2" t="s">
        <v>539</v>
      </c>
      <c r="M100" s="2" t="s">
        <v>32</v>
      </c>
      <c r="N100" s="2" t="s">
        <v>558</v>
      </c>
      <c r="O100" s="2" t="s">
        <v>540</v>
      </c>
      <c r="P100" s="2"/>
      <c r="Q100" s="2"/>
      <c r="R100" s="2" t="s">
        <v>631</v>
      </c>
      <c r="S100" s="2" t="s">
        <v>33</v>
      </c>
      <c r="T100" s="2" t="s">
        <v>33</v>
      </c>
      <c r="U100" s="2" t="s">
        <v>33</v>
      </c>
      <c r="V100" s="2" t="s">
        <v>554</v>
      </c>
      <c r="W100" s="2"/>
      <c r="X100" s="2" t="s">
        <v>119</v>
      </c>
      <c r="Y100" s="2"/>
      <c r="Z100" s="2"/>
      <c r="AA100" s="2" t="s">
        <v>10</v>
      </c>
      <c r="AB100" s="2" t="s">
        <v>33</v>
      </c>
    </row>
    <row r="101" spans="1:28" ht="41.4" x14ac:dyDescent="0.3">
      <c r="A101" s="2" t="s">
        <v>118</v>
      </c>
      <c r="B101" s="2" t="s">
        <v>119</v>
      </c>
      <c r="C101" s="2" t="s">
        <v>619</v>
      </c>
      <c r="D101" s="2" t="s">
        <v>620</v>
      </c>
      <c r="E101" s="2"/>
      <c r="F101" s="2" t="s">
        <v>38</v>
      </c>
      <c r="G101" s="2" t="s">
        <v>145</v>
      </c>
      <c r="H101" s="2" t="s">
        <v>210</v>
      </c>
      <c r="I101" s="2" t="s">
        <v>211</v>
      </c>
      <c r="J101" s="2" t="s">
        <v>211</v>
      </c>
      <c r="K101" s="2" t="s">
        <v>57</v>
      </c>
      <c r="L101" s="2" t="s">
        <v>539</v>
      </c>
      <c r="M101" s="2" t="s">
        <v>32</v>
      </c>
      <c r="N101" s="2" t="s">
        <v>632</v>
      </c>
      <c r="O101" s="2" t="s">
        <v>540</v>
      </c>
      <c r="P101" s="2"/>
      <c r="Q101" s="2"/>
      <c r="R101" s="2"/>
      <c r="S101" s="2" t="s">
        <v>33</v>
      </c>
      <c r="T101" s="2" t="s">
        <v>623</v>
      </c>
      <c r="U101" s="2"/>
      <c r="V101" s="2" t="s">
        <v>554</v>
      </c>
      <c r="W101" s="2"/>
      <c r="X101" s="2" t="s">
        <v>119</v>
      </c>
      <c r="Y101" s="2"/>
      <c r="Z101" s="2"/>
      <c r="AA101" s="2" t="s">
        <v>10</v>
      </c>
      <c r="AB101" s="2" t="s">
        <v>33</v>
      </c>
    </row>
    <row r="102" spans="1:28" ht="82.8" x14ac:dyDescent="0.3">
      <c r="A102" s="2" t="s">
        <v>118</v>
      </c>
      <c r="B102" s="2" t="s">
        <v>119</v>
      </c>
      <c r="C102" s="2" t="s">
        <v>619</v>
      </c>
      <c r="D102" s="2" t="s">
        <v>620</v>
      </c>
      <c r="E102" s="2"/>
      <c r="F102" s="2" t="s">
        <v>38</v>
      </c>
      <c r="G102" s="2" t="s">
        <v>145</v>
      </c>
      <c r="H102" s="2" t="s">
        <v>212</v>
      </c>
      <c r="I102" s="2" t="s">
        <v>213</v>
      </c>
      <c r="J102" s="2" t="s">
        <v>214</v>
      </c>
      <c r="K102" s="2" t="s">
        <v>57</v>
      </c>
      <c r="L102" s="2" t="s">
        <v>539</v>
      </c>
      <c r="M102" s="2" t="s">
        <v>32</v>
      </c>
      <c r="N102" s="2" t="s">
        <v>559</v>
      </c>
      <c r="O102" s="2" t="s">
        <v>540</v>
      </c>
      <c r="P102" s="2"/>
      <c r="Q102" s="2"/>
      <c r="R102" s="2" t="s">
        <v>633</v>
      </c>
      <c r="S102" s="2" t="s">
        <v>19</v>
      </c>
      <c r="T102" s="2" t="s">
        <v>33</v>
      </c>
      <c r="U102" s="2" t="s">
        <v>33</v>
      </c>
      <c r="V102" s="2" t="s">
        <v>554</v>
      </c>
      <c r="W102" s="2"/>
      <c r="X102" s="2" t="s">
        <v>119</v>
      </c>
      <c r="Y102" s="2"/>
      <c r="Z102" s="2"/>
      <c r="AA102" s="2" t="s">
        <v>10</v>
      </c>
      <c r="AB102" s="2" t="s">
        <v>33</v>
      </c>
    </row>
    <row r="103" spans="1:28" ht="82.8" x14ac:dyDescent="0.3">
      <c r="A103" s="2" t="s">
        <v>118</v>
      </c>
      <c r="B103" s="2" t="s">
        <v>119</v>
      </c>
      <c r="C103" s="2" t="s">
        <v>634</v>
      </c>
      <c r="D103" s="2" t="s">
        <v>620</v>
      </c>
      <c r="E103" s="2"/>
      <c r="F103" s="2" t="s">
        <v>38</v>
      </c>
      <c r="G103" s="2" t="s">
        <v>145</v>
      </c>
      <c r="H103" s="2" t="s">
        <v>61</v>
      </c>
      <c r="I103" s="2" t="s">
        <v>62</v>
      </c>
      <c r="J103" s="2" t="s">
        <v>63</v>
      </c>
      <c r="K103" s="2" t="s">
        <v>57</v>
      </c>
      <c r="L103" s="2" t="s">
        <v>539</v>
      </c>
      <c r="M103" s="2" t="s">
        <v>32</v>
      </c>
      <c r="N103" s="2" t="s">
        <v>561</v>
      </c>
      <c r="O103" s="2" t="s">
        <v>540</v>
      </c>
      <c r="P103" s="2"/>
      <c r="Q103" s="2"/>
      <c r="R103" s="2" t="s">
        <v>633</v>
      </c>
      <c r="S103" s="2" t="s">
        <v>19</v>
      </c>
      <c r="T103" s="2" t="s">
        <v>19</v>
      </c>
      <c r="U103" s="2"/>
      <c r="V103" s="2" t="s">
        <v>554</v>
      </c>
      <c r="W103" s="2"/>
      <c r="X103" s="2" t="s">
        <v>119</v>
      </c>
      <c r="Y103" s="2"/>
      <c r="Z103" s="2"/>
      <c r="AA103" s="2" t="s">
        <v>10</v>
      </c>
      <c r="AB103" s="2" t="s">
        <v>33</v>
      </c>
    </row>
    <row r="104" spans="1:28" ht="82.8" x14ac:dyDescent="0.3">
      <c r="A104" s="2" t="s">
        <v>118</v>
      </c>
      <c r="B104" s="2" t="s">
        <v>119</v>
      </c>
      <c r="C104" s="2" t="s">
        <v>634</v>
      </c>
      <c r="D104" s="2" t="s">
        <v>620</v>
      </c>
      <c r="E104" s="2"/>
      <c r="F104" s="2" t="s">
        <v>38</v>
      </c>
      <c r="G104" s="2" t="s">
        <v>145</v>
      </c>
      <c r="H104" s="2" t="s">
        <v>215</v>
      </c>
      <c r="I104" s="2" t="s">
        <v>216</v>
      </c>
      <c r="J104" s="2" t="s">
        <v>217</v>
      </c>
      <c r="K104" s="2" t="s">
        <v>57</v>
      </c>
      <c r="L104" s="2" t="s">
        <v>539</v>
      </c>
      <c r="M104" s="2" t="s">
        <v>32</v>
      </c>
      <c r="N104" s="2" t="s">
        <v>559</v>
      </c>
      <c r="O104" s="2" t="s">
        <v>540</v>
      </c>
      <c r="P104" s="2"/>
      <c r="Q104" s="2"/>
      <c r="R104" s="2" t="s">
        <v>633</v>
      </c>
      <c r="S104" s="2" t="s">
        <v>19</v>
      </c>
      <c r="T104" s="2" t="s">
        <v>19</v>
      </c>
      <c r="U104" s="2" t="s">
        <v>33</v>
      </c>
      <c r="V104" s="2" t="s">
        <v>554</v>
      </c>
      <c r="W104" s="2"/>
      <c r="X104" s="2" t="s">
        <v>119</v>
      </c>
      <c r="Y104" s="2"/>
      <c r="Z104" s="2"/>
      <c r="AA104" s="2" t="s">
        <v>10</v>
      </c>
      <c r="AB104" s="2" t="s">
        <v>33</v>
      </c>
    </row>
    <row r="105" spans="1:28" ht="82.8" x14ac:dyDescent="0.3">
      <c r="A105" s="2" t="s">
        <v>118</v>
      </c>
      <c r="B105" s="2" t="s">
        <v>119</v>
      </c>
      <c r="C105" s="2" t="s">
        <v>634</v>
      </c>
      <c r="D105" s="2" t="s">
        <v>620</v>
      </c>
      <c r="E105" s="2"/>
      <c r="F105" s="2" t="s">
        <v>38</v>
      </c>
      <c r="G105" s="2" t="s">
        <v>145</v>
      </c>
      <c r="H105" s="2" t="s">
        <v>67</v>
      </c>
      <c r="I105" s="2" t="s">
        <v>68</v>
      </c>
      <c r="J105" s="2" t="s">
        <v>69</v>
      </c>
      <c r="K105" s="2" t="s">
        <v>57</v>
      </c>
      <c r="L105" s="2" t="s">
        <v>539</v>
      </c>
      <c r="M105" s="2" t="s">
        <v>32</v>
      </c>
      <c r="N105" s="2" t="s">
        <v>561</v>
      </c>
      <c r="O105" s="2" t="s">
        <v>540</v>
      </c>
      <c r="P105" s="2"/>
      <c r="Q105" s="2"/>
      <c r="R105" s="2" t="s">
        <v>633</v>
      </c>
      <c r="S105" s="2" t="s">
        <v>19</v>
      </c>
      <c r="T105" s="2" t="s">
        <v>19</v>
      </c>
      <c r="U105" s="2"/>
      <c r="V105" s="2" t="s">
        <v>554</v>
      </c>
      <c r="W105" s="2"/>
      <c r="X105" s="2" t="s">
        <v>119</v>
      </c>
      <c r="Y105" s="2"/>
      <c r="Z105" s="2"/>
      <c r="AA105" s="2" t="s">
        <v>10</v>
      </c>
      <c r="AB105" s="2" t="s">
        <v>33</v>
      </c>
    </row>
    <row r="106" spans="1:28" ht="41.4" x14ac:dyDescent="0.3">
      <c r="A106" s="2" t="s">
        <v>118</v>
      </c>
      <c r="B106" s="2" t="s">
        <v>119</v>
      </c>
      <c r="C106" s="2" t="s">
        <v>635</v>
      </c>
      <c r="D106" s="2" t="s">
        <v>620</v>
      </c>
      <c r="E106" s="2"/>
      <c r="F106" s="2" t="s">
        <v>38</v>
      </c>
      <c r="G106" s="2" t="s">
        <v>120</v>
      </c>
      <c r="H106" s="2" t="s">
        <v>218</v>
      </c>
      <c r="I106" s="2" t="s">
        <v>219</v>
      </c>
      <c r="J106" s="2" t="s">
        <v>220</v>
      </c>
      <c r="K106" s="2" t="s">
        <v>57</v>
      </c>
      <c r="L106" s="2" t="s">
        <v>539</v>
      </c>
      <c r="M106" s="2" t="s">
        <v>32</v>
      </c>
      <c r="N106" s="2" t="s">
        <v>559</v>
      </c>
      <c r="O106" s="2" t="s">
        <v>540</v>
      </c>
      <c r="P106" s="2"/>
      <c r="Q106" s="2"/>
      <c r="R106" s="2" t="s">
        <v>636</v>
      </c>
      <c r="S106" s="2" t="s">
        <v>19</v>
      </c>
      <c r="T106" s="2" t="s">
        <v>19</v>
      </c>
      <c r="U106" s="2"/>
      <c r="V106" s="2" t="s">
        <v>554</v>
      </c>
      <c r="W106" s="2"/>
      <c r="X106" s="2" t="s">
        <v>119</v>
      </c>
      <c r="Y106" s="2"/>
      <c r="Z106" s="2"/>
      <c r="AA106" s="2" t="s">
        <v>10</v>
      </c>
      <c r="AB106" s="2" t="s">
        <v>33</v>
      </c>
    </row>
    <row r="107" spans="1:28" x14ac:dyDescent="0.3">
      <c r="A107" s="2" t="s">
        <v>118</v>
      </c>
      <c r="B107" s="2" t="s">
        <v>119</v>
      </c>
      <c r="C107" s="2" t="s">
        <v>635</v>
      </c>
      <c r="D107" s="2" t="s">
        <v>637</v>
      </c>
      <c r="E107" s="2"/>
      <c r="F107" s="2" t="s">
        <v>146</v>
      </c>
      <c r="G107" s="2" t="s">
        <v>145</v>
      </c>
      <c r="H107" s="2" t="s">
        <v>221</v>
      </c>
      <c r="I107" s="2"/>
      <c r="J107" s="2"/>
      <c r="K107" s="2" t="s">
        <v>18</v>
      </c>
      <c r="L107" s="2" t="s">
        <v>539</v>
      </c>
      <c r="M107" s="2"/>
      <c r="N107" s="2"/>
      <c r="O107" s="2" t="s">
        <v>540</v>
      </c>
      <c r="P107" s="2"/>
      <c r="Q107" s="2"/>
      <c r="R107" s="2"/>
      <c r="S107" s="2" t="s">
        <v>33</v>
      </c>
      <c r="T107" s="2" t="s">
        <v>638</v>
      </c>
      <c r="U107" s="2"/>
      <c r="V107" s="2" t="s">
        <v>639</v>
      </c>
      <c r="W107" s="2"/>
      <c r="X107" s="2" t="s">
        <v>119</v>
      </c>
      <c r="Y107" s="2"/>
      <c r="Z107" s="2"/>
      <c r="AA107" s="2" t="s">
        <v>10</v>
      </c>
      <c r="AB107" s="2" t="s">
        <v>19</v>
      </c>
    </row>
    <row r="108" spans="1:28" x14ac:dyDescent="0.3">
      <c r="A108" s="2" t="s">
        <v>118</v>
      </c>
      <c r="B108" s="2" t="s">
        <v>119</v>
      </c>
      <c r="C108" s="2" t="s">
        <v>635</v>
      </c>
      <c r="D108" s="2" t="s">
        <v>637</v>
      </c>
      <c r="E108" s="2"/>
      <c r="F108" s="2" t="s">
        <v>146</v>
      </c>
      <c r="G108" s="2" t="s">
        <v>145</v>
      </c>
      <c r="H108" s="2" t="s">
        <v>222</v>
      </c>
      <c r="I108" s="2"/>
      <c r="J108" s="2"/>
      <c r="K108" s="2" t="s">
        <v>18</v>
      </c>
      <c r="L108" s="2" t="s">
        <v>539</v>
      </c>
      <c r="M108" s="2"/>
      <c r="N108" s="2"/>
      <c r="O108" s="2" t="s">
        <v>540</v>
      </c>
      <c r="P108" s="2"/>
      <c r="Q108" s="2"/>
      <c r="R108" s="2"/>
      <c r="S108" s="2" t="s">
        <v>33</v>
      </c>
      <c r="T108" s="2" t="s">
        <v>638</v>
      </c>
      <c r="U108" s="2"/>
      <c r="V108" s="2" t="s">
        <v>639</v>
      </c>
      <c r="W108" s="2"/>
      <c r="X108" s="2" t="s">
        <v>119</v>
      </c>
      <c r="Y108" s="2"/>
      <c r="Z108" s="2"/>
      <c r="AA108" s="2" t="s">
        <v>10</v>
      </c>
      <c r="AB108" s="2" t="s">
        <v>19</v>
      </c>
    </row>
    <row r="109" spans="1:28" ht="179.4" x14ac:dyDescent="0.3">
      <c r="A109" s="2" t="s">
        <v>118</v>
      </c>
      <c r="B109" s="2" t="s">
        <v>119</v>
      </c>
      <c r="C109" s="2" t="s">
        <v>635</v>
      </c>
      <c r="D109" s="2" t="s">
        <v>637</v>
      </c>
      <c r="E109" s="2"/>
      <c r="F109" s="2" t="s">
        <v>146</v>
      </c>
      <c r="G109" s="2" t="s">
        <v>145</v>
      </c>
      <c r="H109" s="2" t="s">
        <v>223</v>
      </c>
      <c r="I109" s="2"/>
      <c r="J109" s="2"/>
      <c r="K109" s="2" t="s">
        <v>57</v>
      </c>
      <c r="L109" s="2" t="s">
        <v>539</v>
      </c>
      <c r="M109" s="2" t="s">
        <v>32</v>
      </c>
      <c r="N109" s="2" t="s">
        <v>640</v>
      </c>
      <c r="O109" s="2" t="s">
        <v>540</v>
      </c>
      <c r="P109" s="2"/>
      <c r="Q109" s="2"/>
      <c r="R109" s="2"/>
      <c r="S109" s="2" t="s">
        <v>33</v>
      </c>
      <c r="T109" s="2" t="s">
        <v>638</v>
      </c>
      <c r="U109" s="2"/>
      <c r="V109" s="2" t="s">
        <v>639</v>
      </c>
      <c r="W109" s="2"/>
      <c r="X109" s="2" t="s">
        <v>119</v>
      </c>
      <c r="Y109" s="2"/>
      <c r="Z109" s="2"/>
      <c r="AA109" s="2" t="s">
        <v>10</v>
      </c>
      <c r="AB109" s="2" t="s">
        <v>33</v>
      </c>
    </row>
    <row r="110" spans="1:28" ht="69" x14ac:dyDescent="0.3">
      <c r="A110" s="2" t="s">
        <v>118</v>
      </c>
      <c r="B110" s="2" t="s">
        <v>119</v>
      </c>
      <c r="C110" s="2" t="s">
        <v>635</v>
      </c>
      <c r="D110" s="2" t="s">
        <v>637</v>
      </c>
      <c r="E110" s="2"/>
      <c r="F110" s="2" t="s">
        <v>146</v>
      </c>
      <c r="G110" s="2" t="s">
        <v>145</v>
      </c>
      <c r="H110" s="2" t="s">
        <v>224</v>
      </c>
      <c r="I110" s="2"/>
      <c r="J110" s="2"/>
      <c r="K110" s="2" t="s">
        <v>57</v>
      </c>
      <c r="L110" s="2" t="s">
        <v>539</v>
      </c>
      <c r="M110" s="2" t="s">
        <v>32</v>
      </c>
      <c r="N110" s="2" t="s">
        <v>641</v>
      </c>
      <c r="O110" s="2" t="s">
        <v>540</v>
      </c>
      <c r="P110" s="2"/>
      <c r="Q110" s="2"/>
      <c r="R110" s="2"/>
      <c r="S110" s="2" t="s">
        <v>33</v>
      </c>
      <c r="T110" s="2" t="s">
        <v>638</v>
      </c>
      <c r="U110" s="2"/>
      <c r="V110" s="2" t="s">
        <v>639</v>
      </c>
      <c r="W110" s="2"/>
      <c r="X110" s="2" t="s">
        <v>119</v>
      </c>
      <c r="Y110" s="2"/>
      <c r="Z110" s="2"/>
      <c r="AA110" s="2" t="s">
        <v>10</v>
      </c>
      <c r="AB110" s="2" t="s">
        <v>33</v>
      </c>
    </row>
    <row r="111" spans="1:28" ht="82.8" x14ac:dyDescent="0.3">
      <c r="A111" s="2" t="s">
        <v>118</v>
      </c>
      <c r="B111" s="2" t="s">
        <v>119</v>
      </c>
      <c r="C111" s="2" t="s">
        <v>635</v>
      </c>
      <c r="D111" s="2" t="s">
        <v>637</v>
      </c>
      <c r="E111" s="2"/>
      <c r="F111" s="2" t="s">
        <v>146</v>
      </c>
      <c r="G111" s="2" t="s">
        <v>145</v>
      </c>
      <c r="H111" s="2" t="s">
        <v>225</v>
      </c>
      <c r="I111" s="2"/>
      <c r="J111" s="2"/>
      <c r="K111" s="2" t="s">
        <v>57</v>
      </c>
      <c r="L111" s="2" t="s">
        <v>539</v>
      </c>
      <c r="M111" s="2" t="s">
        <v>32</v>
      </c>
      <c r="N111" s="2" t="s">
        <v>642</v>
      </c>
      <c r="O111" s="2" t="s">
        <v>540</v>
      </c>
      <c r="P111" s="2"/>
      <c r="Q111" s="2"/>
      <c r="R111" s="2"/>
      <c r="S111" s="2" t="s">
        <v>33</v>
      </c>
      <c r="T111" s="2" t="s">
        <v>638</v>
      </c>
      <c r="U111" s="2" t="s">
        <v>33</v>
      </c>
      <c r="V111" s="2" t="s">
        <v>639</v>
      </c>
      <c r="W111" s="2"/>
      <c r="X111" s="2" t="s">
        <v>119</v>
      </c>
      <c r="Y111" s="2"/>
      <c r="Z111" s="2"/>
      <c r="AA111" s="2" t="s">
        <v>10</v>
      </c>
      <c r="AB111" s="2" t="s">
        <v>33</v>
      </c>
    </row>
    <row r="112" spans="1:28" x14ac:dyDescent="0.3">
      <c r="A112" s="2" t="s">
        <v>118</v>
      </c>
      <c r="B112" s="2" t="s">
        <v>119</v>
      </c>
      <c r="C112" s="2" t="s">
        <v>635</v>
      </c>
      <c r="D112" s="2" t="s">
        <v>637</v>
      </c>
      <c r="E112" s="2"/>
      <c r="F112" s="2" t="s">
        <v>146</v>
      </c>
      <c r="G112" s="2" t="s">
        <v>145</v>
      </c>
      <c r="H112" s="2" t="s">
        <v>226</v>
      </c>
      <c r="I112" s="2"/>
      <c r="J112" s="2"/>
      <c r="K112" s="2" t="s">
        <v>18</v>
      </c>
      <c r="L112" s="2" t="s">
        <v>539</v>
      </c>
      <c r="M112" s="2"/>
      <c r="N112" s="2"/>
      <c r="O112" s="2" t="s">
        <v>540</v>
      </c>
      <c r="P112" s="2"/>
      <c r="Q112" s="2"/>
      <c r="R112" s="2"/>
      <c r="S112" s="2" t="s">
        <v>33</v>
      </c>
      <c r="T112" s="2" t="s">
        <v>638</v>
      </c>
      <c r="U112" s="2" t="s">
        <v>33</v>
      </c>
      <c r="V112" s="2" t="s">
        <v>639</v>
      </c>
      <c r="W112" s="2"/>
      <c r="X112" s="2" t="s">
        <v>119</v>
      </c>
      <c r="Y112" s="2"/>
      <c r="Z112" s="2"/>
      <c r="AA112" s="2" t="s">
        <v>10</v>
      </c>
      <c r="AB112" s="2" t="s">
        <v>19</v>
      </c>
    </row>
    <row r="113" spans="1:28" x14ac:dyDescent="0.3">
      <c r="A113" s="2" t="s">
        <v>118</v>
      </c>
      <c r="B113" s="2" t="s">
        <v>119</v>
      </c>
      <c r="C113" s="2" t="s">
        <v>635</v>
      </c>
      <c r="D113" s="2" t="s">
        <v>637</v>
      </c>
      <c r="E113" s="2"/>
      <c r="F113" s="2" t="s">
        <v>146</v>
      </c>
      <c r="G113" s="2" t="s">
        <v>145</v>
      </c>
      <c r="H113" s="2" t="s">
        <v>227</v>
      </c>
      <c r="I113" s="2"/>
      <c r="J113" s="2"/>
      <c r="K113" s="2" t="s">
        <v>18</v>
      </c>
      <c r="L113" s="2" t="s">
        <v>539</v>
      </c>
      <c r="M113" s="2"/>
      <c r="N113" s="2"/>
      <c r="O113" s="2" t="s">
        <v>540</v>
      </c>
      <c r="P113" s="2"/>
      <c r="Q113" s="2"/>
      <c r="R113" s="2"/>
      <c r="S113" s="2" t="s">
        <v>33</v>
      </c>
      <c r="T113" s="2" t="s">
        <v>638</v>
      </c>
      <c r="U113" s="2" t="s">
        <v>33</v>
      </c>
      <c r="V113" s="2" t="s">
        <v>639</v>
      </c>
      <c r="W113" s="2"/>
      <c r="X113" s="2" t="s">
        <v>119</v>
      </c>
      <c r="Y113" s="2"/>
      <c r="Z113" s="2"/>
      <c r="AA113" s="2" t="s">
        <v>10</v>
      </c>
      <c r="AB113" s="2" t="s">
        <v>19</v>
      </c>
    </row>
    <row r="114" spans="1:28" x14ac:dyDescent="0.3">
      <c r="A114" s="2" t="s">
        <v>118</v>
      </c>
      <c r="B114" s="2" t="s">
        <v>119</v>
      </c>
      <c r="C114" s="2" t="s">
        <v>635</v>
      </c>
      <c r="D114" s="2" t="s">
        <v>637</v>
      </c>
      <c r="E114" s="2"/>
      <c r="F114" s="2" t="s">
        <v>146</v>
      </c>
      <c r="G114" s="2" t="s">
        <v>145</v>
      </c>
      <c r="H114" s="2" t="s">
        <v>228</v>
      </c>
      <c r="I114" s="2"/>
      <c r="J114" s="2"/>
      <c r="K114" s="2" t="s">
        <v>18</v>
      </c>
      <c r="L114" s="2" t="s">
        <v>539</v>
      </c>
      <c r="M114" s="2"/>
      <c r="N114" s="2"/>
      <c r="O114" s="2" t="s">
        <v>318</v>
      </c>
      <c r="P114" s="2"/>
      <c r="Q114" s="2"/>
      <c r="R114" s="2"/>
      <c r="S114" s="2" t="s">
        <v>33</v>
      </c>
      <c r="T114" s="2" t="s">
        <v>638</v>
      </c>
      <c r="U114" s="2"/>
      <c r="V114" s="2" t="s">
        <v>639</v>
      </c>
      <c r="W114" s="2"/>
      <c r="X114" s="2" t="s">
        <v>119</v>
      </c>
      <c r="Y114" s="2"/>
      <c r="Z114" s="2"/>
      <c r="AA114" s="2" t="s">
        <v>27</v>
      </c>
      <c r="AB114" s="2" t="s">
        <v>19</v>
      </c>
    </row>
    <row r="115" spans="1:28" x14ac:dyDescent="0.3">
      <c r="A115" s="2" t="s">
        <v>118</v>
      </c>
      <c r="B115" s="2" t="s">
        <v>119</v>
      </c>
      <c r="C115" s="2" t="s">
        <v>635</v>
      </c>
      <c r="D115" s="2" t="s">
        <v>637</v>
      </c>
      <c r="E115" s="2"/>
      <c r="F115" s="2" t="s">
        <v>146</v>
      </c>
      <c r="G115" s="2" t="s">
        <v>145</v>
      </c>
      <c r="H115" s="2" t="s">
        <v>229</v>
      </c>
      <c r="I115" s="2"/>
      <c r="J115" s="2"/>
      <c r="K115" s="2" t="s">
        <v>18</v>
      </c>
      <c r="L115" s="2" t="s">
        <v>539</v>
      </c>
      <c r="M115" s="2"/>
      <c r="N115" s="2"/>
      <c r="O115" s="2" t="s">
        <v>540</v>
      </c>
      <c r="P115" s="2"/>
      <c r="Q115" s="2"/>
      <c r="R115" s="2" t="s">
        <v>609</v>
      </c>
      <c r="S115" s="2" t="s">
        <v>33</v>
      </c>
      <c r="T115" s="2" t="s">
        <v>638</v>
      </c>
      <c r="U115" s="2"/>
      <c r="V115" s="2" t="s">
        <v>639</v>
      </c>
      <c r="W115" s="2"/>
      <c r="X115" s="2" t="s">
        <v>119</v>
      </c>
      <c r="Y115" s="2"/>
      <c r="Z115" s="2"/>
      <c r="AA115" s="2" t="s">
        <v>10</v>
      </c>
      <c r="AB115" s="2" t="s">
        <v>19</v>
      </c>
    </row>
    <row r="116" spans="1:28" x14ac:dyDescent="0.3">
      <c r="A116" s="2" t="s">
        <v>118</v>
      </c>
      <c r="B116" s="2" t="s">
        <v>119</v>
      </c>
      <c r="C116" s="2" t="s">
        <v>635</v>
      </c>
      <c r="D116" s="2" t="s">
        <v>637</v>
      </c>
      <c r="E116" s="2"/>
      <c r="F116" s="2" t="s">
        <v>146</v>
      </c>
      <c r="G116" s="2" t="s">
        <v>145</v>
      </c>
      <c r="H116" s="2" t="s">
        <v>230</v>
      </c>
      <c r="I116" s="2"/>
      <c r="J116" s="2"/>
      <c r="K116" s="2" t="s">
        <v>18</v>
      </c>
      <c r="L116" s="2" t="s">
        <v>588</v>
      </c>
      <c r="M116" s="2"/>
      <c r="N116" s="2"/>
      <c r="O116" s="2" t="s">
        <v>540</v>
      </c>
      <c r="P116" s="2"/>
      <c r="Q116" s="2"/>
      <c r="R116" s="2" t="s">
        <v>609</v>
      </c>
      <c r="S116" s="2" t="s">
        <v>19</v>
      </c>
      <c r="T116" s="2" t="s">
        <v>638</v>
      </c>
      <c r="U116" s="2"/>
      <c r="V116" s="2" t="s">
        <v>639</v>
      </c>
      <c r="W116" s="2"/>
      <c r="X116" s="2" t="s">
        <v>119</v>
      </c>
      <c r="Y116" s="2"/>
      <c r="Z116" s="2"/>
      <c r="AA116" s="2" t="s">
        <v>10</v>
      </c>
      <c r="AB116" s="2" t="s">
        <v>19</v>
      </c>
    </row>
    <row r="117" spans="1:28" x14ac:dyDescent="0.3">
      <c r="A117" s="2" t="s">
        <v>118</v>
      </c>
      <c r="B117" s="2" t="s">
        <v>119</v>
      </c>
      <c r="C117" s="2" t="s">
        <v>635</v>
      </c>
      <c r="D117" s="2" t="s">
        <v>637</v>
      </c>
      <c r="E117" s="2"/>
      <c r="F117" s="2" t="s">
        <v>146</v>
      </c>
      <c r="G117" s="2" t="s">
        <v>145</v>
      </c>
      <c r="H117" s="2" t="s">
        <v>231</v>
      </c>
      <c r="I117" s="2"/>
      <c r="J117" s="2"/>
      <c r="K117" s="2" t="s">
        <v>18</v>
      </c>
      <c r="L117" s="2" t="s">
        <v>539</v>
      </c>
      <c r="M117" s="2"/>
      <c r="N117" s="2"/>
      <c r="O117" s="2" t="s">
        <v>540</v>
      </c>
      <c r="P117" s="2"/>
      <c r="Q117" s="2"/>
      <c r="R117" s="2" t="s">
        <v>609</v>
      </c>
      <c r="S117" s="2" t="s">
        <v>19</v>
      </c>
      <c r="T117" s="2" t="s">
        <v>638</v>
      </c>
      <c r="U117" s="2"/>
      <c r="V117" s="2" t="s">
        <v>639</v>
      </c>
      <c r="W117" s="2"/>
      <c r="X117" s="2" t="s">
        <v>119</v>
      </c>
      <c r="Y117" s="2"/>
      <c r="Z117" s="2"/>
      <c r="AA117" s="2" t="s">
        <v>10</v>
      </c>
      <c r="AB117" s="2" t="s">
        <v>19</v>
      </c>
    </row>
    <row r="118" spans="1:28" ht="82.8" x14ac:dyDescent="0.3">
      <c r="A118" s="2" t="s">
        <v>118</v>
      </c>
      <c r="B118" s="2" t="s">
        <v>119</v>
      </c>
      <c r="C118" s="2" t="s">
        <v>591</v>
      </c>
      <c r="D118" s="2" t="s">
        <v>637</v>
      </c>
      <c r="E118" s="2" t="s">
        <v>643</v>
      </c>
      <c r="F118" s="2" t="s">
        <v>146</v>
      </c>
      <c r="G118" s="2" t="s">
        <v>145</v>
      </c>
      <c r="H118" s="2" t="s">
        <v>232</v>
      </c>
      <c r="I118" s="2" t="s">
        <v>59</v>
      </c>
      <c r="J118" s="2" t="s">
        <v>59</v>
      </c>
      <c r="K118" s="2" t="s">
        <v>57</v>
      </c>
      <c r="L118" s="2" t="s">
        <v>539</v>
      </c>
      <c r="M118" s="2" t="s">
        <v>32</v>
      </c>
      <c r="N118" s="2" t="s">
        <v>644</v>
      </c>
      <c r="O118" s="2" t="s">
        <v>318</v>
      </c>
      <c r="P118" s="2"/>
      <c r="Q118" s="2"/>
      <c r="R118" s="2" t="s">
        <v>645</v>
      </c>
      <c r="S118" s="2" t="s">
        <v>33</v>
      </c>
      <c r="T118" s="2" t="s">
        <v>19</v>
      </c>
      <c r="U118" s="2"/>
      <c r="V118" s="2" t="s">
        <v>542</v>
      </c>
      <c r="W118" s="2"/>
      <c r="X118" s="2" t="s">
        <v>119</v>
      </c>
      <c r="Y118" s="2"/>
      <c r="Z118" s="2"/>
      <c r="AA118" s="2" t="s">
        <v>27</v>
      </c>
      <c r="AB118" s="2" t="s">
        <v>33</v>
      </c>
    </row>
    <row r="119" spans="1:28" ht="82.8" x14ac:dyDescent="0.3">
      <c r="A119" s="2" t="s">
        <v>118</v>
      </c>
      <c r="B119" s="2" t="s">
        <v>119</v>
      </c>
      <c r="C119" s="2" t="s">
        <v>591</v>
      </c>
      <c r="D119" s="2" t="s">
        <v>637</v>
      </c>
      <c r="E119" s="2" t="s">
        <v>643</v>
      </c>
      <c r="F119" s="2" t="s">
        <v>146</v>
      </c>
      <c r="G119" s="2" t="s">
        <v>145</v>
      </c>
      <c r="H119" s="2" t="s">
        <v>233</v>
      </c>
      <c r="I119" s="2" t="s">
        <v>65</v>
      </c>
      <c r="J119" s="2" t="s">
        <v>65</v>
      </c>
      <c r="K119" s="2" t="s">
        <v>57</v>
      </c>
      <c r="L119" s="2" t="s">
        <v>539</v>
      </c>
      <c r="M119" s="2" t="s">
        <v>32</v>
      </c>
      <c r="N119" s="2" t="s">
        <v>644</v>
      </c>
      <c r="O119" s="2" t="s">
        <v>318</v>
      </c>
      <c r="P119" s="2"/>
      <c r="Q119" s="2"/>
      <c r="R119" s="2"/>
      <c r="S119" s="2" t="s">
        <v>33</v>
      </c>
      <c r="T119" s="2" t="s">
        <v>19</v>
      </c>
      <c r="U119" s="2"/>
      <c r="V119" s="2" t="s">
        <v>542</v>
      </c>
      <c r="W119" s="2"/>
      <c r="X119" s="2" t="s">
        <v>119</v>
      </c>
      <c r="Y119" s="2"/>
      <c r="Z119" s="2"/>
      <c r="AA119" s="2" t="s">
        <v>27</v>
      </c>
      <c r="AB119" s="2" t="s">
        <v>33</v>
      </c>
    </row>
    <row r="120" spans="1:28" ht="69" x14ac:dyDescent="0.3">
      <c r="A120" s="2" t="s">
        <v>118</v>
      </c>
      <c r="B120" s="2" t="s">
        <v>119</v>
      </c>
      <c r="C120" s="2" t="s">
        <v>591</v>
      </c>
      <c r="D120" s="2" t="s">
        <v>637</v>
      </c>
      <c r="E120" s="2" t="s">
        <v>643</v>
      </c>
      <c r="F120" s="2" t="s">
        <v>146</v>
      </c>
      <c r="G120" s="2" t="s">
        <v>145</v>
      </c>
      <c r="H120" s="2" t="s">
        <v>234</v>
      </c>
      <c r="I120" s="2" t="s">
        <v>152</v>
      </c>
      <c r="J120" s="2" t="s">
        <v>152</v>
      </c>
      <c r="K120" s="2" t="s">
        <v>57</v>
      </c>
      <c r="L120" s="2" t="s">
        <v>539</v>
      </c>
      <c r="M120" s="2" t="s">
        <v>35</v>
      </c>
      <c r="N120" s="2" t="s">
        <v>646</v>
      </c>
      <c r="O120" s="2" t="s">
        <v>318</v>
      </c>
      <c r="P120" s="2"/>
      <c r="Q120" s="2"/>
      <c r="R120" s="2"/>
      <c r="S120" s="2" t="s">
        <v>33</v>
      </c>
      <c r="T120" s="2" t="s">
        <v>19</v>
      </c>
      <c r="U120" s="2"/>
      <c r="V120" s="2" t="s">
        <v>542</v>
      </c>
      <c r="W120" s="2"/>
      <c r="X120" s="2" t="s">
        <v>119</v>
      </c>
      <c r="Y120" s="2"/>
      <c r="Z120" s="2"/>
      <c r="AA120" s="2" t="s">
        <v>27</v>
      </c>
      <c r="AB120" s="2" t="s">
        <v>33</v>
      </c>
    </row>
    <row r="121" spans="1:28" ht="138" x14ac:dyDescent="0.3">
      <c r="A121" s="2" t="s">
        <v>118</v>
      </c>
      <c r="B121" s="2" t="s">
        <v>119</v>
      </c>
      <c r="C121" s="2" t="s">
        <v>591</v>
      </c>
      <c r="D121" s="2" t="s">
        <v>637</v>
      </c>
      <c r="E121" s="2" t="s">
        <v>643</v>
      </c>
      <c r="F121" s="2" t="s">
        <v>146</v>
      </c>
      <c r="G121" s="2" t="s">
        <v>145</v>
      </c>
      <c r="H121" s="2" t="s">
        <v>235</v>
      </c>
      <c r="I121" s="2" t="s">
        <v>236</v>
      </c>
      <c r="J121" s="2" t="s">
        <v>236</v>
      </c>
      <c r="K121" s="2" t="s">
        <v>57</v>
      </c>
      <c r="L121" s="2" t="s">
        <v>539</v>
      </c>
      <c r="M121" s="2" t="s">
        <v>32</v>
      </c>
      <c r="N121" s="2" t="s">
        <v>647</v>
      </c>
      <c r="O121" s="2" t="s">
        <v>318</v>
      </c>
      <c r="P121" s="2"/>
      <c r="Q121" s="2"/>
      <c r="R121" s="2"/>
      <c r="S121" s="2" t="s">
        <v>33</v>
      </c>
      <c r="T121" s="2" t="s">
        <v>19</v>
      </c>
      <c r="U121" s="2"/>
      <c r="V121" s="2" t="s">
        <v>542</v>
      </c>
      <c r="W121" s="2"/>
      <c r="X121" s="2" t="s">
        <v>119</v>
      </c>
      <c r="Y121" s="2"/>
      <c r="Z121" s="2"/>
      <c r="AA121" s="2" t="s">
        <v>27</v>
      </c>
      <c r="AB121" s="2" t="s">
        <v>33</v>
      </c>
    </row>
    <row r="122" spans="1:28" ht="82.8" x14ac:dyDescent="0.3">
      <c r="A122" s="2" t="s">
        <v>118</v>
      </c>
      <c r="B122" s="2" t="s">
        <v>119</v>
      </c>
      <c r="C122" s="2" t="s">
        <v>591</v>
      </c>
      <c r="D122" s="2" t="s">
        <v>637</v>
      </c>
      <c r="E122" s="2" t="s">
        <v>643</v>
      </c>
      <c r="F122" s="2" t="s">
        <v>146</v>
      </c>
      <c r="G122" s="2" t="s">
        <v>145</v>
      </c>
      <c r="H122" s="2" t="s">
        <v>237</v>
      </c>
      <c r="I122" s="2" t="s">
        <v>238</v>
      </c>
      <c r="J122" s="2" t="s">
        <v>238</v>
      </c>
      <c r="K122" s="2" t="s">
        <v>57</v>
      </c>
      <c r="L122" s="2" t="s">
        <v>539</v>
      </c>
      <c r="M122" s="2" t="s">
        <v>32</v>
      </c>
      <c r="N122" s="2" t="s">
        <v>648</v>
      </c>
      <c r="O122" s="2" t="s">
        <v>318</v>
      </c>
      <c r="P122" s="2"/>
      <c r="Q122" s="2"/>
      <c r="R122" s="2" t="s">
        <v>649</v>
      </c>
      <c r="S122" s="2" t="s">
        <v>33</v>
      </c>
      <c r="T122" s="2" t="s">
        <v>19</v>
      </c>
      <c r="U122" s="2"/>
      <c r="V122" s="2" t="s">
        <v>542</v>
      </c>
      <c r="W122" s="2"/>
      <c r="X122" s="2" t="s">
        <v>119</v>
      </c>
      <c r="Y122" s="2"/>
      <c r="Z122" s="2"/>
      <c r="AA122" s="2" t="s">
        <v>27</v>
      </c>
      <c r="AB122" s="2" t="s">
        <v>33</v>
      </c>
    </row>
    <row r="123" spans="1:28" ht="69" x14ac:dyDescent="0.3">
      <c r="A123" s="2" t="s">
        <v>118</v>
      </c>
      <c r="B123" s="2" t="s">
        <v>119</v>
      </c>
      <c r="C123" s="2" t="s">
        <v>591</v>
      </c>
      <c r="D123" s="2" t="s">
        <v>637</v>
      </c>
      <c r="E123" s="2" t="s">
        <v>643</v>
      </c>
      <c r="F123" s="2" t="s">
        <v>146</v>
      </c>
      <c r="G123" s="2" t="s">
        <v>145</v>
      </c>
      <c r="H123" s="2" t="s">
        <v>239</v>
      </c>
      <c r="I123" s="2" t="s">
        <v>240</v>
      </c>
      <c r="J123" s="2" t="s">
        <v>240</v>
      </c>
      <c r="K123" s="2" t="s">
        <v>57</v>
      </c>
      <c r="L123" s="2" t="s">
        <v>539</v>
      </c>
      <c r="M123" s="2" t="s">
        <v>32</v>
      </c>
      <c r="N123" s="2" t="s">
        <v>650</v>
      </c>
      <c r="O123" s="2" t="s">
        <v>318</v>
      </c>
      <c r="P123" s="2"/>
      <c r="Q123" s="2"/>
      <c r="R123" s="2" t="s">
        <v>651</v>
      </c>
      <c r="S123" s="2" t="s">
        <v>33</v>
      </c>
      <c r="T123" s="2" t="s">
        <v>19</v>
      </c>
      <c r="U123" s="2"/>
      <c r="V123" s="2" t="s">
        <v>542</v>
      </c>
      <c r="W123" s="2"/>
      <c r="X123" s="2" t="s">
        <v>119</v>
      </c>
      <c r="Y123" s="2"/>
      <c r="Z123" s="2"/>
      <c r="AA123" s="2" t="s">
        <v>27</v>
      </c>
      <c r="AB123" s="2" t="s">
        <v>33</v>
      </c>
    </row>
    <row r="124" spans="1:28" ht="27.6" x14ac:dyDescent="0.3">
      <c r="A124" s="2" t="s">
        <v>118</v>
      </c>
      <c r="B124" s="2" t="s">
        <v>119</v>
      </c>
      <c r="C124" s="2" t="s">
        <v>635</v>
      </c>
      <c r="D124" s="2" t="s">
        <v>637</v>
      </c>
      <c r="E124" s="2" t="s">
        <v>652</v>
      </c>
      <c r="F124" s="2" t="s">
        <v>146</v>
      </c>
      <c r="G124" s="2" t="s">
        <v>241</v>
      </c>
      <c r="H124" s="2" t="s">
        <v>154</v>
      </c>
      <c r="I124" s="2" t="s">
        <v>155</v>
      </c>
      <c r="J124" s="2" t="s">
        <v>155</v>
      </c>
      <c r="K124" s="2" t="s">
        <v>18</v>
      </c>
      <c r="L124" s="2" t="s">
        <v>539</v>
      </c>
      <c r="M124" s="2"/>
      <c r="N124" s="2"/>
      <c r="O124" s="2"/>
      <c r="P124" s="2"/>
      <c r="Q124" s="2"/>
      <c r="R124" s="2"/>
      <c r="S124" s="2" t="s">
        <v>33</v>
      </c>
      <c r="T124" s="2" t="s">
        <v>33</v>
      </c>
      <c r="U124" s="2" t="s">
        <v>33</v>
      </c>
      <c r="V124" s="2" t="s">
        <v>653</v>
      </c>
      <c r="W124" s="2"/>
      <c r="X124" s="2" t="s">
        <v>119</v>
      </c>
      <c r="Y124" s="2"/>
      <c r="Z124" s="2"/>
      <c r="AA124" s="2"/>
      <c r="AB124" s="2" t="s">
        <v>19</v>
      </c>
    </row>
    <row r="125" spans="1:28" ht="27.6" x14ac:dyDescent="0.3">
      <c r="A125" s="2" t="s">
        <v>118</v>
      </c>
      <c r="B125" s="2" t="s">
        <v>119</v>
      </c>
      <c r="C125" s="2" t="s">
        <v>635</v>
      </c>
      <c r="D125" s="2" t="s">
        <v>637</v>
      </c>
      <c r="E125" s="2" t="s">
        <v>652</v>
      </c>
      <c r="F125" s="2" t="s">
        <v>654</v>
      </c>
      <c r="G125" s="2" t="s">
        <v>241</v>
      </c>
      <c r="H125" s="2" t="s">
        <v>242</v>
      </c>
      <c r="I125" s="2" t="s">
        <v>243</v>
      </c>
      <c r="J125" s="2" t="s">
        <v>243</v>
      </c>
      <c r="K125" s="2" t="s">
        <v>133</v>
      </c>
      <c r="L125" s="2" t="s">
        <v>539</v>
      </c>
      <c r="M125" s="2"/>
      <c r="N125" s="2"/>
      <c r="O125" s="2"/>
      <c r="P125" s="2"/>
      <c r="Q125" s="2"/>
      <c r="R125" s="2"/>
      <c r="S125" s="2" t="s">
        <v>33</v>
      </c>
      <c r="T125" s="2" t="s">
        <v>33</v>
      </c>
      <c r="U125" s="2" t="s">
        <v>33</v>
      </c>
      <c r="V125" s="2" t="s">
        <v>653</v>
      </c>
      <c r="W125" s="2"/>
      <c r="X125" s="2" t="s">
        <v>119</v>
      </c>
      <c r="Y125" s="2"/>
      <c r="Z125" s="2"/>
      <c r="AA125" s="2"/>
      <c r="AB125" s="2" t="s">
        <v>19</v>
      </c>
    </row>
    <row r="126" spans="1:28" ht="82.8" x14ac:dyDescent="0.3">
      <c r="A126" s="2" t="s">
        <v>118</v>
      </c>
      <c r="B126" s="2" t="s">
        <v>119</v>
      </c>
      <c r="C126" s="2" t="s">
        <v>635</v>
      </c>
      <c r="D126" s="2" t="s">
        <v>637</v>
      </c>
      <c r="E126" s="2" t="s">
        <v>652</v>
      </c>
      <c r="F126" s="2" t="s">
        <v>146</v>
      </c>
      <c r="G126" s="2" t="s">
        <v>241</v>
      </c>
      <c r="H126" s="2" t="s">
        <v>156</v>
      </c>
      <c r="I126" s="2" t="s">
        <v>157</v>
      </c>
      <c r="J126" s="2" t="s">
        <v>157</v>
      </c>
      <c r="K126" s="2" t="s">
        <v>57</v>
      </c>
      <c r="L126" s="2" t="s">
        <v>539</v>
      </c>
      <c r="M126" s="2" t="s">
        <v>32</v>
      </c>
      <c r="N126" s="2" t="s">
        <v>608</v>
      </c>
      <c r="O126" s="2"/>
      <c r="P126" s="2"/>
      <c r="Q126" s="2"/>
      <c r="R126" s="2" t="s">
        <v>655</v>
      </c>
      <c r="S126" s="2" t="s">
        <v>33</v>
      </c>
      <c r="T126" s="2" t="s">
        <v>33</v>
      </c>
      <c r="U126" s="2" t="s">
        <v>33</v>
      </c>
      <c r="V126" s="2" t="s">
        <v>653</v>
      </c>
      <c r="W126" s="2"/>
      <c r="X126" s="2" t="s">
        <v>119</v>
      </c>
      <c r="Y126" s="2"/>
      <c r="Z126" s="2"/>
      <c r="AA126" s="2"/>
      <c r="AB126" s="2" t="s">
        <v>33</v>
      </c>
    </row>
    <row r="127" spans="1:28" ht="41.4" x14ac:dyDescent="0.3">
      <c r="A127" s="2" t="s">
        <v>118</v>
      </c>
      <c r="B127" s="2" t="s">
        <v>119</v>
      </c>
      <c r="C127" s="2" t="s">
        <v>635</v>
      </c>
      <c r="D127" s="2" t="s">
        <v>637</v>
      </c>
      <c r="E127" s="2" t="s">
        <v>652</v>
      </c>
      <c r="F127" s="2" t="s">
        <v>146</v>
      </c>
      <c r="G127" s="2" t="s">
        <v>241</v>
      </c>
      <c r="H127" s="2" t="s">
        <v>244</v>
      </c>
      <c r="I127" s="2" t="s">
        <v>245</v>
      </c>
      <c r="J127" s="2" t="s">
        <v>245</v>
      </c>
      <c r="K127" s="2" t="s">
        <v>57</v>
      </c>
      <c r="L127" s="2" t="s">
        <v>539</v>
      </c>
      <c r="M127" s="2" t="s">
        <v>32</v>
      </c>
      <c r="N127" s="2" t="s">
        <v>656</v>
      </c>
      <c r="O127" s="2"/>
      <c r="P127" s="2"/>
      <c r="Q127" s="2"/>
      <c r="R127" s="2"/>
      <c r="S127" s="2" t="s">
        <v>33</v>
      </c>
      <c r="T127" s="2" t="s">
        <v>33</v>
      </c>
      <c r="U127" s="2" t="s">
        <v>33</v>
      </c>
      <c r="V127" s="2" t="s">
        <v>653</v>
      </c>
      <c r="W127" s="2"/>
      <c r="X127" s="2" t="s">
        <v>119</v>
      </c>
      <c r="Y127" s="2"/>
      <c r="Z127" s="2"/>
      <c r="AA127" s="2"/>
      <c r="AB127" s="2" t="s">
        <v>33</v>
      </c>
    </row>
    <row r="128" spans="1:28" ht="27.6" x14ac:dyDescent="0.3">
      <c r="A128" s="2" t="s">
        <v>118</v>
      </c>
      <c r="B128" s="2" t="s">
        <v>119</v>
      </c>
      <c r="C128" s="2"/>
      <c r="D128" s="2"/>
      <c r="E128" s="2"/>
      <c r="F128" s="2" t="s">
        <v>146</v>
      </c>
      <c r="G128" s="2" t="s">
        <v>246</v>
      </c>
      <c r="H128" s="2" t="s">
        <v>247</v>
      </c>
      <c r="I128" s="2" t="s">
        <v>248</v>
      </c>
      <c r="J128" s="2" t="s">
        <v>248</v>
      </c>
      <c r="K128" s="2" t="s">
        <v>18</v>
      </c>
      <c r="L128" s="2" t="s">
        <v>539</v>
      </c>
      <c r="M128" s="2"/>
      <c r="N128" s="2"/>
      <c r="O128" s="2"/>
      <c r="P128" s="2" t="s">
        <v>657</v>
      </c>
      <c r="Q128" s="2"/>
      <c r="R128" s="2"/>
      <c r="S128" s="2" t="s">
        <v>33</v>
      </c>
      <c r="T128" s="2" t="s">
        <v>33</v>
      </c>
      <c r="U128" s="2"/>
      <c r="V128" s="2"/>
      <c r="W128" s="2"/>
      <c r="X128" s="2" t="s">
        <v>119</v>
      </c>
      <c r="Y128" s="2"/>
      <c r="Z128" s="2"/>
      <c r="AA128" s="2"/>
      <c r="AB128" s="2" t="s">
        <v>19</v>
      </c>
    </row>
    <row r="129" spans="1:28" ht="27.6" x14ac:dyDescent="0.3">
      <c r="A129" s="2" t="s">
        <v>118</v>
      </c>
      <c r="B129" s="2" t="s">
        <v>119</v>
      </c>
      <c r="C129" s="2" t="s">
        <v>635</v>
      </c>
      <c r="D129" s="2" t="s">
        <v>637</v>
      </c>
      <c r="E129" s="2" t="s">
        <v>652</v>
      </c>
      <c r="F129" s="2" t="s">
        <v>146</v>
      </c>
      <c r="G129" s="2" t="s">
        <v>241</v>
      </c>
      <c r="H129" s="2" t="s">
        <v>249</v>
      </c>
      <c r="I129" s="2" t="s">
        <v>250</v>
      </c>
      <c r="J129" s="2" t="s">
        <v>250</v>
      </c>
      <c r="K129" s="2" t="s">
        <v>133</v>
      </c>
      <c r="L129" s="2" t="s">
        <v>539</v>
      </c>
      <c r="M129" s="2" t="s">
        <v>32</v>
      </c>
      <c r="N129" s="2" t="s">
        <v>559</v>
      </c>
      <c r="O129" s="2"/>
      <c r="P129" s="2"/>
      <c r="Q129" s="2"/>
      <c r="R129" s="2"/>
      <c r="S129" s="2" t="s">
        <v>33</v>
      </c>
      <c r="T129" s="2" t="s">
        <v>33</v>
      </c>
      <c r="U129" s="2" t="s">
        <v>33</v>
      </c>
      <c r="V129" s="2" t="s">
        <v>653</v>
      </c>
      <c r="W129" s="2"/>
      <c r="X129" s="2" t="s">
        <v>119</v>
      </c>
      <c r="Y129" s="2"/>
      <c r="Z129" s="2"/>
      <c r="AA129" s="2"/>
      <c r="AB129" s="2" t="s">
        <v>33</v>
      </c>
    </row>
    <row r="130" spans="1:28" ht="124.2" x14ac:dyDescent="0.3">
      <c r="A130" s="2" t="s">
        <v>118</v>
      </c>
      <c r="B130" s="2" t="s">
        <v>119</v>
      </c>
      <c r="C130" s="2" t="s">
        <v>635</v>
      </c>
      <c r="D130" s="2" t="s">
        <v>637</v>
      </c>
      <c r="E130" s="2" t="s">
        <v>652</v>
      </c>
      <c r="F130" s="2" t="s">
        <v>146</v>
      </c>
      <c r="G130" s="2" t="s">
        <v>241</v>
      </c>
      <c r="H130" s="2" t="s">
        <v>251</v>
      </c>
      <c r="I130" s="2" t="s">
        <v>252</v>
      </c>
      <c r="J130" s="2" t="s">
        <v>252</v>
      </c>
      <c r="K130" s="2" t="s">
        <v>57</v>
      </c>
      <c r="L130" s="2" t="s">
        <v>539</v>
      </c>
      <c r="M130" s="2" t="s">
        <v>32</v>
      </c>
      <c r="N130" s="2" t="s">
        <v>658</v>
      </c>
      <c r="O130" s="2"/>
      <c r="P130" s="2"/>
      <c r="Q130" s="2"/>
      <c r="R130" s="2" t="s">
        <v>659</v>
      </c>
      <c r="S130" s="2" t="s">
        <v>33</v>
      </c>
      <c r="T130" s="2" t="s">
        <v>33</v>
      </c>
      <c r="U130" s="2" t="s">
        <v>33</v>
      </c>
      <c r="V130" s="2" t="s">
        <v>653</v>
      </c>
      <c r="W130" s="2"/>
      <c r="X130" s="2" t="s">
        <v>119</v>
      </c>
      <c r="Y130" s="2"/>
      <c r="Z130" s="2"/>
      <c r="AA130" s="2"/>
      <c r="AB130" s="2" t="s">
        <v>33</v>
      </c>
    </row>
    <row r="131" spans="1:28" ht="82.8" x14ac:dyDescent="0.3">
      <c r="A131" s="2" t="s">
        <v>118</v>
      </c>
      <c r="B131" s="2" t="s">
        <v>119</v>
      </c>
      <c r="C131" s="2" t="s">
        <v>635</v>
      </c>
      <c r="D131" s="2" t="s">
        <v>637</v>
      </c>
      <c r="E131" s="2" t="s">
        <v>652</v>
      </c>
      <c r="F131" s="2" t="s">
        <v>146</v>
      </c>
      <c r="G131" s="2" t="s">
        <v>241</v>
      </c>
      <c r="H131" s="2" t="s">
        <v>173</v>
      </c>
      <c r="I131" s="2" t="s">
        <v>174</v>
      </c>
      <c r="J131" s="2" t="s">
        <v>174</v>
      </c>
      <c r="K131" s="2" t="s">
        <v>57</v>
      </c>
      <c r="L131" s="2" t="s">
        <v>539</v>
      </c>
      <c r="M131" s="2" t="s">
        <v>32</v>
      </c>
      <c r="N131" s="2" t="s">
        <v>559</v>
      </c>
      <c r="O131" s="2"/>
      <c r="P131" s="2"/>
      <c r="Q131" s="2"/>
      <c r="R131" s="2" t="s">
        <v>660</v>
      </c>
      <c r="S131" s="2" t="s">
        <v>19</v>
      </c>
      <c r="T131" s="2" t="s">
        <v>19</v>
      </c>
      <c r="U131" s="2"/>
      <c r="V131" s="2" t="s">
        <v>653</v>
      </c>
      <c r="W131" s="2"/>
      <c r="X131" s="2" t="s">
        <v>119</v>
      </c>
      <c r="Y131" s="2"/>
      <c r="Z131" s="2"/>
      <c r="AA131" s="2"/>
      <c r="AB131" s="2" t="s">
        <v>33</v>
      </c>
    </row>
    <row r="132" spans="1:28" ht="82.8" x14ac:dyDescent="0.3">
      <c r="A132" s="2" t="s">
        <v>118</v>
      </c>
      <c r="B132" s="2" t="s">
        <v>119</v>
      </c>
      <c r="C132" s="2" t="s">
        <v>635</v>
      </c>
      <c r="D132" s="2" t="s">
        <v>637</v>
      </c>
      <c r="E132" s="2" t="s">
        <v>652</v>
      </c>
      <c r="F132" s="2" t="s">
        <v>146</v>
      </c>
      <c r="G132" s="2" t="s">
        <v>241</v>
      </c>
      <c r="H132" s="2" t="s">
        <v>175</v>
      </c>
      <c r="I132" s="2" t="s">
        <v>176</v>
      </c>
      <c r="J132" s="2" t="s">
        <v>176</v>
      </c>
      <c r="K132" s="2" t="s">
        <v>57</v>
      </c>
      <c r="L132" s="2" t="s">
        <v>539</v>
      </c>
      <c r="M132" s="2" t="s">
        <v>32</v>
      </c>
      <c r="N132" s="2" t="s">
        <v>559</v>
      </c>
      <c r="O132" s="2"/>
      <c r="P132" s="2"/>
      <c r="Q132" s="2"/>
      <c r="R132" s="2" t="s">
        <v>660</v>
      </c>
      <c r="S132" s="2" t="s">
        <v>19</v>
      </c>
      <c r="T132" s="2" t="s">
        <v>19</v>
      </c>
      <c r="U132" s="2"/>
      <c r="V132" s="2" t="s">
        <v>653</v>
      </c>
      <c r="W132" s="2"/>
      <c r="X132" s="2" t="s">
        <v>119</v>
      </c>
      <c r="Y132" s="2"/>
      <c r="Z132" s="2"/>
      <c r="AA132" s="2"/>
      <c r="AB132" s="2" t="s">
        <v>33</v>
      </c>
    </row>
    <row r="133" spans="1:28" ht="82.8" x14ac:dyDescent="0.3">
      <c r="A133" s="2" t="s">
        <v>118</v>
      </c>
      <c r="B133" s="2" t="s">
        <v>119</v>
      </c>
      <c r="C133" s="2" t="s">
        <v>635</v>
      </c>
      <c r="D133" s="2" t="s">
        <v>637</v>
      </c>
      <c r="E133" s="2" t="s">
        <v>652</v>
      </c>
      <c r="F133" s="2" t="s">
        <v>146</v>
      </c>
      <c r="G133" s="2" t="s">
        <v>241</v>
      </c>
      <c r="H133" s="2" t="s">
        <v>177</v>
      </c>
      <c r="I133" s="2" t="s">
        <v>178</v>
      </c>
      <c r="J133" s="2" t="s">
        <v>178</v>
      </c>
      <c r="K133" s="2" t="s">
        <v>57</v>
      </c>
      <c r="L133" s="2" t="s">
        <v>539</v>
      </c>
      <c r="M133" s="2" t="s">
        <v>32</v>
      </c>
      <c r="N133" s="2" t="s">
        <v>559</v>
      </c>
      <c r="O133" s="2"/>
      <c r="P133" s="2"/>
      <c r="Q133" s="2"/>
      <c r="R133" s="2" t="s">
        <v>660</v>
      </c>
      <c r="S133" s="2" t="s">
        <v>19</v>
      </c>
      <c r="T133" s="2" t="s">
        <v>19</v>
      </c>
      <c r="U133" s="2"/>
      <c r="V133" s="2" t="s">
        <v>653</v>
      </c>
      <c r="W133" s="2"/>
      <c r="X133" s="2" t="s">
        <v>119</v>
      </c>
      <c r="Y133" s="2"/>
      <c r="Z133" s="2"/>
      <c r="AA133" s="2"/>
      <c r="AB133" s="2" t="s">
        <v>33</v>
      </c>
    </row>
    <row r="134" spans="1:28" ht="82.8" x14ac:dyDescent="0.3">
      <c r="A134" s="2" t="s">
        <v>118</v>
      </c>
      <c r="B134" s="2" t="s">
        <v>119</v>
      </c>
      <c r="C134" s="2" t="s">
        <v>635</v>
      </c>
      <c r="D134" s="2" t="s">
        <v>637</v>
      </c>
      <c r="E134" s="2" t="s">
        <v>652</v>
      </c>
      <c r="F134" s="2" t="s">
        <v>146</v>
      </c>
      <c r="G134" s="2" t="s">
        <v>241</v>
      </c>
      <c r="H134" s="2" t="s">
        <v>179</v>
      </c>
      <c r="I134" s="2" t="s">
        <v>180</v>
      </c>
      <c r="J134" s="2" t="s">
        <v>180</v>
      </c>
      <c r="K134" s="2" t="s">
        <v>57</v>
      </c>
      <c r="L134" s="2" t="s">
        <v>539</v>
      </c>
      <c r="M134" s="2" t="s">
        <v>32</v>
      </c>
      <c r="N134" s="2" t="s">
        <v>559</v>
      </c>
      <c r="O134" s="2"/>
      <c r="P134" s="2"/>
      <c r="Q134" s="2"/>
      <c r="R134" s="2" t="s">
        <v>660</v>
      </c>
      <c r="S134" s="2" t="s">
        <v>33</v>
      </c>
      <c r="T134" s="2" t="s">
        <v>33</v>
      </c>
      <c r="U134" s="2" t="s">
        <v>33</v>
      </c>
      <c r="V134" s="2" t="s">
        <v>653</v>
      </c>
      <c r="W134" s="2"/>
      <c r="X134" s="2" t="s">
        <v>119</v>
      </c>
      <c r="Y134" s="2"/>
      <c r="Z134" s="2"/>
      <c r="AA134" s="2"/>
      <c r="AB134" s="2" t="s">
        <v>33</v>
      </c>
    </row>
    <row r="135" spans="1:28" ht="27.6" x14ac:dyDescent="0.3">
      <c r="A135" s="2" t="s">
        <v>118</v>
      </c>
      <c r="B135" s="2" t="s">
        <v>119</v>
      </c>
      <c r="C135" s="2" t="s">
        <v>635</v>
      </c>
      <c r="D135" s="2" t="s">
        <v>637</v>
      </c>
      <c r="E135" s="2" t="s">
        <v>652</v>
      </c>
      <c r="F135" s="2" t="s">
        <v>146</v>
      </c>
      <c r="G135" s="2" t="s">
        <v>241</v>
      </c>
      <c r="H135" s="2" t="s">
        <v>253</v>
      </c>
      <c r="I135" s="2" t="s">
        <v>254</v>
      </c>
      <c r="J135" s="2" t="s">
        <v>254</v>
      </c>
      <c r="K135" s="2" t="s">
        <v>133</v>
      </c>
      <c r="L135" s="2" t="s">
        <v>588</v>
      </c>
      <c r="M135" s="2"/>
      <c r="N135" s="2"/>
      <c r="O135" s="2"/>
      <c r="P135" s="2"/>
      <c r="Q135" s="2"/>
      <c r="R135" s="2"/>
      <c r="S135" s="2" t="s">
        <v>33</v>
      </c>
      <c r="T135" s="2" t="s">
        <v>33</v>
      </c>
      <c r="U135" s="2" t="s">
        <v>33</v>
      </c>
      <c r="V135" s="2" t="s">
        <v>653</v>
      </c>
      <c r="W135" s="2"/>
      <c r="X135" s="2" t="s">
        <v>119</v>
      </c>
      <c r="Y135" s="2"/>
      <c r="Z135" s="2"/>
      <c r="AA135" s="2"/>
      <c r="AB135" s="2" t="s">
        <v>19</v>
      </c>
    </row>
    <row r="136" spans="1:28" ht="27.6" x14ac:dyDescent="0.3">
      <c r="A136" s="2" t="s">
        <v>118</v>
      </c>
      <c r="B136" s="2" t="s">
        <v>119</v>
      </c>
      <c r="C136" s="2" t="s">
        <v>635</v>
      </c>
      <c r="D136" s="2" t="s">
        <v>637</v>
      </c>
      <c r="E136" s="2" t="s">
        <v>652</v>
      </c>
      <c r="F136" s="2" t="s">
        <v>146</v>
      </c>
      <c r="G136" s="2" t="s">
        <v>241</v>
      </c>
      <c r="H136" s="2" t="s">
        <v>255</v>
      </c>
      <c r="I136" s="2" t="s">
        <v>256</v>
      </c>
      <c r="J136" s="2" t="s">
        <v>256</v>
      </c>
      <c r="K136" s="2" t="s">
        <v>133</v>
      </c>
      <c r="L136" s="2" t="s">
        <v>661</v>
      </c>
      <c r="M136" s="2"/>
      <c r="N136" s="2" t="s">
        <v>662</v>
      </c>
      <c r="O136" s="2"/>
      <c r="P136" s="2"/>
      <c r="Q136" s="2"/>
      <c r="R136" s="2"/>
      <c r="S136" s="2" t="s">
        <v>33</v>
      </c>
      <c r="T136" s="2" t="s">
        <v>33</v>
      </c>
      <c r="U136" s="2" t="s">
        <v>33</v>
      </c>
      <c r="V136" s="2" t="s">
        <v>653</v>
      </c>
      <c r="W136" s="2"/>
      <c r="X136" s="2" t="s">
        <v>119</v>
      </c>
      <c r="Y136" s="2"/>
      <c r="Z136" s="2"/>
      <c r="AA136" s="2"/>
      <c r="AB136" s="2" t="s">
        <v>19</v>
      </c>
    </row>
    <row r="137" spans="1:28" ht="27.6" x14ac:dyDescent="0.3">
      <c r="A137" s="2" t="s">
        <v>118</v>
      </c>
      <c r="B137" s="2" t="s">
        <v>119</v>
      </c>
      <c r="C137" s="2" t="s">
        <v>635</v>
      </c>
      <c r="D137" s="2" t="s">
        <v>637</v>
      </c>
      <c r="E137" s="2" t="s">
        <v>652</v>
      </c>
      <c r="F137" s="2" t="s">
        <v>146</v>
      </c>
      <c r="G137" s="2" t="s">
        <v>241</v>
      </c>
      <c r="H137" s="2" t="s">
        <v>257</v>
      </c>
      <c r="I137" s="2" t="s">
        <v>258</v>
      </c>
      <c r="J137" s="2" t="s">
        <v>258</v>
      </c>
      <c r="K137" s="2" t="s">
        <v>133</v>
      </c>
      <c r="L137" s="2" t="s">
        <v>588</v>
      </c>
      <c r="M137" s="2"/>
      <c r="N137" s="2"/>
      <c r="O137" s="2"/>
      <c r="P137" s="2"/>
      <c r="Q137" s="2"/>
      <c r="R137" s="2"/>
      <c r="S137" s="2" t="s">
        <v>33</v>
      </c>
      <c r="T137" s="2" t="s">
        <v>33</v>
      </c>
      <c r="U137" s="2" t="s">
        <v>33</v>
      </c>
      <c r="V137" s="2" t="s">
        <v>653</v>
      </c>
      <c r="W137" s="2"/>
      <c r="X137" s="2" t="s">
        <v>119</v>
      </c>
      <c r="Y137" s="2"/>
      <c r="Z137" s="2"/>
      <c r="AA137" s="2"/>
      <c r="AB137" s="2" t="s">
        <v>19</v>
      </c>
    </row>
    <row r="138" spans="1:28" ht="96.6" x14ac:dyDescent="0.3">
      <c r="A138" s="2" t="s">
        <v>118</v>
      </c>
      <c r="B138" s="2" t="s">
        <v>119</v>
      </c>
      <c r="C138" s="2" t="s">
        <v>635</v>
      </c>
      <c r="D138" s="2" t="s">
        <v>637</v>
      </c>
      <c r="E138" s="2" t="s">
        <v>652</v>
      </c>
      <c r="F138" s="2" t="s">
        <v>146</v>
      </c>
      <c r="G138" s="2" t="s">
        <v>241</v>
      </c>
      <c r="H138" s="2" t="s">
        <v>259</v>
      </c>
      <c r="I138" s="2" t="s">
        <v>260</v>
      </c>
      <c r="J138" s="2" t="s">
        <v>260</v>
      </c>
      <c r="K138" s="2" t="s">
        <v>57</v>
      </c>
      <c r="L138" s="2" t="s">
        <v>539</v>
      </c>
      <c r="M138" s="2" t="s">
        <v>32</v>
      </c>
      <c r="N138" s="2" t="s">
        <v>663</v>
      </c>
      <c r="O138" s="2"/>
      <c r="P138" s="2"/>
      <c r="Q138" s="2"/>
      <c r="R138" s="2"/>
      <c r="S138" s="2" t="s">
        <v>33</v>
      </c>
      <c r="T138" s="2" t="s">
        <v>33</v>
      </c>
      <c r="U138" s="2"/>
      <c r="V138" s="2" t="s">
        <v>653</v>
      </c>
      <c r="W138" s="2"/>
      <c r="X138" s="2" t="s">
        <v>119</v>
      </c>
      <c r="Y138" s="2"/>
      <c r="Z138" s="2"/>
      <c r="AA138" s="2"/>
      <c r="AB138" s="2" t="s">
        <v>33</v>
      </c>
    </row>
    <row r="139" spans="1:28" ht="27.6" x14ac:dyDescent="0.3">
      <c r="A139" s="2" t="s">
        <v>118</v>
      </c>
      <c r="B139" s="2" t="s">
        <v>119</v>
      </c>
      <c r="C139" s="2" t="s">
        <v>635</v>
      </c>
      <c r="D139" s="2" t="s">
        <v>637</v>
      </c>
      <c r="E139" s="2" t="s">
        <v>652</v>
      </c>
      <c r="F139" s="2" t="s">
        <v>146</v>
      </c>
      <c r="G139" s="2" t="s">
        <v>241</v>
      </c>
      <c r="H139" s="2" t="s">
        <v>261</v>
      </c>
      <c r="I139" s="2" t="s">
        <v>262</v>
      </c>
      <c r="J139" s="2" t="s">
        <v>262</v>
      </c>
      <c r="K139" s="2" t="s">
        <v>133</v>
      </c>
      <c r="L139" s="2" t="s">
        <v>588</v>
      </c>
      <c r="M139" s="2"/>
      <c r="N139" s="2"/>
      <c r="O139" s="2"/>
      <c r="P139" s="2"/>
      <c r="Q139" s="2"/>
      <c r="R139" s="2"/>
      <c r="S139" s="2" t="s">
        <v>33</v>
      </c>
      <c r="T139" s="2" t="s">
        <v>33</v>
      </c>
      <c r="U139" s="2" t="s">
        <v>33</v>
      </c>
      <c r="V139" s="2" t="s">
        <v>653</v>
      </c>
      <c r="W139" s="2"/>
      <c r="X139" s="2" t="s">
        <v>119</v>
      </c>
      <c r="Y139" s="2"/>
      <c r="Z139" s="2"/>
      <c r="AA139" s="2"/>
      <c r="AB139" s="2" t="s">
        <v>19</v>
      </c>
    </row>
    <row r="140" spans="1:28" ht="27.6" x14ac:dyDescent="0.3">
      <c r="A140" s="2" t="s">
        <v>118</v>
      </c>
      <c r="B140" s="2" t="s">
        <v>119</v>
      </c>
      <c r="C140" s="2" t="s">
        <v>635</v>
      </c>
      <c r="D140" s="2" t="s">
        <v>637</v>
      </c>
      <c r="E140" s="2" t="s">
        <v>652</v>
      </c>
      <c r="F140" s="2" t="s">
        <v>146</v>
      </c>
      <c r="G140" s="2" t="s">
        <v>241</v>
      </c>
      <c r="H140" s="2" t="s">
        <v>263</v>
      </c>
      <c r="I140" s="2" t="s">
        <v>264</v>
      </c>
      <c r="J140" s="2" t="s">
        <v>264</v>
      </c>
      <c r="K140" s="2" t="s">
        <v>133</v>
      </c>
      <c r="L140" s="2" t="s">
        <v>588</v>
      </c>
      <c r="M140" s="2"/>
      <c r="N140" s="2"/>
      <c r="O140" s="2"/>
      <c r="P140" s="2"/>
      <c r="Q140" s="2"/>
      <c r="R140" s="2"/>
      <c r="S140" s="2" t="s">
        <v>33</v>
      </c>
      <c r="T140" s="2" t="s">
        <v>33</v>
      </c>
      <c r="U140" s="2" t="s">
        <v>33</v>
      </c>
      <c r="V140" s="2" t="s">
        <v>653</v>
      </c>
      <c r="W140" s="2"/>
      <c r="X140" s="2" t="s">
        <v>119</v>
      </c>
      <c r="Y140" s="2"/>
      <c r="Z140" s="2"/>
      <c r="AA140" s="2"/>
      <c r="AB140" s="2" t="s">
        <v>19</v>
      </c>
    </row>
    <row r="141" spans="1:28" ht="69" x14ac:dyDescent="0.3">
      <c r="A141" s="2" t="s">
        <v>118</v>
      </c>
      <c r="B141" s="2" t="s">
        <v>119</v>
      </c>
      <c r="C141" s="2" t="s">
        <v>265</v>
      </c>
      <c r="D141" s="2" t="s">
        <v>265</v>
      </c>
      <c r="E141" s="2"/>
      <c r="F141" s="2" t="s">
        <v>31</v>
      </c>
      <c r="G141" s="2" t="s">
        <v>145</v>
      </c>
      <c r="H141" s="2" t="s">
        <v>265</v>
      </c>
      <c r="I141" s="2" t="s">
        <v>266</v>
      </c>
      <c r="J141" s="2" t="s">
        <v>267</v>
      </c>
      <c r="K141" s="2" t="s">
        <v>57</v>
      </c>
      <c r="L141" s="2" t="s">
        <v>539</v>
      </c>
      <c r="M141" s="2" t="s">
        <v>32</v>
      </c>
      <c r="N141" s="2" t="s">
        <v>664</v>
      </c>
      <c r="O141" s="2"/>
      <c r="P141" s="2"/>
      <c r="Q141" s="2"/>
      <c r="R141" s="2"/>
      <c r="S141" s="2" t="s">
        <v>19</v>
      </c>
      <c r="T141" s="2" t="s">
        <v>19</v>
      </c>
      <c r="U141" s="2"/>
      <c r="V141" s="2" t="s">
        <v>542</v>
      </c>
      <c r="W141" s="2"/>
      <c r="X141" s="2" t="s">
        <v>119</v>
      </c>
      <c r="Y141" s="2"/>
      <c r="Z141" s="2"/>
      <c r="AA141" s="2"/>
      <c r="AB141" s="2" t="s">
        <v>33</v>
      </c>
    </row>
    <row r="142" spans="1:28" x14ac:dyDescent="0.3">
      <c r="A142" s="2" t="s">
        <v>118</v>
      </c>
      <c r="B142" s="2" t="s">
        <v>119</v>
      </c>
      <c r="C142" s="2" t="s">
        <v>265</v>
      </c>
      <c r="D142" s="2" t="s">
        <v>265</v>
      </c>
      <c r="E142" s="2"/>
      <c r="F142" s="2" t="s">
        <v>31</v>
      </c>
      <c r="G142" s="2" t="s">
        <v>145</v>
      </c>
      <c r="H142" s="2" t="s">
        <v>268</v>
      </c>
      <c r="I142" s="2" t="s">
        <v>269</v>
      </c>
      <c r="J142" s="2" t="s">
        <v>269</v>
      </c>
      <c r="K142" s="2" t="s">
        <v>18</v>
      </c>
      <c r="L142" s="2" t="s">
        <v>539</v>
      </c>
      <c r="M142" s="2"/>
      <c r="N142" s="2"/>
      <c r="O142" s="2"/>
      <c r="P142" s="2"/>
      <c r="Q142" s="2"/>
      <c r="R142" s="2"/>
      <c r="S142" s="2" t="s">
        <v>19</v>
      </c>
      <c r="T142" s="2" t="s">
        <v>19</v>
      </c>
      <c r="U142" s="2"/>
      <c r="V142" s="2" t="s">
        <v>542</v>
      </c>
      <c r="W142" s="2"/>
      <c r="X142" s="2" t="s">
        <v>119</v>
      </c>
      <c r="Y142" s="2"/>
      <c r="Z142" s="2"/>
      <c r="AA142" s="2"/>
      <c r="AB142" s="2" t="s">
        <v>19</v>
      </c>
    </row>
    <row r="143" spans="1:28" ht="69" x14ac:dyDescent="0.3">
      <c r="A143" s="2" t="s">
        <v>118</v>
      </c>
      <c r="B143" s="2" t="s">
        <v>119</v>
      </c>
      <c r="C143" s="2" t="s">
        <v>270</v>
      </c>
      <c r="D143" s="2" t="s">
        <v>270</v>
      </c>
      <c r="E143" s="2"/>
      <c r="F143" s="2" t="s">
        <v>36</v>
      </c>
      <c r="G143" s="2" t="s">
        <v>145</v>
      </c>
      <c r="H143" s="2" t="s">
        <v>270</v>
      </c>
      <c r="I143" s="2" t="s">
        <v>271</v>
      </c>
      <c r="J143" s="2" t="s">
        <v>272</v>
      </c>
      <c r="K143" s="2" t="s">
        <v>57</v>
      </c>
      <c r="L143" s="2" t="s">
        <v>539</v>
      </c>
      <c r="M143" s="2" t="s">
        <v>32</v>
      </c>
      <c r="N143" s="2" t="s">
        <v>664</v>
      </c>
      <c r="O143" s="2"/>
      <c r="P143" s="2"/>
      <c r="Q143" s="2"/>
      <c r="R143" s="2" t="s">
        <v>600</v>
      </c>
      <c r="S143" s="2" t="s">
        <v>19</v>
      </c>
      <c r="T143" s="2" t="s">
        <v>19</v>
      </c>
      <c r="U143" s="2"/>
      <c r="V143" s="2" t="s">
        <v>542</v>
      </c>
      <c r="W143" s="2"/>
      <c r="X143" s="2" t="s">
        <v>119</v>
      </c>
      <c r="Y143" s="2"/>
      <c r="Z143" s="2"/>
      <c r="AA143" s="2"/>
      <c r="AB143" s="2" t="s">
        <v>33</v>
      </c>
    </row>
    <row r="144" spans="1:28" x14ac:dyDescent="0.3">
      <c r="A144" s="2" t="s">
        <v>118</v>
      </c>
      <c r="B144" s="2" t="s">
        <v>119</v>
      </c>
      <c r="C144" s="2" t="s">
        <v>270</v>
      </c>
      <c r="D144" s="2" t="s">
        <v>270</v>
      </c>
      <c r="E144" s="2"/>
      <c r="F144" s="2" t="s">
        <v>36</v>
      </c>
      <c r="G144" s="2" t="s">
        <v>145</v>
      </c>
      <c r="H144" s="2" t="s">
        <v>273</v>
      </c>
      <c r="I144" s="2" t="s">
        <v>274</v>
      </c>
      <c r="J144" s="2" t="s">
        <v>274</v>
      </c>
      <c r="K144" s="2" t="s">
        <v>18</v>
      </c>
      <c r="L144" s="2" t="s">
        <v>539</v>
      </c>
      <c r="M144" s="2"/>
      <c r="N144" s="2"/>
      <c r="O144" s="2"/>
      <c r="P144" s="2"/>
      <c r="Q144" s="2"/>
      <c r="R144" s="2"/>
      <c r="S144" s="2" t="s">
        <v>19</v>
      </c>
      <c r="T144" s="2" t="s">
        <v>19</v>
      </c>
      <c r="U144" s="2"/>
      <c r="V144" s="2" t="s">
        <v>542</v>
      </c>
      <c r="W144" s="2"/>
      <c r="X144" s="2" t="s">
        <v>119</v>
      </c>
      <c r="Y144" s="2"/>
      <c r="Z144" s="2"/>
      <c r="AA144" s="2"/>
      <c r="AB144" s="2" t="s">
        <v>19</v>
      </c>
    </row>
    <row r="145" spans="1:28" ht="69" x14ac:dyDescent="0.3">
      <c r="A145" s="2" t="s">
        <v>118</v>
      </c>
      <c r="B145" s="2" t="s">
        <v>119</v>
      </c>
      <c r="C145" s="2" t="s">
        <v>275</v>
      </c>
      <c r="D145" s="2" t="s">
        <v>275</v>
      </c>
      <c r="E145" s="2"/>
      <c r="F145" s="2" t="s">
        <v>37</v>
      </c>
      <c r="G145" s="2" t="s">
        <v>145</v>
      </c>
      <c r="H145" s="2" t="s">
        <v>275</v>
      </c>
      <c r="I145" s="2" t="s">
        <v>276</v>
      </c>
      <c r="J145" s="2" t="s">
        <v>277</v>
      </c>
      <c r="K145" s="2" t="s">
        <v>57</v>
      </c>
      <c r="L145" s="2" t="s">
        <v>539</v>
      </c>
      <c r="M145" s="2" t="s">
        <v>32</v>
      </c>
      <c r="N145" s="2" t="s">
        <v>664</v>
      </c>
      <c r="O145" s="2"/>
      <c r="P145" s="2"/>
      <c r="Q145" s="2"/>
      <c r="R145" s="2"/>
      <c r="S145" s="2" t="s">
        <v>19</v>
      </c>
      <c r="T145" s="2" t="s">
        <v>19</v>
      </c>
      <c r="U145" s="2"/>
      <c r="V145" s="2" t="s">
        <v>542</v>
      </c>
      <c r="W145" s="2"/>
      <c r="X145" s="2" t="s">
        <v>119</v>
      </c>
      <c r="Y145" s="2"/>
      <c r="Z145" s="2"/>
      <c r="AA145" s="2"/>
      <c r="AB145" s="2" t="s">
        <v>33</v>
      </c>
    </row>
    <row r="146" spans="1:28" x14ac:dyDescent="0.3">
      <c r="A146" s="2" t="s">
        <v>118</v>
      </c>
      <c r="B146" s="2" t="s">
        <v>119</v>
      </c>
      <c r="C146" s="2" t="s">
        <v>275</v>
      </c>
      <c r="D146" s="2" t="s">
        <v>275</v>
      </c>
      <c r="E146" s="2"/>
      <c r="F146" s="2" t="s">
        <v>37</v>
      </c>
      <c r="G146" s="2" t="s">
        <v>145</v>
      </c>
      <c r="H146" s="2" t="s">
        <v>278</v>
      </c>
      <c r="I146" s="2" t="s">
        <v>279</v>
      </c>
      <c r="J146" s="2" t="s">
        <v>279</v>
      </c>
      <c r="K146" s="2" t="s">
        <v>18</v>
      </c>
      <c r="L146" s="2" t="s">
        <v>539</v>
      </c>
      <c r="M146" s="2"/>
      <c r="N146" s="2"/>
      <c r="O146" s="2"/>
      <c r="P146" s="2"/>
      <c r="Q146" s="2"/>
      <c r="R146" s="2"/>
      <c r="S146" s="2" t="s">
        <v>19</v>
      </c>
      <c r="T146" s="2" t="s">
        <v>19</v>
      </c>
      <c r="U146" s="2"/>
      <c r="V146" s="2" t="s">
        <v>542</v>
      </c>
      <c r="W146" s="2"/>
      <c r="X146" s="2" t="s">
        <v>119</v>
      </c>
      <c r="Y146" s="2"/>
      <c r="Z146" s="2"/>
      <c r="AA146" s="2"/>
      <c r="AB146" s="2" t="s">
        <v>19</v>
      </c>
    </row>
    <row r="147" spans="1:28" ht="82.8" x14ac:dyDescent="0.3">
      <c r="A147" s="2" t="s">
        <v>118</v>
      </c>
      <c r="B147" s="2" t="s">
        <v>119</v>
      </c>
      <c r="C147" s="2" t="s">
        <v>665</v>
      </c>
      <c r="D147" s="2" t="s">
        <v>665</v>
      </c>
      <c r="E147" s="2"/>
      <c r="F147" s="2" t="s">
        <v>38</v>
      </c>
      <c r="G147" s="2" t="s">
        <v>145</v>
      </c>
      <c r="H147" s="2" t="s">
        <v>280</v>
      </c>
      <c r="I147" s="2" t="s">
        <v>281</v>
      </c>
      <c r="J147" s="2" t="s">
        <v>282</v>
      </c>
      <c r="K147" s="2" t="s">
        <v>57</v>
      </c>
      <c r="L147" s="2" t="s">
        <v>539</v>
      </c>
      <c r="M147" s="2" t="s">
        <v>32</v>
      </c>
      <c r="N147" s="2" t="s">
        <v>666</v>
      </c>
      <c r="O147" s="2"/>
      <c r="P147" s="2"/>
      <c r="Q147" s="2"/>
      <c r="R147" s="2" t="s">
        <v>667</v>
      </c>
      <c r="S147" s="2" t="s">
        <v>19</v>
      </c>
      <c r="T147" s="2" t="s">
        <v>19</v>
      </c>
      <c r="U147" s="2"/>
      <c r="V147" s="2" t="s">
        <v>554</v>
      </c>
      <c r="W147" s="2"/>
      <c r="X147" s="2" t="s">
        <v>119</v>
      </c>
      <c r="Y147" s="2"/>
      <c r="Z147" s="2"/>
      <c r="AA147" s="2"/>
      <c r="AB147" s="2" t="s">
        <v>33</v>
      </c>
    </row>
    <row r="148" spans="1:28" x14ac:dyDescent="0.3">
      <c r="A148" s="2" t="s">
        <v>118</v>
      </c>
      <c r="B148" s="2" t="s">
        <v>119</v>
      </c>
      <c r="C148" s="2" t="s">
        <v>665</v>
      </c>
      <c r="D148" s="2" t="s">
        <v>665</v>
      </c>
      <c r="E148" s="2"/>
      <c r="F148" s="2" t="s">
        <v>38</v>
      </c>
      <c r="G148" s="2" t="s">
        <v>145</v>
      </c>
      <c r="H148" s="2" t="s">
        <v>283</v>
      </c>
      <c r="I148" s="2" t="s">
        <v>284</v>
      </c>
      <c r="J148" s="2" t="s">
        <v>284</v>
      </c>
      <c r="K148" s="2" t="s">
        <v>18</v>
      </c>
      <c r="L148" s="2" t="s">
        <v>539</v>
      </c>
      <c r="M148" s="2"/>
      <c r="N148" s="2"/>
      <c r="O148" s="2"/>
      <c r="P148" s="2"/>
      <c r="Q148" s="2"/>
      <c r="R148" s="2"/>
      <c r="S148" s="2" t="s">
        <v>19</v>
      </c>
      <c r="T148" s="2" t="s">
        <v>19</v>
      </c>
      <c r="U148" s="2"/>
      <c r="V148" s="2" t="s">
        <v>542</v>
      </c>
      <c r="W148" s="2"/>
      <c r="X148" s="2" t="s">
        <v>119</v>
      </c>
      <c r="Y148" s="2"/>
      <c r="Z148" s="2"/>
      <c r="AA148" s="2"/>
      <c r="AB148" s="2" t="s">
        <v>19</v>
      </c>
    </row>
    <row r="149" spans="1:28" ht="82.8" x14ac:dyDescent="0.3">
      <c r="A149" s="2" t="s">
        <v>118</v>
      </c>
      <c r="B149" s="2" t="s">
        <v>119</v>
      </c>
      <c r="C149" s="2" t="s">
        <v>285</v>
      </c>
      <c r="D149" s="2" t="s">
        <v>285</v>
      </c>
      <c r="E149" s="2"/>
      <c r="F149" s="2" t="s">
        <v>668</v>
      </c>
      <c r="G149" s="2" t="s">
        <v>145</v>
      </c>
      <c r="H149" s="2" t="s">
        <v>285</v>
      </c>
      <c r="I149" s="2" t="s">
        <v>286</v>
      </c>
      <c r="J149" s="2" t="s">
        <v>287</v>
      </c>
      <c r="K149" s="2" t="s">
        <v>57</v>
      </c>
      <c r="L149" s="2" t="s">
        <v>539</v>
      </c>
      <c r="M149" s="2" t="s">
        <v>32</v>
      </c>
      <c r="N149" s="2" t="s">
        <v>666</v>
      </c>
      <c r="O149" s="2"/>
      <c r="P149" s="2"/>
      <c r="Q149" s="2"/>
      <c r="R149" s="2" t="s">
        <v>667</v>
      </c>
      <c r="S149" s="2" t="s">
        <v>19</v>
      </c>
      <c r="T149" s="2" t="s">
        <v>19</v>
      </c>
      <c r="U149" s="2"/>
      <c r="V149" s="2" t="s">
        <v>542</v>
      </c>
      <c r="W149" s="2"/>
      <c r="X149" s="2" t="s">
        <v>119</v>
      </c>
      <c r="Y149" s="2"/>
      <c r="Z149" s="2"/>
      <c r="AA149" s="2"/>
      <c r="AB149" s="2" t="s">
        <v>33</v>
      </c>
    </row>
    <row r="150" spans="1:28" x14ac:dyDescent="0.3">
      <c r="A150" s="2" t="s">
        <v>118</v>
      </c>
      <c r="B150" s="2" t="s">
        <v>119</v>
      </c>
      <c r="C150" s="2" t="s">
        <v>285</v>
      </c>
      <c r="D150" s="2" t="s">
        <v>285</v>
      </c>
      <c r="E150" s="2"/>
      <c r="F150" s="2" t="s">
        <v>668</v>
      </c>
      <c r="G150" s="2" t="s">
        <v>145</v>
      </c>
      <c r="H150" s="2" t="s">
        <v>288</v>
      </c>
      <c r="I150" s="2" t="s">
        <v>289</v>
      </c>
      <c r="J150" s="2" t="s">
        <v>289</v>
      </c>
      <c r="K150" s="2" t="s">
        <v>18</v>
      </c>
      <c r="L150" s="2" t="s">
        <v>539</v>
      </c>
      <c r="M150" s="2"/>
      <c r="N150" s="2"/>
      <c r="O150" s="2"/>
      <c r="P150" s="2"/>
      <c r="Q150" s="2"/>
      <c r="R150" s="2"/>
      <c r="S150" s="2" t="s">
        <v>19</v>
      </c>
      <c r="T150" s="2" t="s">
        <v>19</v>
      </c>
      <c r="U150" s="2"/>
      <c r="V150" s="2" t="s">
        <v>542</v>
      </c>
      <c r="W150" s="2"/>
      <c r="X150" s="2" t="s">
        <v>119</v>
      </c>
      <c r="Y150" s="2"/>
      <c r="Z150" s="2"/>
      <c r="AA150" s="2"/>
      <c r="AB150" s="2" t="s">
        <v>19</v>
      </c>
    </row>
    <row r="151" spans="1:28" ht="234.6" x14ac:dyDescent="0.3">
      <c r="A151" s="2" t="s">
        <v>118</v>
      </c>
      <c r="B151" s="2" t="s">
        <v>119</v>
      </c>
      <c r="C151" s="2"/>
      <c r="D151" s="2"/>
      <c r="E151" s="2"/>
      <c r="F151" s="2"/>
      <c r="G151" s="2"/>
      <c r="H151" s="2" t="s">
        <v>290</v>
      </c>
      <c r="I151" s="2" t="s">
        <v>291</v>
      </c>
      <c r="J151" s="2" t="s">
        <v>291</v>
      </c>
      <c r="K151" s="2" t="s">
        <v>57</v>
      </c>
      <c r="L151" s="2" t="s">
        <v>539</v>
      </c>
      <c r="M151" s="2" t="s">
        <v>32</v>
      </c>
      <c r="N151" s="2" t="s">
        <v>669</v>
      </c>
      <c r="O151" s="2"/>
      <c r="P151" s="2"/>
      <c r="Q151" s="2"/>
      <c r="R151" s="2" t="s">
        <v>670</v>
      </c>
      <c r="S151" s="2" t="s">
        <v>19</v>
      </c>
      <c r="T151" s="2" t="s">
        <v>33</v>
      </c>
      <c r="U151" s="2"/>
      <c r="V151" s="2"/>
      <c r="W151" s="2" t="s">
        <v>20</v>
      </c>
      <c r="X151" s="2" t="s">
        <v>119</v>
      </c>
      <c r="Y151" s="2"/>
      <c r="Z151" s="2"/>
      <c r="AA151" s="2"/>
      <c r="AB151" s="2" t="s">
        <v>33</v>
      </c>
    </row>
    <row r="152" spans="1:28" ht="55.2" x14ac:dyDescent="0.3">
      <c r="A152" s="2" t="s">
        <v>292</v>
      </c>
      <c r="B152" s="2" t="s">
        <v>293</v>
      </c>
      <c r="C152" s="2" t="s">
        <v>671</v>
      </c>
      <c r="D152" s="2" t="s">
        <v>672</v>
      </c>
      <c r="E152" s="2" t="s">
        <v>673</v>
      </c>
      <c r="F152" s="2" t="s">
        <v>146</v>
      </c>
      <c r="G152" s="2" t="s">
        <v>246</v>
      </c>
      <c r="H152" s="2" t="s">
        <v>294</v>
      </c>
      <c r="I152" s="2" t="s">
        <v>295</v>
      </c>
      <c r="J152" s="2" t="s">
        <v>295</v>
      </c>
      <c r="K152" s="2" t="s">
        <v>57</v>
      </c>
      <c r="L152" s="2" t="s">
        <v>539</v>
      </c>
      <c r="M152" s="2" t="s">
        <v>32</v>
      </c>
      <c r="N152" s="2" t="s">
        <v>674</v>
      </c>
      <c r="O152" s="2"/>
      <c r="P152" s="2"/>
      <c r="Q152" s="2"/>
      <c r="R152" s="2"/>
      <c r="S152" s="2" t="s">
        <v>33</v>
      </c>
      <c r="T152" s="2" t="s">
        <v>33</v>
      </c>
      <c r="U152" s="2"/>
      <c r="V152" s="2" t="s">
        <v>675</v>
      </c>
      <c r="W152" s="2"/>
      <c r="X152" s="2" t="s">
        <v>293</v>
      </c>
      <c r="Y152" s="2"/>
      <c r="Z152" s="2"/>
      <c r="AA152" s="2"/>
      <c r="AB152" s="2" t="s">
        <v>33</v>
      </c>
    </row>
    <row r="153" spans="1:28" ht="27.6" x14ac:dyDescent="0.3">
      <c r="A153" s="2" t="s">
        <v>292</v>
      </c>
      <c r="B153" s="2" t="s">
        <v>293</v>
      </c>
      <c r="C153" s="2" t="s">
        <v>671</v>
      </c>
      <c r="D153" s="2" t="s">
        <v>672</v>
      </c>
      <c r="E153" s="2" t="s">
        <v>673</v>
      </c>
      <c r="F153" s="2" t="s">
        <v>146</v>
      </c>
      <c r="G153" s="2" t="s">
        <v>246</v>
      </c>
      <c r="H153" s="2" t="s">
        <v>173</v>
      </c>
      <c r="I153" s="2" t="s">
        <v>174</v>
      </c>
      <c r="J153" s="2" t="s">
        <v>174</v>
      </c>
      <c r="K153" s="2" t="s">
        <v>57</v>
      </c>
      <c r="L153" s="2" t="s">
        <v>539</v>
      </c>
      <c r="M153" s="2" t="s">
        <v>32</v>
      </c>
      <c r="N153" s="2" t="s">
        <v>559</v>
      </c>
      <c r="O153" s="2"/>
      <c r="P153" s="2"/>
      <c r="Q153" s="2"/>
      <c r="R153" s="2"/>
      <c r="S153" s="2"/>
      <c r="T153" s="2"/>
      <c r="U153" s="2"/>
      <c r="V153" s="2" t="s">
        <v>675</v>
      </c>
      <c r="W153" s="2"/>
      <c r="X153" s="2" t="s">
        <v>293</v>
      </c>
      <c r="Y153" s="2"/>
      <c r="Z153" s="2"/>
      <c r="AA153" s="2"/>
      <c r="AB153" s="2" t="s">
        <v>33</v>
      </c>
    </row>
    <row r="154" spans="1:28" ht="27.6" x14ac:dyDescent="0.3">
      <c r="A154" s="2" t="s">
        <v>292</v>
      </c>
      <c r="B154" s="2" t="s">
        <v>293</v>
      </c>
      <c r="C154" s="2" t="s">
        <v>671</v>
      </c>
      <c r="D154" s="2" t="s">
        <v>672</v>
      </c>
      <c r="E154" s="2" t="s">
        <v>673</v>
      </c>
      <c r="F154" s="2" t="s">
        <v>146</v>
      </c>
      <c r="G154" s="2" t="s">
        <v>246</v>
      </c>
      <c r="H154" s="2" t="s">
        <v>175</v>
      </c>
      <c r="I154" s="2" t="s">
        <v>176</v>
      </c>
      <c r="J154" s="2" t="s">
        <v>176</v>
      </c>
      <c r="K154" s="2" t="s">
        <v>57</v>
      </c>
      <c r="L154" s="2" t="s">
        <v>539</v>
      </c>
      <c r="M154" s="2" t="s">
        <v>32</v>
      </c>
      <c r="N154" s="2" t="s">
        <v>559</v>
      </c>
      <c r="O154" s="2"/>
      <c r="P154" s="2"/>
      <c r="Q154" s="2"/>
      <c r="R154" s="2"/>
      <c r="S154" s="2"/>
      <c r="T154" s="2"/>
      <c r="U154" s="2"/>
      <c r="V154" s="2" t="s">
        <v>675</v>
      </c>
      <c r="W154" s="2"/>
      <c r="X154" s="2" t="s">
        <v>293</v>
      </c>
      <c r="Y154" s="2"/>
      <c r="Z154" s="2"/>
      <c r="AA154" s="2"/>
      <c r="AB154" s="2" t="s">
        <v>33</v>
      </c>
    </row>
    <row r="155" spans="1:28" ht="27.6" x14ac:dyDescent="0.3">
      <c r="A155" s="2" t="s">
        <v>292</v>
      </c>
      <c r="B155" s="2" t="s">
        <v>293</v>
      </c>
      <c r="C155" s="2" t="s">
        <v>671</v>
      </c>
      <c r="D155" s="2" t="s">
        <v>672</v>
      </c>
      <c r="E155" s="2" t="s">
        <v>673</v>
      </c>
      <c r="F155" s="2" t="s">
        <v>146</v>
      </c>
      <c r="G155" s="2" t="s">
        <v>246</v>
      </c>
      <c r="H155" s="2" t="s">
        <v>177</v>
      </c>
      <c r="I155" s="2" t="s">
        <v>178</v>
      </c>
      <c r="J155" s="2" t="s">
        <v>178</v>
      </c>
      <c r="K155" s="2" t="s">
        <v>57</v>
      </c>
      <c r="L155" s="2" t="s">
        <v>539</v>
      </c>
      <c r="M155" s="2" t="s">
        <v>32</v>
      </c>
      <c r="N155" s="2" t="s">
        <v>559</v>
      </c>
      <c r="O155" s="2"/>
      <c r="P155" s="2"/>
      <c r="Q155" s="2"/>
      <c r="R155" s="2"/>
      <c r="S155" s="2"/>
      <c r="T155" s="2"/>
      <c r="U155" s="2"/>
      <c r="V155" s="2" t="s">
        <v>675</v>
      </c>
      <c r="W155" s="2"/>
      <c r="X155" s="2" t="s">
        <v>293</v>
      </c>
      <c r="Y155" s="2"/>
      <c r="Z155" s="2"/>
      <c r="AA155" s="2"/>
      <c r="AB155" s="2" t="s">
        <v>33</v>
      </c>
    </row>
    <row r="156" spans="1:28" ht="27.6" x14ac:dyDescent="0.3">
      <c r="A156" s="2" t="s">
        <v>292</v>
      </c>
      <c r="B156" s="2" t="s">
        <v>293</v>
      </c>
      <c r="C156" s="2" t="s">
        <v>671</v>
      </c>
      <c r="D156" s="2" t="s">
        <v>672</v>
      </c>
      <c r="E156" s="2" t="s">
        <v>673</v>
      </c>
      <c r="F156" s="2" t="s">
        <v>146</v>
      </c>
      <c r="G156" s="2" t="s">
        <v>246</v>
      </c>
      <c r="H156" s="2" t="s">
        <v>179</v>
      </c>
      <c r="I156" s="2" t="s">
        <v>180</v>
      </c>
      <c r="J156" s="2" t="s">
        <v>180</v>
      </c>
      <c r="K156" s="2" t="s">
        <v>57</v>
      </c>
      <c r="L156" s="2" t="s">
        <v>539</v>
      </c>
      <c r="M156" s="2" t="s">
        <v>32</v>
      </c>
      <c r="N156" s="2" t="s">
        <v>559</v>
      </c>
      <c r="O156" s="2"/>
      <c r="P156" s="2"/>
      <c r="Q156" s="2"/>
      <c r="R156" s="2"/>
      <c r="S156" s="2"/>
      <c r="T156" s="2"/>
      <c r="U156" s="2"/>
      <c r="V156" s="2" t="s">
        <v>675</v>
      </c>
      <c r="W156" s="2"/>
      <c r="X156" s="2" t="s">
        <v>293</v>
      </c>
      <c r="Y156" s="2"/>
      <c r="Z156" s="2"/>
      <c r="AA156" s="2"/>
      <c r="AB156" s="2" t="s">
        <v>33</v>
      </c>
    </row>
    <row r="157" spans="1:28" x14ac:dyDescent="0.3">
      <c r="A157" s="2" t="s">
        <v>292</v>
      </c>
      <c r="B157" s="2" t="s">
        <v>293</v>
      </c>
      <c r="C157" s="2" t="s">
        <v>671</v>
      </c>
      <c r="D157" s="2" t="s">
        <v>672</v>
      </c>
      <c r="E157" s="2" t="s">
        <v>673</v>
      </c>
      <c r="F157" s="2" t="s">
        <v>146</v>
      </c>
      <c r="G157" s="2" t="s">
        <v>246</v>
      </c>
      <c r="H157" s="2" t="s">
        <v>185</v>
      </c>
      <c r="I157" s="2" t="s">
        <v>186</v>
      </c>
      <c r="J157" s="2" t="s">
        <v>186</v>
      </c>
      <c r="K157" s="2" t="s">
        <v>133</v>
      </c>
      <c r="L157" s="2" t="s">
        <v>676</v>
      </c>
      <c r="M157" s="2"/>
      <c r="N157" s="2"/>
      <c r="O157" s="2"/>
      <c r="P157" s="2"/>
      <c r="Q157" s="2"/>
      <c r="R157" s="2"/>
      <c r="S157" s="2" t="s">
        <v>33</v>
      </c>
      <c r="T157" s="2" t="s">
        <v>33</v>
      </c>
      <c r="U157" s="2" t="s">
        <v>33</v>
      </c>
      <c r="V157" s="2" t="s">
        <v>675</v>
      </c>
      <c r="W157" s="2"/>
      <c r="X157" s="2" t="s">
        <v>293</v>
      </c>
      <c r="Y157" s="2"/>
      <c r="Z157" s="2"/>
      <c r="AA157" s="2"/>
      <c r="AB157" s="2" t="s">
        <v>19</v>
      </c>
    </row>
    <row r="158" spans="1:28" x14ac:dyDescent="0.3">
      <c r="A158" s="2" t="s">
        <v>292</v>
      </c>
      <c r="B158" s="2" t="s">
        <v>293</v>
      </c>
      <c r="C158" s="2" t="s">
        <v>671</v>
      </c>
      <c r="D158" s="2" t="s">
        <v>672</v>
      </c>
      <c r="E158" s="2" t="s">
        <v>673</v>
      </c>
      <c r="F158" s="2" t="s">
        <v>146</v>
      </c>
      <c r="G158" s="2" t="s">
        <v>246</v>
      </c>
      <c r="H158" s="2" t="s">
        <v>187</v>
      </c>
      <c r="I158" s="2" t="s">
        <v>188</v>
      </c>
      <c r="J158" s="2" t="s">
        <v>188</v>
      </c>
      <c r="K158" s="2" t="s">
        <v>133</v>
      </c>
      <c r="L158" s="2" t="s">
        <v>676</v>
      </c>
      <c r="M158" s="2"/>
      <c r="N158" s="2"/>
      <c r="O158" s="2"/>
      <c r="P158" s="2"/>
      <c r="Q158" s="2"/>
      <c r="R158" s="2"/>
      <c r="S158" s="2" t="s">
        <v>33</v>
      </c>
      <c r="T158" s="2" t="s">
        <v>33</v>
      </c>
      <c r="U158" s="2" t="s">
        <v>33</v>
      </c>
      <c r="V158" s="2" t="s">
        <v>675</v>
      </c>
      <c r="W158" s="2"/>
      <c r="X158" s="2" t="s">
        <v>293</v>
      </c>
      <c r="Y158" s="2"/>
      <c r="Z158" s="2"/>
      <c r="AA158" s="2"/>
      <c r="AB158" s="2" t="s">
        <v>19</v>
      </c>
    </row>
    <row r="159" spans="1:28" ht="151.80000000000001" x14ac:dyDescent="0.3">
      <c r="A159" s="2" t="s">
        <v>292</v>
      </c>
      <c r="B159" s="2" t="s">
        <v>293</v>
      </c>
      <c r="C159" s="2" t="s">
        <v>671</v>
      </c>
      <c r="D159" s="2" t="s">
        <v>672</v>
      </c>
      <c r="E159" s="2" t="s">
        <v>673</v>
      </c>
      <c r="F159" s="2" t="s">
        <v>146</v>
      </c>
      <c r="G159" s="2" t="s">
        <v>246</v>
      </c>
      <c r="H159" s="2" t="s">
        <v>158</v>
      </c>
      <c r="I159" s="2" t="s">
        <v>159</v>
      </c>
      <c r="J159" s="2" t="s">
        <v>159</v>
      </c>
      <c r="K159" s="2" t="s">
        <v>57</v>
      </c>
      <c r="L159" s="2" t="s">
        <v>539</v>
      </c>
      <c r="M159" s="2" t="s">
        <v>32</v>
      </c>
      <c r="N159" s="2" t="s">
        <v>610</v>
      </c>
      <c r="O159" s="2" t="s">
        <v>497</v>
      </c>
      <c r="P159" s="2"/>
      <c r="Q159" s="2"/>
      <c r="R159" s="2"/>
      <c r="S159" s="2" t="s">
        <v>33</v>
      </c>
      <c r="T159" s="2" t="s">
        <v>33</v>
      </c>
      <c r="U159" s="2" t="s">
        <v>33</v>
      </c>
      <c r="V159" s="2" t="s">
        <v>675</v>
      </c>
      <c r="W159" s="2"/>
      <c r="X159" s="2" t="s">
        <v>293</v>
      </c>
      <c r="Y159" s="2"/>
      <c r="Z159" s="2"/>
      <c r="AA159" s="2" t="s">
        <v>102</v>
      </c>
      <c r="AB159" s="2" t="s">
        <v>33</v>
      </c>
    </row>
    <row r="160" spans="1:28" ht="41.4" x14ac:dyDescent="0.3">
      <c r="A160" s="2" t="s">
        <v>292</v>
      </c>
      <c r="B160" s="2" t="s">
        <v>293</v>
      </c>
      <c r="C160" s="2" t="s">
        <v>671</v>
      </c>
      <c r="D160" s="2" t="s">
        <v>672</v>
      </c>
      <c r="E160" s="2" t="s">
        <v>673</v>
      </c>
      <c r="F160" s="2" t="s">
        <v>146</v>
      </c>
      <c r="G160" s="2" t="s">
        <v>246</v>
      </c>
      <c r="H160" s="2" t="s">
        <v>134</v>
      </c>
      <c r="I160" s="2" t="s">
        <v>135</v>
      </c>
      <c r="J160" s="2" t="s">
        <v>135</v>
      </c>
      <c r="K160" s="2" t="s">
        <v>57</v>
      </c>
      <c r="L160" s="2" t="s">
        <v>539</v>
      </c>
      <c r="M160" s="2" t="s">
        <v>32</v>
      </c>
      <c r="N160" s="2" t="s">
        <v>677</v>
      </c>
      <c r="O160" s="2" t="s">
        <v>540</v>
      </c>
      <c r="P160" s="2"/>
      <c r="Q160" s="2"/>
      <c r="R160" s="2" t="s">
        <v>678</v>
      </c>
      <c r="S160" s="2" t="s">
        <v>33</v>
      </c>
      <c r="T160" s="2" t="s">
        <v>33</v>
      </c>
      <c r="U160" s="2" t="s">
        <v>33</v>
      </c>
      <c r="V160" s="2" t="s">
        <v>675</v>
      </c>
      <c r="W160" s="2"/>
      <c r="X160" s="2" t="s">
        <v>293</v>
      </c>
      <c r="Y160" s="2"/>
      <c r="Z160" s="2"/>
      <c r="AA160" s="2" t="s">
        <v>10</v>
      </c>
      <c r="AB160" s="2" t="s">
        <v>33</v>
      </c>
    </row>
    <row r="161" spans="1:28" ht="82.8" x14ac:dyDescent="0.3">
      <c r="A161" s="2" t="s">
        <v>292</v>
      </c>
      <c r="B161" s="2" t="s">
        <v>293</v>
      </c>
      <c r="C161" s="2" t="s">
        <v>671</v>
      </c>
      <c r="D161" s="2" t="s">
        <v>672</v>
      </c>
      <c r="E161" s="2" t="s">
        <v>673</v>
      </c>
      <c r="F161" s="2" t="s">
        <v>146</v>
      </c>
      <c r="G161" s="2" t="s">
        <v>246</v>
      </c>
      <c r="H161" s="2" t="s">
        <v>296</v>
      </c>
      <c r="I161" s="2" t="s">
        <v>157</v>
      </c>
      <c r="J161" s="2" t="s">
        <v>157</v>
      </c>
      <c r="K161" s="2" t="s">
        <v>57</v>
      </c>
      <c r="L161" s="2" t="s">
        <v>539</v>
      </c>
      <c r="M161" s="2" t="s">
        <v>32</v>
      </c>
      <c r="N161" s="2" t="s">
        <v>608</v>
      </c>
      <c r="O161" s="2" t="s">
        <v>497</v>
      </c>
      <c r="P161" s="2"/>
      <c r="Q161" s="2"/>
      <c r="R161" s="2" t="s">
        <v>679</v>
      </c>
      <c r="S161" s="2" t="s">
        <v>19</v>
      </c>
      <c r="T161" s="2" t="s">
        <v>19</v>
      </c>
      <c r="U161" s="2" t="s">
        <v>33</v>
      </c>
      <c r="V161" s="2" t="s">
        <v>675</v>
      </c>
      <c r="W161" s="2"/>
      <c r="X161" s="2" t="s">
        <v>293</v>
      </c>
      <c r="Y161" s="2"/>
      <c r="Z161" s="2"/>
      <c r="AA161" s="2" t="s">
        <v>102</v>
      </c>
      <c r="AB161" s="2" t="s">
        <v>33</v>
      </c>
    </row>
    <row r="162" spans="1:28" ht="27.6" x14ac:dyDescent="0.3">
      <c r="A162" s="2" t="s">
        <v>292</v>
      </c>
      <c r="B162" s="2" t="s">
        <v>293</v>
      </c>
      <c r="C162" s="2" t="s">
        <v>671</v>
      </c>
      <c r="D162" s="2" t="s">
        <v>672</v>
      </c>
      <c r="E162" s="2" t="s">
        <v>673</v>
      </c>
      <c r="F162" s="2" t="s">
        <v>146</v>
      </c>
      <c r="G162" s="2" t="s">
        <v>246</v>
      </c>
      <c r="H162" s="2" t="s">
        <v>297</v>
      </c>
      <c r="I162" s="2" t="s">
        <v>298</v>
      </c>
      <c r="J162" s="2" t="s">
        <v>298</v>
      </c>
      <c r="K162" s="2" t="s">
        <v>18</v>
      </c>
      <c r="L162" s="2" t="s">
        <v>539</v>
      </c>
      <c r="M162" s="2"/>
      <c r="N162" s="2"/>
      <c r="O162" s="2"/>
      <c r="P162" s="2"/>
      <c r="Q162" s="2"/>
      <c r="R162" s="2"/>
      <c r="S162" s="2"/>
      <c r="T162" s="2"/>
      <c r="U162" s="2"/>
      <c r="V162" s="2" t="s">
        <v>675</v>
      </c>
      <c r="W162" s="2"/>
      <c r="X162" s="2" t="s">
        <v>293</v>
      </c>
      <c r="Y162" s="2"/>
      <c r="Z162" s="2"/>
      <c r="AA162" s="2"/>
      <c r="AB162" s="2" t="s">
        <v>19</v>
      </c>
    </row>
    <row r="163" spans="1:28" ht="55.2" x14ac:dyDescent="0.3">
      <c r="A163" s="2" t="s">
        <v>292</v>
      </c>
      <c r="B163" s="2" t="s">
        <v>293</v>
      </c>
      <c r="C163" s="2" t="s">
        <v>671</v>
      </c>
      <c r="D163" s="2" t="s">
        <v>672</v>
      </c>
      <c r="E163" s="2" t="s">
        <v>673</v>
      </c>
      <c r="F163" s="2" t="s">
        <v>146</v>
      </c>
      <c r="G163" s="2" t="s">
        <v>246</v>
      </c>
      <c r="H163" s="2" t="s">
        <v>299</v>
      </c>
      <c r="I163" s="2" t="s">
        <v>155</v>
      </c>
      <c r="J163" s="2" t="s">
        <v>155</v>
      </c>
      <c r="K163" s="2" t="s">
        <v>18</v>
      </c>
      <c r="L163" s="2" t="s">
        <v>539</v>
      </c>
      <c r="M163" s="2"/>
      <c r="N163" s="2"/>
      <c r="O163" s="2" t="s">
        <v>540</v>
      </c>
      <c r="P163" s="2" t="s">
        <v>680</v>
      </c>
      <c r="Q163" s="2"/>
      <c r="R163" s="2" t="s">
        <v>681</v>
      </c>
      <c r="S163" s="2"/>
      <c r="T163" s="2"/>
      <c r="U163" s="2" t="s">
        <v>33</v>
      </c>
      <c r="V163" s="2" t="s">
        <v>675</v>
      </c>
      <c r="W163" s="2"/>
      <c r="X163" s="2" t="s">
        <v>293</v>
      </c>
      <c r="Y163" s="2"/>
      <c r="Z163" s="2"/>
      <c r="AA163" s="2" t="s">
        <v>10</v>
      </c>
      <c r="AB163" s="2" t="s">
        <v>19</v>
      </c>
    </row>
    <row r="164" spans="1:28" ht="27.6" x14ac:dyDescent="0.3">
      <c r="A164" s="2" t="s">
        <v>292</v>
      </c>
      <c r="B164" s="2" t="s">
        <v>293</v>
      </c>
      <c r="C164" s="2" t="s">
        <v>671</v>
      </c>
      <c r="D164" s="2" t="s">
        <v>672</v>
      </c>
      <c r="E164" s="2" t="s">
        <v>673</v>
      </c>
      <c r="F164" s="2" t="s">
        <v>682</v>
      </c>
      <c r="G164" s="2" t="s">
        <v>246</v>
      </c>
      <c r="H164" s="2" t="s">
        <v>300</v>
      </c>
      <c r="I164" s="2" t="s">
        <v>301</v>
      </c>
      <c r="J164" s="2" t="s">
        <v>301</v>
      </c>
      <c r="K164" s="2" t="s">
        <v>18</v>
      </c>
      <c r="L164" s="2" t="s">
        <v>539</v>
      </c>
      <c r="M164" s="2"/>
      <c r="N164" s="2"/>
      <c r="O164" s="2" t="s">
        <v>497</v>
      </c>
      <c r="P164" s="2" t="s">
        <v>683</v>
      </c>
      <c r="Q164" s="2"/>
      <c r="R164" s="2"/>
      <c r="S164" s="2" t="s">
        <v>33</v>
      </c>
      <c r="T164" s="2" t="s">
        <v>33</v>
      </c>
      <c r="U164" s="2" t="s">
        <v>33</v>
      </c>
      <c r="V164" s="2" t="s">
        <v>675</v>
      </c>
      <c r="W164" s="2"/>
      <c r="X164" s="2" t="s">
        <v>293</v>
      </c>
      <c r="Y164" s="2"/>
      <c r="Z164" s="2"/>
      <c r="AA164" s="2" t="s">
        <v>102</v>
      </c>
      <c r="AB164" s="2" t="s">
        <v>19</v>
      </c>
    </row>
    <row r="165" spans="1:28" x14ac:dyDescent="0.3">
      <c r="A165" s="2" t="s">
        <v>292</v>
      </c>
      <c r="B165" s="2" t="s">
        <v>293</v>
      </c>
      <c r="C165" s="2" t="s">
        <v>671</v>
      </c>
      <c r="D165" s="2" t="s">
        <v>672</v>
      </c>
      <c r="E165" s="2" t="s">
        <v>673</v>
      </c>
      <c r="F165" s="2" t="s">
        <v>682</v>
      </c>
      <c r="G165" s="2" t="s">
        <v>246</v>
      </c>
      <c r="H165" s="2" t="s">
        <v>302</v>
      </c>
      <c r="I165" s="2" t="s">
        <v>303</v>
      </c>
      <c r="J165" s="2" t="s">
        <v>303</v>
      </c>
      <c r="K165" s="2" t="s">
        <v>18</v>
      </c>
      <c r="L165" s="2" t="s">
        <v>617</v>
      </c>
      <c r="M165" s="2"/>
      <c r="N165" s="2"/>
      <c r="O165" s="2" t="s">
        <v>497</v>
      </c>
      <c r="P165" s="2"/>
      <c r="Q165" s="2"/>
      <c r="R165" s="2"/>
      <c r="S165" s="2" t="s">
        <v>33</v>
      </c>
      <c r="T165" s="2" t="s">
        <v>33</v>
      </c>
      <c r="U165" s="2"/>
      <c r="V165" s="2" t="s">
        <v>675</v>
      </c>
      <c r="W165" s="2"/>
      <c r="X165" s="2" t="s">
        <v>293</v>
      </c>
      <c r="Y165" s="2"/>
      <c r="Z165" s="2"/>
      <c r="AA165" s="2" t="s">
        <v>102</v>
      </c>
      <c r="AB165" s="2" t="s">
        <v>19</v>
      </c>
    </row>
    <row r="166" spans="1:28" ht="110.4" x14ac:dyDescent="0.3">
      <c r="A166" s="2" t="s">
        <v>292</v>
      </c>
      <c r="B166" s="2" t="s">
        <v>293</v>
      </c>
      <c r="C166" s="2" t="s">
        <v>671</v>
      </c>
      <c r="D166" s="2" t="s">
        <v>672</v>
      </c>
      <c r="E166" s="2" t="s">
        <v>673</v>
      </c>
      <c r="F166" s="2" t="s">
        <v>682</v>
      </c>
      <c r="G166" s="2" t="s">
        <v>246</v>
      </c>
      <c r="H166" s="2" t="s">
        <v>304</v>
      </c>
      <c r="I166" s="2">
        <v>1284</v>
      </c>
      <c r="J166" s="2">
        <v>1284</v>
      </c>
      <c r="K166" s="2" t="s">
        <v>50</v>
      </c>
      <c r="L166" s="2" t="s">
        <v>684</v>
      </c>
      <c r="M166" s="2"/>
      <c r="N166" s="2"/>
      <c r="O166" s="2" t="s">
        <v>497</v>
      </c>
      <c r="P166" s="2" t="s">
        <v>685</v>
      </c>
      <c r="Q166" s="2"/>
      <c r="R166" s="2"/>
      <c r="S166" s="2" t="s">
        <v>33</v>
      </c>
      <c r="T166" s="2" t="s">
        <v>33</v>
      </c>
      <c r="U166" s="2"/>
      <c r="V166" s="2" t="s">
        <v>675</v>
      </c>
      <c r="W166" s="2"/>
      <c r="X166" s="2" t="s">
        <v>293</v>
      </c>
      <c r="Y166" s="2"/>
      <c r="Z166" s="2"/>
      <c r="AA166" s="2" t="s">
        <v>102</v>
      </c>
      <c r="AB166" s="2" t="s">
        <v>19</v>
      </c>
    </row>
    <row r="167" spans="1:28" ht="69" x14ac:dyDescent="0.3">
      <c r="A167" s="2" t="s">
        <v>292</v>
      </c>
      <c r="B167" s="2" t="s">
        <v>293</v>
      </c>
      <c r="C167" s="2" t="s">
        <v>671</v>
      </c>
      <c r="D167" s="2" t="s">
        <v>672</v>
      </c>
      <c r="E167" s="2" t="s">
        <v>673</v>
      </c>
      <c r="F167" s="2" t="s">
        <v>654</v>
      </c>
      <c r="G167" s="2" t="s">
        <v>246</v>
      </c>
      <c r="H167" s="2" t="s">
        <v>305</v>
      </c>
      <c r="I167" s="2" t="s">
        <v>306</v>
      </c>
      <c r="J167" s="2" t="s">
        <v>306</v>
      </c>
      <c r="K167" s="2" t="s">
        <v>18</v>
      </c>
      <c r="L167" s="2" t="s">
        <v>539</v>
      </c>
      <c r="M167" s="2"/>
      <c r="N167" s="2"/>
      <c r="O167" s="2" t="s">
        <v>497</v>
      </c>
      <c r="P167" s="2"/>
      <c r="Q167" s="2"/>
      <c r="R167" s="2" t="s">
        <v>686</v>
      </c>
      <c r="S167" s="2" t="s">
        <v>33</v>
      </c>
      <c r="T167" s="2" t="s">
        <v>597</v>
      </c>
      <c r="U167" s="2" t="s">
        <v>33</v>
      </c>
      <c r="V167" s="2" t="s">
        <v>675</v>
      </c>
      <c r="W167" s="2"/>
      <c r="X167" s="2" t="s">
        <v>293</v>
      </c>
      <c r="Y167" s="2"/>
      <c r="Z167" s="2"/>
      <c r="AA167" s="2" t="s">
        <v>102</v>
      </c>
      <c r="AB167" s="2" t="s">
        <v>19</v>
      </c>
    </row>
    <row r="168" spans="1:28" ht="69" x14ac:dyDescent="0.3">
      <c r="A168" s="2" t="s">
        <v>292</v>
      </c>
      <c r="B168" s="2" t="s">
        <v>293</v>
      </c>
      <c r="C168" s="2" t="s">
        <v>671</v>
      </c>
      <c r="D168" s="2" t="s">
        <v>672</v>
      </c>
      <c r="E168" s="2" t="s">
        <v>673</v>
      </c>
      <c r="F168" s="2" t="s">
        <v>654</v>
      </c>
      <c r="G168" s="2" t="s">
        <v>246</v>
      </c>
      <c r="H168" s="2" t="s">
        <v>307</v>
      </c>
      <c r="I168" s="2" t="s">
        <v>308</v>
      </c>
      <c r="J168" s="2" t="s">
        <v>308</v>
      </c>
      <c r="K168" s="2" t="s">
        <v>18</v>
      </c>
      <c r="L168" s="2" t="s">
        <v>539</v>
      </c>
      <c r="M168" s="2"/>
      <c r="N168" s="2"/>
      <c r="O168" s="2" t="s">
        <v>497</v>
      </c>
      <c r="P168" s="2"/>
      <c r="Q168" s="2"/>
      <c r="R168" s="2" t="s">
        <v>686</v>
      </c>
      <c r="S168" s="2" t="s">
        <v>33</v>
      </c>
      <c r="T168" s="2" t="s">
        <v>597</v>
      </c>
      <c r="U168" s="2" t="s">
        <v>33</v>
      </c>
      <c r="V168" s="2" t="s">
        <v>675</v>
      </c>
      <c r="W168" s="2"/>
      <c r="X168" s="2" t="s">
        <v>293</v>
      </c>
      <c r="Y168" s="2"/>
      <c r="Z168" s="2"/>
      <c r="AA168" s="2" t="s">
        <v>102</v>
      </c>
      <c r="AB168" s="2" t="s">
        <v>19</v>
      </c>
    </row>
    <row r="169" spans="1:28" ht="151.80000000000001" x14ac:dyDescent="0.3">
      <c r="A169" s="2" t="s">
        <v>292</v>
      </c>
      <c r="B169" s="2" t="s">
        <v>293</v>
      </c>
      <c r="C169" s="2" t="s">
        <v>671</v>
      </c>
      <c r="D169" s="2" t="s">
        <v>672</v>
      </c>
      <c r="E169" s="2" t="s">
        <v>673</v>
      </c>
      <c r="F169" s="2" t="s">
        <v>654</v>
      </c>
      <c r="G169" s="2" t="s">
        <v>246</v>
      </c>
      <c r="H169" s="2" t="s">
        <v>309</v>
      </c>
      <c r="I169" s="2" t="s">
        <v>310</v>
      </c>
      <c r="J169" s="2" t="s">
        <v>310</v>
      </c>
      <c r="K169" s="2" t="s">
        <v>57</v>
      </c>
      <c r="L169" s="2" t="s">
        <v>539</v>
      </c>
      <c r="M169" s="2" t="s">
        <v>32</v>
      </c>
      <c r="N169" s="2" t="s">
        <v>610</v>
      </c>
      <c r="O169" s="2" t="s">
        <v>497</v>
      </c>
      <c r="P169" s="2" t="s">
        <v>687</v>
      </c>
      <c r="Q169" s="2"/>
      <c r="R169" s="2" t="s">
        <v>688</v>
      </c>
      <c r="S169" s="2" t="s">
        <v>33</v>
      </c>
      <c r="T169" s="2" t="s">
        <v>597</v>
      </c>
      <c r="U169" s="2" t="s">
        <v>33</v>
      </c>
      <c r="V169" s="2" t="s">
        <v>675</v>
      </c>
      <c r="W169" s="2"/>
      <c r="X169" s="2" t="s">
        <v>293</v>
      </c>
      <c r="Y169" s="2"/>
      <c r="Z169" s="2"/>
      <c r="AA169" s="2" t="s">
        <v>102</v>
      </c>
      <c r="AB169" s="2" t="s">
        <v>33</v>
      </c>
    </row>
    <row r="170" spans="1:28" ht="409.6" x14ac:dyDescent="0.3">
      <c r="A170" s="2" t="s">
        <v>292</v>
      </c>
      <c r="B170" s="2" t="s">
        <v>293</v>
      </c>
      <c r="C170" s="2" t="s">
        <v>671</v>
      </c>
      <c r="D170" s="2" t="s">
        <v>672</v>
      </c>
      <c r="E170" s="2" t="s">
        <v>673</v>
      </c>
      <c r="F170" s="2" t="s">
        <v>146</v>
      </c>
      <c r="G170" s="2" t="s">
        <v>246</v>
      </c>
      <c r="H170" s="2" t="s">
        <v>311</v>
      </c>
      <c r="I170" s="2" t="s">
        <v>312</v>
      </c>
      <c r="J170" s="2" t="s">
        <v>313</v>
      </c>
      <c r="K170" s="2" t="s">
        <v>57</v>
      </c>
      <c r="L170" s="2" t="s">
        <v>539</v>
      </c>
      <c r="M170" s="2" t="s">
        <v>35</v>
      </c>
      <c r="N170" s="2" t="s">
        <v>689</v>
      </c>
      <c r="O170" s="2" t="s">
        <v>540</v>
      </c>
      <c r="P170" s="2" t="s">
        <v>690</v>
      </c>
      <c r="Q170" s="2"/>
      <c r="R170" s="2"/>
      <c r="S170" s="2" t="s">
        <v>33</v>
      </c>
      <c r="T170" s="2" t="s">
        <v>33</v>
      </c>
      <c r="U170" s="2" t="s">
        <v>33</v>
      </c>
      <c r="V170" s="2" t="s">
        <v>675</v>
      </c>
      <c r="W170" s="2"/>
      <c r="X170" s="2" t="s">
        <v>293</v>
      </c>
      <c r="Y170" s="2"/>
      <c r="Z170" s="2"/>
      <c r="AA170" s="2" t="s">
        <v>10</v>
      </c>
      <c r="AB170" s="2" t="s">
        <v>33</v>
      </c>
    </row>
    <row r="171" spans="1:28" x14ac:dyDescent="0.3">
      <c r="A171" s="2" t="s">
        <v>292</v>
      </c>
      <c r="B171" s="2" t="s">
        <v>293</v>
      </c>
      <c r="C171" s="2" t="s">
        <v>671</v>
      </c>
      <c r="D171" s="2" t="s">
        <v>672</v>
      </c>
      <c r="E171" s="2" t="s">
        <v>673</v>
      </c>
      <c r="F171" s="2" t="s">
        <v>146</v>
      </c>
      <c r="G171" s="2" t="s">
        <v>246</v>
      </c>
      <c r="H171" s="2" t="s">
        <v>314</v>
      </c>
      <c r="I171" s="2" t="s">
        <v>315</v>
      </c>
      <c r="J171" s="2" t="s">
        <v>315</v>
      </c>
      <c r="K171" s="2" t="s">
        <v>18</v>
      </c>
      <c r="L171" s="2" t="s">
        <v>691</v>
      </c>
      <c r="M171" s="2"/>
      <c r="N171" s="2"/>
      <c r="O171" s="2" t="s">
        <v>540</v>
      </c>
      <c r="P171" s="2"/>
      <c r="Q171" s="2"/>
      <c r="R171" s="2"/>
      <c r="S171" s="2" t="s">
        <v>33</v>
      </c>
      <c r="T171" s="2" t="s">
        <v>597</v>
      </c>
      <c r="U171" s="2" t="s">
        <v>33</v>
      </c>
      <c r="V171" s="2" t="s">
        <v>675</v>
      </c>
      <c r="W171" s="2"/>
      <c r="X171" s="2" t="s">
        <v>293</v>
      </c>
      <c r="Y171" s="2"/>
      <c r="Z171" s="2"/>
      <c r="AA171" s="2" t="s">
        <v>10</v>
      </c>
      <c r="AB171" s="2" t="s">
        <v>19</v>
      </c>
    </row>
    <row r="172" spans="1:28" ht="41.4" x14ac:dyDescent="0.3">
      <c r="A172" s="2" t="s">
        <v>292</v>
      </c>
      <c r="B172" s="2" t="s">
        <v>293</v>
      </c>
      <c r="C172" s="2" t="s">
        <v>671</v>
      </c>
      <c r="D172" s="2" t="s">
        <v>672</v>
      </c>
      <c r="E172" s="2" t="s">
        <v>673</v>
      </c>
      <c r="F172" s="2" t="s">
        <v>146</v>
      </c>
      <c r="G172" s="2" t="s">
        <v>246</v>
      </c>
      <c r="H172" s="2" t="s">
        <v>160</v>
      </c>
      <c r="I172" s="2" t="s">
        <v>161</v>
      </c>
      <c r="J172" s="2" t="s">
        <v>161</v>
      </c>
      <c r="K172" s="2" t="s">
        <v>18</v>
      </c>
      <c r="L172" s="2" t="s">
        <v>539</v>
      </c>
      <c r="M172" s="2"/>
      <c r="N172" s="2"/>
      <c r="O172" s="2" t="s">
        <v>540</v>
      </c>
      <c r="P172" s="2" t="s">
        <v>692</v>
      </c>
      <c r="Q172" s="2"/>
      <c r="R172" s="2"/>
      <c r="S172" s="2" t="s">
        <v>33</v>
      </c>
      <c r="T172" s="2" t="s">
        <v>33</v>
      </c>
      <c r="U172" s="2"/>
      <c r="V172" s="2" t="s">
        <v>675</v>
      </c>
      <c r="W172" s="2"/>
      <c r="X172" s="2" t="s">
        <v>293</v>
      </c>
      <c r="Y172" s="2"/>
      <c r="Z172" s="2"/>
      <c r="AA172" s="2" t="s">
        <v>10</v>
      </c>
      <c r="AB172" s="2" t="s">
        <v>19</v>
      </c>
    </row>
    <row r="173" spans="1:28" ht="41.4" x14ac:dyDescent="0.3">
      <c r="A173" s="2" t="s">
        <v>292</v>
      </c>
      <c r="B173" s="2" t="s">
        <v>293</v>
      </c>
      <c r="C173" s="2" t="s">
        <v>671</v>
      </c>
      <c r="D173" s="2" t="s">
        <v>672</v>
      </c>
      <c r="E173" s="2" t="s">
        <v>673</v>
      </c>
      <c r="F173" s="2" t="s">
        <v>146</v>
      </c>
      <c r="G173" s="2" t="s">
        <v>246</v>
      </c>
      <c r="H173" s="2" t="s">
        <v>162</v>
      </c>
      <c r="I173" s="2" t="s">
        <v>163</v>
      </c>
      <c r="J173" s="2" t="s">
        <v>163</v>
      </c>
      <c r="K173" s="2" t="s">
        <v>18</v>
      </c>
      <c r="L173" s="2" t="s">
        <v>539</v>
      </c>
      <c r="M173" s="2"/>
      <c r="N173" s="2"/>
      <c r="O173" s="2" t="s">
        <v>540</v>
      </c>
      <c r="P173" s="2" t="s">
        <v>693</v>
      </c>
      <c r="Q173" s="2"/>
      <c r="R173" s="2"/>
      <c r="S173" s="2" t="s">
        <v>33</v>
      </c>
      <c r="T173" s="2" t="s">
        <v>33</v>
      </c>
      <c r="U173" s="2"/>
      <c r="V173" s="2" t="s">
        <v>675</v>
      </c>
      <c r="W173" s="2"/>
      <c r="X173" s="2" t="s">
        <v>293</v>
      </c>
      <c r="Y173" s="2"/>
      <c r="Z173" s="2"/>
      <c r="AA173" s="2" t="s">
        <v>10</v>
      </c>
      <c r="AB173" s="2" t="s">
        <v>19</v>
      </c>
    </row>
    <row r="174" spans="1:28" ht="55.2" x14ac:dyDescent="0.3">
      <c r="A174" s="2" t="s">
        <v>292</v>
      </c>
      <c r="B174" s="2" t="s">
        <v>293</v>
      </c>
      <c r="C174" s="2" t="s">
        <v>671</v>
      </c>
      <c r="D174" s="2" t="s">
        <v>672</v>
      </c>
      <c r="E174" s="2" t="s">
        <v>673</v>
      </c>
      <c r="F174" s="2" t="s">
        <v>146</v>
      </c>
      <c r="G174" s="2" t="s">
        <v>246</v>
      </c>
      <c r="H174" s="2" t="s">
        <v>316</v>
      </c>
      <c r="I174" s="2" t="s">
        <v>317</v>
      </c>
      <c r="J174" s="2" t="s">
        <v>317</v>
      </c>
      <c r="K174" s="2" t="s">
        <v>18</v>
      </c>
      <c r="L174" s="2" t="s">
        <v>539</v>
      </c>
      <c r="M174" s="2"/>
      <c r="N174" s="2"/>
      <c r="O174" s="2"/>
      <c r="P174" s="2" t="s">
        <v>694</v>
      </c>
      <c r="Q174" s="2"/>
      <c r="R174" s="2" t="s">
        <v>695</v>
      </c>
      <c r="S174" s="2" t="s">
        <v>33</v>
      </c>
      <c r="T174" s="2" t="s">
        <v>33</v>
      </c>
      <c r="U174" s="2" t="s">
        <v>33</v>
      </c>
      <c r="V174" s="2" t="s">
        <v>675</v>
      </c>
      <c r="W174" s="2"/>
      <c r="X174" s="2" t="s">
        <v>293</v>
      </c>
      <c r="Y174" s="2"/>
      <c r="Z174" s="2"/>
      <c r="AA174" s="2"/>
      <c r="AB174" s="2" t="s">
        <v>19</v>
      </c>
    </row>
    <row r="175" spans="1:28" ht="358.8" x14ac:dyDescent="0.3">
      <c r="A175" s="2" t="s">
        <v>292</v>
      </c>
      <c r="B175" s="2" t="s">
        <v>293</v>
      </c>
      <c r="C175" s="2" t="s">
        <v>671</v>
      </c>
      <c r="D175" s="2" t="s">
        <v>672</v>
      </c>
      <c r="E175" s="2" t="s">
        <v>673</v>
      </c>
      <c r="F175" s="2" t="s">
        <v>146</v>
      </c>
      <c r="G175" s="2" t="s">
        <v>246</v>
      </c>
      <c r="H175" s="2" t="s">
        <v>181</v>
      </c>
      <c r="I175" s="2" t="s">
        <v>182</v>
      </c>
      <c r="J175" s="2" t="s">
        <v>182</v>
      </c>
      <c r="K175" s="2" t="s">
        <v>18</v>
      </c>
      <c r="L175" s="2" t="s">
        <v>539</v>
      </c>
      <c r="M175" s="2" t="s">
        <v>318</v>
      </c>
      <c r="N175" s="2"/>
      <c r="O175" s="2"/>
      <c r="P175" s="2" t="s">
        <v>696</v>
      </c>
      <c r="Q175" s="2"/>
      <c r="R175" s="2"/>
      <c r="S175" s="2" t="s">
        <v>33</v>
      </c>
      <c r="T175" s="2" t="s">
        <v>33</v>
      </c>
      <c r="U175" s="2" t="s">
        <v>33</v>
      </c>
      <c r="V175" s="2" t="s">
        <v>675</v>
      </c>
      <c r="W175" s="2"/>
      <c r="X175" s="2" t="s">
        <v>293</v>
      </c>
      <c r="Y175" s="2"/>
      <c r="Z175" s="2"/>
      <c r="AA175" s="2"/>
      <c r="AB175" s="2" t="s">
        <v>19</v>
      </c>
    </row>
    <row r="176" spans="1:28" ht="234.6" x14ac:dyDescent="0.3">
      <c r="A176" s="2" t="s">
        <v>292</v>
      </c>
      <c r="B176" s="2" t="s">
        <v>293</v>
      </c>
      <c r="C176" s="2" t="s">
        <v>671</v>
      </c>
      <c r="D176" s="2" t="s">
        <v>672</v>
      </c>
      <c r="E176" s="2" t="s">
        <v>673</v>
      </c>
      <c r="F176" s="2" t="s">
        <v>146</v>
      </c>
      <c r="G176" s="2" t="s">
        <v>246</v>
      </c>
      <c r="H176" s="2" t="s">
        <v>319</v>
      </c>
      <c r="I176" s="2" t="s">
        <v>320</v>
      </c>
      <c r="J176" s="2" t="s">
        <v>320</v>
      </c>
      <c r="K176" s="2" t="s">
        <v>18</v>
      </c>
      <c r="L176" s="2" t="s">
        <v>539</v>
      </c>
      <c r="M176" s="2"/>
      <c r="N176" s="2"/>
      <c r="O176" s="2" t="s">
        <v>540</v>
      </c>
      <c r="P176" s="2" t="s">
        <v>697</v>
      </c>
      <c r="Q176" s="2"/>
      <c r="R176" s="2"/>
      <c r="S176" s="2" t="s">
        <v>33</v>
      </c>
      <c r="T176" s="2" t="s">
        <v>33</v>
      </c>
      <c r="U176" s="2"/>
      <c r="V176" s="2" t="s">
        <v>675</v>
      </c>
      <c r="W176" s="2"/>
      <c r="X176" s="2" t="s">
        <v>293</v>
      </c>
      <c r="Y176" s="2"/>
      <c r="Z176" s="2"/>
      <c r="AA176" s="2" t="s">
        <v>10</v>
      </c>
      <c r="AB176" s="2" t="s">
        <v>19</v>
      </c>
    </row>
    <row r="177" spans="1:28" ht="55.2" x14ac:dyDescent="0.3">
      <c r="A177" s="2" t="s">
        <v>292</v>
      </c>
      <c r="B177" s="2" t="s">
        <v>293</v>
      </c>
      <c r="C177" s="2" t="s">
        <v>671</v>
      </c>
      <c r="D177" s="2" t="s">
        <v>672</v>
      </c>
      <c r="E177" s="2" t="s">
        <v>673</v>
      </c>
      <c r="F177" s="2" t="s">
        <v>146</v>
      </c>
      <c r="G177" s="2" t="s">
        <v>246</v>
      </c>
      <c r="H177" s="2" t="s">
        <v>321</v>
      </c>
      <c r="I177" s="2" t="s">
        <v>184</v>
      </c>
      <c r="J177" s="2" t="s">
        <v>184</v>
      </c>
      <c r="K177" s="2" t="s">
        <v>18</v>
      </c>
      <c r="L177" s="2" t="s">
        <v>617</v>
      </c>
      <c r="M177" s="2"/>
      <c r="N177" s="2" t="s">
        <v>698</v>
      </c>
      <c r="O177" s="2"/>
      <c r="P177" s="2"/>
      <c r="Q177" s="2"/>
      <c r="R177" s="2" t="s">
        <v>699</v>
      </c>
      <c r="S177" s="2" t="s">
        <v>33</v>
      </c>
      <c r="T177" s="2" t="s">
        <v>597</v>
      </c>
      <c r="U177" s="2"/>
      <c r="V177" s="2" t="s">
        <v>675</v>
      </c>
      <c r="W177" s="2"/>
      <c r="X177" s="2" t="s">
        <v>293</v>
      </c>
      <c r="Y177" s="2"/>
      <c r="Z177" s="2"/>
      <c r="AA177" s="2"/>
      <c r="AB177" s="2" t="s">
        <v>19</v>
      </c>
    </row>
    <row r="178" spans="1:28" ht="82.8" x14ac:dyDescent="0.3">
      <c r="A178" s="2" t="s">
        <v>292</v>
      </c>
      <c r="B178" s="2" t="s">
        <v>293</v>
      </c>
      <c r="C178" s="2" t="s">
        <v>671</v>
      </c>
      <c r="D178" s="2" t="s">
        <v>672</v>
      </c>
      <c r="E178" s="2" t="s">
        <v>673</v>
      </c>
      <c r="F178" s="2" t="s">
        <v>146</v>
      </c>
      <c r="G178" s="2" t="s">
        <v>246</v>
      </c>
      <c r="H178" s="2" t="s">
        <v>322</v>
      </c>
      <c r="I178" s="2" t="s">
        <v>323</v>
      </c>
      <c r="J178" s="2" t="s">
        <v>323</v>
      </c>
      <c r="K178" s="2" t="s">
        <v>18</v>
      </c>
      <c r="L178" s="2" t="s">
        <v>539</v>
      </c>
      <c r="M178" s="2"/>
      <c r="N178" s="2" t="s">
        <v>700</v>
      </c>
      <c r="O178" s="2" t="s">
        <v>540</v>
      </c>
      <c r="P178" s="2" t="s">
        <v>700</v>
      </c>
      <c r="Q178" s="2"/>
      <c r="R178" s="2" t="s">
        <v>701</v>
      </c>
      <c r="S178" s="2" t="s">
        <v>33</v>
      </c>
      <c r="T178" s="2" t="s">
        <v>33</v>
      </c>
      <c r="U178" s="2"/>
      <c r="V178" s="2" t="s">
        <v>675</v>
      </c>
      <c r="W178" s="2"/>
      <c r="X178" s="2" t="s">
        <v>293</v>
      </c>
      <c r="Y178" s="2"/>
      <c r="Z178" s="2"/>
      <c r="AA178" s="2" t="s">
        <v>10</v>
      </c>
      <c r="AB178" s="2" t="s">
        <v>19</v>
      </c>
    </row>
    <row r="179" spans="1:28" ht="82.8" x14ac:dyDescent="0.3">
      <c r="A179" s="2" t="s">
        <v>292</v>
      </c>
      <c r="B179" s="2" t="s">
        <v>293</v>
      </c>
      <c r="C179" s="2" t="s">
        <v>671</v>
      </c>
      <c r="D179" s="2" t="s">
        <v>672</v>
      </c>
      <c r="E179" s="2" t="s">
        <v>673</v>
      </c>
      <c r="F179" s="2" t="s">
        <v>146</v>
      </c>
      <c r="G179" s="2" t="s">
        <v>246</v>
      </c>
      <c r="H179" s="2" t="s">
        <v>324</v>
      </c>
      <c r="I179" s="2" t="s">
        <v>325</v>
      </c>
      <c r="J179" s="2" t="s">
        <v>325</v>
      </c>
      <c r="K179" s="2" t="s">
        <v>18</v>
      </c>
      <c r="L179" s="2" t="s">
        <v>539</v>
      </c>
      <c r="M179" s="2"/>
      <c r="N179" s="2" t="s">
        <v>702</v>
      </c>
      <c r="O179" s="2" t="s">
        <v>540</v>
      </c>
      <c r="P179" s="2" t="s">
        <v>702</v>
      </c>
      <c r="Q179" s="2"/>
      <c r="R179" s="2" t="s">
        <v>701</v>
      </c>
      <c r="S179" s="2" t="s">
        <v>33</v>
      </c>
      <c r="T179" s="2" t="s">
        <v>33</v>
      </c>
      <c r="U179" s="2"/>
      <c r="V179" s="2" t="s">
        <v>675</v>
      </c>
      <c r="W179" s="2"/>
      <c r="X179" s="2" t="s">
        <v>293</v>
      </c>
      <c r="Y179" s="2"/>
      <c r="Z179" s="2"/>
      <c r="AA179" s="2" t="s">
        <v>10</v>
      </c>
      <c r="AB179" s="2" t="s">
        <v>19</v>
      </c>
    </row>
    <row r="180" spans="1:28" ht="41.4" x14ac:dyDescent="0.3">
      <c r="A180" s="2" t="s">
        <v>292</v>
      </c>
      <c r="B180" s="2" t="s">
        <v>293</v>
      </c>
      <c r="C180" s="2" t="s">
        <v>671</v>
      </c>
      <c r="D180" s="2" t="s">
        <v>672</v>
      </c>
      <c r="E180" s="2" t="s">
        <v>673</v>
      </c>
      <c r="F180" s="2" t="s">
        <v>146</v>
      </c>
      <c r="G180" s="2" t="s">
        <v>246</v>
      </c>
      <c r="H180" s="2" t="s">
        <v>43</v>
      </c>
      <c r="I180" s="2" t="s">
        <v>164</v>
      </c>
      <c r="J180" s="2" t="s">
        <v>164</v>
      </c>
      <c r="K180" s="2" t="s">
        <v>18</v>
      </c>
      <c r="L180" s="2" t="s">
        <v>539</v>
      </c>
      <c r="M180" s="2"/>
      <c r="N180" s="2" t="s">
        <v>703</v>
      </c>
      <c r="O180" s="2" t="s">
        <v>540</v>
      </c>
      <c r="P180" s="2" t="s">
        <v>703</v>
      </c>
      <c r="Q180" s="2"/>
      <c r="R180" s="2"/>
      <c r="S180" s="2" t="s">
        <v>33</v>
      </c>
      <c r="T180" s="2" t="s">
        <v>33</v>
      </c>
      <c r="U180" s="2" t="s">
        <v>33</v>
      </c>
      <c r="V180" s="2" t="s">
        <v>675</v>
      </c>
      <c r="W180" s="2"/>
      <c r="X180" s="2" t="s">
        <v>293</v>
      </c>
      <c r="Y180" s="2"/>
      <c r="Z180" s="2"/>
      <c r="AA180" s="2" t="s">
        <v>10</v>
      </c>
      <c r="AB180" s="2" t="s">
        <v>19</v>
      </c>
    </row>
    <row r="181" spans="1:28" ht="124.2" x14ac:dyDescent="0.3">
      <c r="A181" s="2" t="s">
        <v>292</v>
      </c>
      <c r="B181" s="2" t="s">
        <v>293</v>
      </c>
      <c r="C181" s="2" t="s">
        <v>671</v>
      </c>
      <c r="D181" s="2" t="s">
        <v>672</v>
      </c>
      <c r="E181" s="2" t="s">
        <v>673</v>
      </c>
      <c r="F181" s="2" t="s">
        <v>146</v>
      </c>
      <c r="G181" s="2" t="s">
        <v>246</v>
      </c>
      <c r="H181" s="2" t="s">
        <v>244</v>
      </c>
      <c r="I181" s="2" t="s">
        <v>245</v>
      </c>
      <c r="J181" s="2" t="s">
        <v>245</v>
      </c>
      <c r="K181" s="2" t="s">
        <v>57</v>
      </c>
      <c r="L181" s="2" t="s">
        <v>539</v>
      </c>
      <c r="M181" s="2"/>
      <c r="N181" s="2" t="s">
        <v>704</v>
      </c>
      <c r="O181" s="2"/>
      <c r="P181" s="2" t="s">
        <v>705</v>
      </c>
      <c r="Q181" s="2"/>
      <c r="R181" s="2"/>
      <c r="S181" s="2" t="s">
        <v>33</v>
      </c>
      <c r="T181" s="2" t="s">
        <v>33</v>
      </c>
      <c r="U181" s="2" t="s">
        <v>33</v>
      </c>
      <c r="V181" s="2" t="s">
        <v>675</v>
      </c>
      <c r="W181" s="2"/>
      <c r="X181" s="2" t="s">
        <v>293</v>
      </c>
      <c r="Y181" s="2"/>
      <c r="Z181" s="2"/>
      <c r="AA181" s="2"/>
      <c r="AB181" s="2" t="s">
        <v>19</v>
      </c>
    </row>
    <row r="182" spans="1:28" ht="27.6" x14ac:dyDescent="0.3">
      <c r="A182" s="2" t="s">
        <v>292</v>
      </c>
      <c r="B182" s="2" t="s">
        <v>293</v>
      </c>
      <c r="C182" s="2" t="s">
        <v>671</v>
      </c>
      <c r="D182" s="2" t="s">
        <v>672</v>
      </c>
      <c r="E182" s="2" t="s">
        <v>673</v>
      </c>
      <c r="F182" s="2" t="s">
        <v>146</v>
      </c>
      <c r="G182" s="2" t="s">
        <v>246</v>
      </c>
      <c r="H182" s="2" t="s">
        <v>247</v>
      </c>
      <c r="I182" s="2" t="s">
        <v>248</v>
      </c>
      <c r="J182" s="2" t="s">
        <v>248</v>
      </c>
      <c r="K182" s="2" t="s">
        <v>18</v>
      </c>
      <c r="L182" s="2" t="s">
        <v>539</v>
      </c>
      <c r="M182" s="2"/>
      <c r="N182" s="2"/>
      <c r="O182" s="2"/>
      <c r="P182" s="2" t="s">
        <v>657</v>
      </c>
      <c r="Q182" s="2"/>
      <c r="R182" s="2"/>
      <c r="S182" s="2" t="s">
        <v>33</v>
      </c>
      <c r="T182" s="2" t="s">
        <v>33</v>
      </c>
      <c r="U182" s="2"/>
      <c r="V182" s="2" t="s">
        <v>675</v>
      </c>
      <c r="W182" s="2"/>
      <c r="X182" s="2" t="s">
        <v>293</v>
      </c>
      <c r="Y182" s="2"/>
      <c r="Z182" s="2"/>
      <c r="AA182" s="2"/>
      <c r="AB182" s="2" t="s">
        <v>19</v>
      </c>
    </row>
    <row r="183" spans="1:28" x14ac:dyDescent="0.3">
      <c r="A183" s="2" t="s">
        <v>292</v>
      </c>
      <c r="B183" s="2" t="s">
        <v>293</v>
      </c>
      <c r="C183" s="2" t="s">
        <v>671</v>
      </c>
      <c r="D183" s="2" t="s">
        <v>672</v>
      </c>
      <c r="E183" s="2" t="s">
        <v>673</v>
      </c>
      <c r="F183" s="2" t="s">
        <v>146</v>
      </c>
      <c r="G183" s="2" t="s">
        <v>246</v>
      </c>
      <c r="H183" s="2" t="s">
        <v>326</v>
      </c>
      <c r="I183" s="2" t="s">
        <v>327</v>
      </c>
      <c r="J183" s="2" t="s">
        <v>327</v>
      </c>
      <c r="K183" s="2" t="s">
        <v>18</v>
      </c>
      <c r="L183" s="2" t="s">
        <v>539</v>
      </c>
      <c r="M183" s="2"/>
      <c r="N183" s="2"/>
      <c r="O183" s="2"/>
      <c r="P183" s="2"/>
      <c r="Q183" s="2"/>
      <c r="R183" s="2"/>
      <c r="S183" s="2" t="s">
        <v>33</v>
      </c>
      <c r="T183" s="2" t="s">
        <v>33</v>
      </c>
      <c r="U183" s="2"/>
      <c r="V183" s="2" t="s">
        <v>675</v>
      </c>
      <c r="W183" s="2"/>
      <c r="X183" s="2" t="s">
        <v>293</v>
      </c>
      <c r="Y183" s="2"/>
      <c r="Z183" s="2"/>
      <c r="AA183" s="2"/>
      <c r="AB183" s="2" t="s">
        <v>19</v>
      </c>
    </row>
    <row r="184" spans="1:28" ht="41.4" x14ac:dyDescent="0.3">
      <c r="A184" s="2" t="s">
        <v>292</v>
      </c>
      <c r="B184" s="2" t="s">
        <v>293</v>
      </c>
      <c r="C184" s="2" t="s">
        <v>671</v>
      </c>
      <c r="D184" s="2" t="s">
        <v>672</v>
      </c>
      <c r="E184" s="2" t="s">
        <v>673</v>
      </c>
      <c r="F184" s="2" t="s">
        <v>146</v>
      </c>
      <c r="G184" s="2" t="s">
        <v>246</v>
      </c>
      <c r="H184" s="2" t="s">
        <v>328</v>
      </c>
      <c r="I184" s="2" t="s">
        <v>329</v>
      </c>
      <c r="J184" s="2" t="s">
        <v>329</v>
      </c>
      <c r="K184" s="2" t="s">
        <v>18</v>
      </c>
      <c r="L184" s="2" t="s">
        <v>539</v>
      </c>
      <c r="M184" s="2"/>
      <c r="N184" s="2" t="s">
        <v>706</v>
      </c>
      <c r="O184" s="2"/>
      <c r="P184" s="2"/>
      <c r="Q184" s="2"/>
      <c r="R184" s="2" t="s">
        <v>707</v>
      </c>
      <c r="S184" s="2" t="s">
        <v>19</v>
      </c>
      <c r="T184" s="2" t="s">
        <v>19</v>
      </c>
      <c r="U184" s="2"/>
      <c r="V184" s="2" t="s">
        <v>675</v>
      </c>
      <c r="W184" s="2"/>
      <c r="X184" s="2" t="s">
        <v>293</v>
      </c>
      <c r="Y184" s="2"/>
      <c r="Z184" s="2"/>
      <c r="AA184" s="2"/>
      <c r="AB184" s="2" t="s">
        <v>19</v>
      </c>
    </row>
    <row r="185" spans="1:28" ht="27.6" x14ac:dyDescent="0.3">
      <c r="A185" s="2" t="s">
        <v>292</v>
      </c>
      <c r="B185" s="2" t="s">
        <v>293</v>
      </c>
      <c r="C185" s="2" t="s">
        <v>671</v>
      </c>
      <c r="D185" s="2" t="s">
        <v>672</v>
      </c>
      <c r="E185" s="2" t="s">
        <v>673</v>
      </c>
      <c r="F185" s="2" t="s">
        <v>146</v>
      </c>
      <c r="G185" s="2" t="s">
        <v>145</v>
      </c>
      <c r="H185" s="2" t="s">
        <v>330</v>
      </c>
      <c r="I185" s="2" t="s">
        <v>331</v>
      </c>
      <c r="J185" s="2" t="s">
        <v>331</v>
      </c>
      <c r="K185" s="2" t="s">
        <v>18</v>
      </c>
      <c r="L185" s="2" t="s">
        <v>539</v>
      </c>
      <c r="M185" s="2"/>
      <c r="N185" s="2"/>
      <c r="O185" s="2"/>
      <c r="P185" s="2"/>
      <c r="Q185" s="2"/>
      <c r="R185" s="2" t="s">
        <v>708</v>
      </c>
      <c r="S185" s="2" t="s">
        <v>33</v>
      </c>
      <c r="T185" s="2" t="s">
        <v>33</v>
      </c>
      <c r="U185" s="2"/>
      <c r="V185" s="2" t="s">
        <v>675</v>
      </c>
      <c r="W185" s="2"/>
      <c r="X185" s="2" t="s">
        <v>293</v>
      </c>
      <c r="Y185" s="2"/>
      <c r="Z185" s="2"/>
      <c r="AA185" s="2"/>
      <c r="AB185" s="2" t="s">
        <v>19</v>
      </c>
    </row>
    <row r="186" spans="1:28" ht="27.6" x14ac:dyDescent="0.3">
      <c r="A186" s="2" t="s">
        <v>292</v>
      </c>
      <c r="B186" s="2" t="s">
        <v>293</v>
      </c>
      <c r="C186" s="2" t="s">
        <v>671</v>
      </c>
      <c r="D186" s="2" t="s">
        <v>672</v>
      </c>
      <c r="E186" s="2" t="s">
        <v>673</v>
      </c>
      <c r="F186" s="2" t="s">
        <v>146</v>
      </c>
      <c r="G186" s="2" t="s">
        <v>246</v>
      </c>
      <c r="H186" s="2" t="s">
        <v>332</v>
      </c>
      <c r="I186" s="2" t="s">
        <v>333</v>
      </c>
      <c r="J186" s="2" t="s">
        <v>334</v>
      </c>
      <c r="K186" s="2" t="s">
        <v>57</v>
      </c>
      <c r="L186" s="2" t="s">
        <v>539</v>
      </c>
      <c r="M186" s="2" t="s">
        <v>32</v>
      </c>
      <c r="N186" s="2" t="s">
        <v>559</v>
      </c>
      <c r="O186" s="2"/>
      <c r="P186" s="2"/>
      <c r="Q186" s="2"/>
      <c r="R186" s="2"/>
      <c r="S186" s="2" t="s">
        <v>19</v>
      </c>
      <c r="T186" s="2" t="s">
        <v>33</v>
      </c>
      <c r="U186" s="2"/>
      <c r="V186" s="2" t="s">
        <v>675</v>
      </c>
      <c r="W186" s="2"/>
      <c r="X186" s="2" t="s">
        <v>293</v>
      </c>
      <c r="Y186" s="2"/>
      <c r="Z186" s="2"/>
      <c r="AA186" s="2"/>
      <c r="AB186" s="2" t="s">
        <v>33</v>
      </c>
    </row>
    <row r="187" spans="1:28" ht="27.6" x14ac:dyDescent="0.3">
      <c r="A187" s="2" t="s">
        <v>292</v>
      </c>
      <c r="B187" s="2" t="s">
        <v>293</v>
      </c>
      <c r="C187" s="2" t="s">
        <v>709</v>
      </c>
      <c r="D187" s="2" t="s">
        <v>710</v>
      </c>
      <c r="E187" s="2"/>
      <c r="F187" s="2" t="s">
        <v>42</v>
      </c>
      <c r="G187" s="2" t="s">
        <v>246</v>
      </c>
      <c r="H187" s="2" t="s">
        <v>335</v>
      </c>
      <c r="I187" s="2" t="s">
        <v>336</v>
      </c>
      <c r="J187" s="2" t="s">
        <v>337</v>
      </c>
      <c r="K187" s="2" t="s">
        <v>57</v>
      </c>
      <c r="L187" s="2" t="s">
        <v>539</v>
      </c>
      <c r="M187" s="2" t="s">
        <v>32</v>
      </c>
      <c r="N187" s="2" t="s">
        <v>711</v>
      </c>
      <c r="O187" s="2"/>
      <c r="P187" s="2"/>
      <c r="Q187" s="2"/>
      <c r="R187" s="2"/>
      <c r="S187" s="2" t="s">
        <v>19</v>
      </c>
      <c r="T187" s="2" t="s">
        <v>19</v>
      </c>
      <c r="U187" s="2"/>
      <c r="V187" s="2" t="s">
        <v>675</v>
      </c>
      <c r="W187" s="2"/>
      <c r="X187" s="2" t="s">
        <v>293</v>
      </c>
      <c r="Y187" s="2"/>
      <c r="Z187" s="2"/>
      <c r="AA187" s="2"/>
      <c r="AB187" s="2" t="s">
        <v>33</v>
      </c>
    </row>
    <row r="188" spans="1:28" x14ac:dyDescent="0.3">
      <c r="A188" s="2" t="s">
        <v>292</v>
      </c>
      <c r="B188" s="2" t="s">
        <v>293</v>
      </c>
      <c r="C188" s="2" t="s">
        <v>709</v>
      </c>
      <c r="D188" s="2" t="s">
        <v>710</v>
      </c>
      <c r="E188" s="2"/>
      <c r="F188" s="2" t="s">
        <v>42</v>
      </c>
      <c r="G188" s="2" t="s">
        <v>246</v>
      </c>
      <c r="H188" s="2" t="s">
        <v>338</v>
      </c>
      <c r="I188" s="2" t="s">
        <v>339</v>
      </c>
      <c r="J188" s="2" t="s">
        <v>339</v>
      </c>
      <c r="K188" s="2" t="s">
        <v>18</v>
      </c>
      <c r="L188" s="2" t="s">
        <v>539</v>
      </c>
      <c r="M188" s="2"/>
      <c r="N188" s="2"/>
      <c r="O188" s="2"/>
      <c r="P188" s="2"/>
      <c r="Q188" s="2"/>
      <c r="R188" s="2"/>
      <c r="S188" s="2" t="s">
        <v>19</v>
      </c>
      <c r="T188" s="2" t="s">
        <v>19</v>
      </c>
      <c r="U188" s="2"/>
      <c r="V188" s="2" t="s">
        <v>675</v>
      </c>
      <c r="W188" s="2"/>
      <c r="X188" s="2" t="s">
        <v>293</v>
      </c>
      <c r="Y188" s="2"/>
      <c r="Z188" s="2"/>
      <c r="AA188" s="2"/>
      <c r="AB188" s="2" t="s">
        <v>19</v>
      </c>
    </row>
    <row r="189" spans="1:28" ht="234.6" x14ac:dyDescent="0.3">
      <c r="A189" s="2" t="s">
        <v>292</v>
      </c>
      <c r="B189" s="2" t="s">
        <v>293</v>
      </c>
      <c r="C189" s="2" t="s">
        <v>709</v>
      </c>
      <c r="D189" s="2" t="s">
        <v>712</v>
      </c>
      <c r="E189" s="2"/>
      <c r="F189" s="2" t="s">
        <v>148</v>
      </c>
      <c r="G189" s="2" t="s">
        <v>246</v>
      </c>
      <c r="H189" s="2" t="s">
        <v>340</v>
      </c>
      <c r="I189" s="2" t="s">
        <v>267</v>
      </c>
      <c r="J189" s="2" t="s">
        <v>140</v>
      </c>
      <c r="K189" s="2" t="s">
        <v>57</v>
      </c>
      <c r="L189" s="2" t="s">
        <v>539</v>
      </c>
      <c r="M189" s="2" t="s">
        <v>32</v>
      </c>
      <c r="N189" s="2" t="s">
        <v>574</v>
      </c>
      <c r="O189" s="2"/>
      <c r="P189" s="2"/>
      <c r="Q189" s="2"/>
      <c r="R189" s="2" t="s">
        <v>713</v>
      </c>
      <c r="S189" s="2"/>
      <c r="T189" s="2"/>
      <c r="U189" s="2"/>
      <c r="V189" s="2" t="s">
        <v>675</v>
      </c>
      <c r="W189" s="2"/>
      <c r="X189" s="2" t="s">
        <v>293</v>
      </c>
      <c r="Y189" s="2"/>
      <c r="Z189" s="2"/>
      <c r="AA189" s="2"/>
      <c r="AB189" s="2" t="s">
        <v>33</v>
      </c>
    </row>
    <row r="190" spans="1:28" x14ac:dyDescent="0.3">
      <c r="A190" s="2" t="s">
        <v>292</v>
      </c>
      <c r="B190" s="2" t="s">
        <v>293</v>
      </c>
      <c r="C190" s="2" t="s">
        <v>709</v>
      </c>
      <c r="D190" s="2" t="s">
        <v>712</v>
      </c>
      <c r="E190" s="2"/>
      <c r="F190" s="2" t="s">
        <v>148</v>
      </c>
      <c r="G190" s="2" t="s">
        <v>246</v>
      </c>
      <c r="H190" s="2" t="s">
        <v>341</v>
      </c>
      <c r="I190" s="2" t="s">
        <v>342</v>
      </c>
      <c r="J190" s="2" t="s">
        <v>342</v>
      </c>
      <c r="K190" s="2" t="s">
        <v>18</v>
      </c>
      <c r="L190" s="2" t="s">
        <v>539</v>
      </c>
      <c r="M190" s="2"/>
      <c r="N190" s="2"/>
      <c r="O190" s="2"/>
      <c r="P190" s="2"/>
      <c r="Q190" s="2"/>
      <c r="R190" s="2"/>
      <c r="S190" s="2" t="s">
        <v>19</v>
      </c>
      <c r="T190" s="2" t="s">
        <v>33</v>
      </c>
      <c r="U190" s="2"/>
      <c r="V190" s="2" t="s">
        <v>675</v>
      </c>
      <c r="W190" s="2"/>
      <c r="X190" s="2" t="s">
        <v>293</v>
      </c>
      <c r="Y190" s="2"/>
      <c r="Z190" s="2"/>
      <c r="AA190" s="2"/>
      <c r="AB190" s="2" t="s">
        <v>19</v>
      </c>
    </row>
    <row r="191" spans="1:28" ht="207" x14ac:dyDescent="0.3">
      <c r="A191" s="2" t="s">
        <v>292</v>
      </c>
      <c r="B191" s="2" t="s">
        <v>293</v>
      </c>
      <c r="C191" s="2" t="s">
        <v>714</v>
      </c>
      <c r="D191" s="2" t="s">
        <v>715</v>
      </c>
      <c r="E191" s="2"/>
      <c r="F191" s="2" t="s">
        <v>146</v>
      </c>
      <c r="G191" s="2" t="s">
        <v>246</v>
      </c>
      <c r="H191" s="2" t="s">
        <v>343</v>
      </c>
      <c r="I191" s="2" t="s">
        <v>344</v>
      </c>
      <c r="J191" s="2" t="s">
        <v>345</v>
      </c>
      <c r="K191" s="2" t="s">
        <v>57</v>
      </c>
      <c r="L191" s="2" t="s">
        <v>539</v>
      </c>
      <c r="M191" s="2" t="s">
        <v>32</v>
      </c>
      <c r="N191" s="2" t="s">
        <v>559</v>
      </c>
      <c r="O191" s="2"/>
      <c r="P191" s="2"/>
      <c r="Q191" s="2"/>
      <c r="R191" s="2" t="s">
        <v>716</v>
      </c>
      <c r="S191" s="2" t="s">
        <v>19</v>
      </c>
      <c r="T191" s="2" t="s">
        <v>33</v>
      </c>
      <c r="U191" s="2"/>
      <c r="V191" s="2" t="s">
        <v>675</v>
      </c>
      <c r="W191" s="2"/>
      <c r="X191" s="2" t="s">
        <v>293</v>
      </c>
      <c r="Y191" s="2"/>
      <c r="Z191" s="2"/>
      <c r="AA191" s="2"/>
      <c r="AB191" s="2" t="s">
        <v>33</v>
      </c>
    </row>
    <row r="192" spans="1:28" ht="41.4" x14ac:dyDescent="0.3">
      <c r="A192" s="2" t="s">
        <v>292</v>
      </c>
      <c r="B192" s="2" t="s">
        <v>293</v>
      </c>
      <c r="C192" s="2" t="s">
        <v>709</v>
      </c>
      <c r="D192" s="2" t="s">
        <v>717</v>
      </c>
      <c r="E192" s="2"/>
      <c r="F192" s="2" t="s">
        <v>42</v>
      </c>
      <c r="G192" s="2" t="s">
        <v>246</v>
      </c>
      <c r="H192" s="2" t="s">
        <v>346</v>
      </c>
      <c r="I192" s="2" t="s">
        <v>347</v>
      </c>
      <c r="J192" s="2" t="s">
        <v>348</v>
      </c>
      <c r="K192" s="2" t="s">
        <v>57</v>
      </c>
      <c r="L192" s="2" t="s">
        <v>539</v>
      </c>
      <c r="M192" s="2" t="s">
        <v>32</v>
      </c>
      <c r="N192" s="2" t="s">
        <v>711</v>
      </c>
      <c r="O192" s="2"/>
      <c r="P192" s="2"/>
      <c r="Q192" s="2"/>
      <c r="R192" s="2" t="s">
        <v>718</v>
      </c>
      <c r="S192" s="2" t="s">
        <v>19</v>
      </c>
      <c r="T192" s="2" t="s">
        <v>33</v>
      </c>
      <c r="U192" s="2"/>
      <c r="V192" s="2" t="s">
        <v>675</v>
      </c>
      <c r="W192" s="2"/>
      <c r="X192" s="2" t="s">
        <v>293</v>
      </c>
      <c r="Y192" s="2"/>
      <c r="Z192" s="2"/>
      <c r="AA192" s="2"/>
      <c r="AB192" s="2" t="s">
        <v>33</v>
      </c>
    </row>
    <row r="193" spans="1:28" ht="262.2" x14ac:dyDescent="0.3">
      <c r="A193" s="2" t="s">
        <v>292</v>
      </c>
      <c r="B193" s="2" t="s">
        <v>293</v>
      </c>
      <c r="C193" s="2" t="s">
        <v>719</v>
      </c>
      <c r="D193" s="2" t="s">
        <v>719</v>
      </c>
      <c r="E193" s="2"/>
      <c r="F193" s="2" t="s">
        <v>146</v>
      </c>
      <c r="G193" s="2" t="s">
        <v>246</v>
      </c>
      <c r="H193" s="2" t="s">
        <v>349</v>
      </c>
      <c r="I193" s="2" t="s">
        <v>350</v>
      </c>
      <c r="J193" s="2" t="s">
        <v>351</v>
      </c>
      <c r="K193" s="2" t="s">
        <v>57</v>
      </c>
      <c r="L193" s="2" t="s">
        <v>539</v>
      </c>
      <c r="M193" s="2" t="s">
        <v>32</v>
      </c>
      <c r="N193" s="2" t="s">
        <v>720</v>
      </c>
      <c r="O193" s="2"/>
      <c r="P193" s="2"/>
      <c r="Q193" s="2"/>
      <c r="R193" s="2" t="s">
        <v>721</v>
      </c>
      <c r="S193" s="2" t="s">
        <v>33</v>
      </c>
      <c r="T193" s="2" t="s">
        <v>33</v>
      </c>
      <c r="U193" s="2"/>
      <c r="V193" s="2" t="s">
        <v>675</v>
      </c>
      <c r="W193" s="2"/>
      <c r="X193" s="2" t="s">
        <v>293</v>
      </c>
      <c r="Y193" s="2"/>
      <c r="Z193" s="2"/>
      <c r="AA193" s="2"/>
      <c r="AB193" s="2" t="s">
        <v>33</v>
      </c>
    </row>
    <row r="194" spans="1:28" x14ac:dyDescent="0.3">
      <c r="A194" s="2" t="s">
        <v>292</v>
      </c>
      <c r="B194" s="2" t="s">
        <v>293</v>
      </c>
      <c r="C194" s="2" t="s">
        <v>719</v>
      </c>
      <c r="D194" s="2" t="s">
        <v>719</v>
      </c>
      <c r="E194" s="2"/>
      <c r="F194" s="2" t="s">
        <v>146</v>
      </c>
      <c r="G194" s="2" t="s">
        <v>246</v>
      </c>
      <c r="H194" s="2" t="s">
        <v>352</v>
      </c>
      <c r="I194" s="2" t="s">
        <v>353</v>
      </c>
      <c r="J194" s="2" t="s">
        <v>353</v>
      </c>
      <c r="K194" s="2" t="s">
        <v>18</v>
      </c>
      <c r="L194" s="2" t="s">
        <v>539</v>
      </c>
      <c r="M194" s="2"/>
      <c r="N194" s="2"/>
      <c r="O194" s="2"/>
      <c r="P194" s="2"/>
      <c r="Q194" s="2"/>
      <c r="R194" s="2"/>
      <c r="S194" s="2" t="s">
        <v>33</v>
      </c>
      <c r="T194" s="2" t="s">
        <v>33</v>
      </c>
      <c r="U194" s="2"/>
      <c r="V194" s="2" t="s">
        <v>675</v>
      </c>
      <c r="W194" s="2"/>
      <c r="X194" s="2" t="s">
        <v>293</v>
      </c>
      <c r="Y194" s="2"/>
      <c r="Z194" s="2"/>
      <c r="AA194" s="2"/>
      <c r="AB194" s="2" t="s">
        <v>19</v>
      </c>
    </row>
    <row r="195" spans="1:28" ht="27.6" x14ac:dyDescent="0.3">
      <c r="A195" s="2" t="s">
        <v>354</v>
      </c>
      <c r="B195" s="2" t="s">
        <v>293</v>
      </c>
      <c r="C195" s="2" t="s">
        <v>722</v>
      </c>
      <c r="D195" s="2" t="s">
        <v>723</v>
      </c>
      <c r="E195" s="2"/>
      <c r="F195" s="2" t="s">
        <v>37</v>
      </c>
      <c r="G195" s="2" t="s">
        <v>145</v>
      </c>
      <c r="H195" s="2" t="s">
        <v>355</v>
      </c>
      <c r="I195" s="2" t="s">
        <v>356</v>
      </c>
      <c r="J195" s="2" t="s">
        <v>266</v>
      </c>
      <c r="K195" s="2" t="s">
        <v>57</v>
      </c>
      <c r="L195" s="2" t="s">
        <v>539</v>
      </c>
      <c r="M195" s="2" t="s">
        <v>32</v>
      </c>
      <c r="N195" s="2" t="s">
        <v>711</v>
      </c>
      <c r="O195" s="2"/>
      <c r="P195" s="2"/>
      <c r="Q195" s="2"/>
      <c r="R195" s="2"/>
      <c r="S195" s="2" t="s">
        <v>19</v>
      </c>
      <c r="T195" s="2" t="s">
        <v>19</v>
      </c>
      <c r="U195" s="2"/>
      <c r="V195" s="2"/>
      <c r="W195" s="2"/>
      <c r="X195" s="2" t="s">
        <v>293</v>
      </c>
      <c r="Y195" s="2"/>
      <c r="Z195" s="2"/>
      <c r="AA195" s="2"/>
      <c r="AB195" s="2" t="s">
        <v>33</v>
      </c>
    </row>
    <row r="196" spans="1:28" x14ac:dyDescent="0.3">
      <c r="A196" s="2" t="s">
        <v>354</v>
      </c>
      <c r="B196" s="2" t="s">
        <v>293</v>
      </c>
      <c r="C196" s="2" t="s">
        <v>722</v>
      </c>
      <c r="D196" s="2" t="s">
        <v>723</v>
      </c>
      <c r="E196" s="2"/>
      <c r="F196" s="2" t="s">
        <v>37</v>
      </c>
      <c r="G196" s="2" t="s">
        <v>145</v>
      </c>
      <c r="H196" s="2" t="s">
        <v>357</v>
      </c>
      <c r="I196" s="2" t="s">
        <v>358</v>
      </c>
      <c r="J196" s="2" t="s">
        <v>358</v>
      </c>
      <c r="K196" s="2" t="s">
        <v>18</v>
      </c>
      <c r="L196" s="2" t="s">
        <v>539</v>
      </c>
      <c r="M196" s="2"/>
      <c r="N196" s="2"/>
      <c r="O196" s="2"/>
      <c r="P196" s="2"/>
      <c r="Q196" s="2"/>
      <c r="R196" s="2"/>
      <c r="S196" s="2" t="s">
        <v>19</v>
      </c>
      <c r="T196" s="2" t="s">
        <v>19</v>
      </c>
      <c r="U196" s="2"/>
      <c r="V196" s="2"/>
      <c r="W196" s="2"/>
      <c r="X196" s="2" t="s">
        <v>293</v>
      </c>
      <c r="Y196" s="2"/>
      <c r="Z196" s="2"/>
      <c r="AA196" s="2"/>
      <c r="AB196" s="2" t="s">
        <v>19</v>
      </c>
    </row>
    <row r="197" spans="1:28" ht="82.8" x14ac:dyDescent="0.3">
      <c r="A197" s="2" t="s">
        <v>359</v>
      </c>
      <c r="B197" s="2" t="s">
        <v>360</v>
      </c>
      <c r="C197" s="2" t="s">
        <v>724</v>
      </c>
      <c r="D197" s="2" t="s">
        <v>725</v>
      </c>
      <c r="E197" s="2"/>
      <c r="F197" s="2" t="s">
        <v>726</v>
      </c>
      <c r="G197" s="2" t="s">
        <v>145</v>
      </c>
      <c r="H197" s="2" t="s">
        <v>361</v>
      </c>
      <c r="I197" s="2"/>
      <c r="J197" s="2" t="s">
        <v>362</v>
      </c>
      <c r="K197" s="2" t="s">
        <v>363</v>
      </c>
      <c r="L197" s="2" t="s">
        <v>539</v>
      </c>
      <c r="M197" s="2" t="s">
        <v>32</v>
      </c>
      <c r="N197" s="2" t="s">
        <v>572</v>
      </c>
      <c r="O197" s="2" t="s">
        <v>540</v>
      </c>
      <c r="P197" s="2"/>
      <c r="Q197" s="2"/>
      <c r="R197" s="2" t="s">
        <v>727</v>
      </c>
      <c r="S197" s="2" t="s">
        <v>19</v>
      </c>
      <c r="T197" s="2" t="s">
        <v>19</v>
      </c>
      <c r="U197" s="2"/>
      <c r="V197" s="2" t="s">
        <v>542</v>
      </c>
      <c r="W197" s="2"/>
      <c r="X197" s="2" t="s">
        <v>360</v>
      </c>
      <c r="Y197" s="2"/>
      <c r="Z197" s="2"/>
      <c r="AA197" s="2" t="s">
        <v>10</v>
      </c>
      <c r="AB197" s="2" t="s">
        <v>33</v>
      </c>
    </row>
    <row r="198" spans="1:28" ht="27.6" x14ac:dyDescent="0.3">
      <c r="A198" s="2" t="s">
        <v>359</v>
      </c>
      <c r="B198" s="2" t="s">
        <v>360</v>
      </c>
      <c r="C198" s="2" t="s">
        <v>724</v>
      </c>
      <c r="D198" s="2" t="s">
        <v>725</v>
      </c>
      <c r="E198" s="2"/>
      <c r="F198" s="2" t="s">
        <v>726</v>
      </c>
      <c r="G198" s="2" t="s">
        <v>145</v>
      </c>
      <c r="H198" s="2" t="s">
        <v>364</v>
      </c>
      <c r="I198" s="2"/>
      <c r="J198" s="2" t="s">
        <v>365</v>
      </c>
      <c r="K198" s="2" t="s">
        <v>18</v>
      </c>
      <c r="L198" s="2" t="s">
        <v>539</v>
      </c>
      <c r="M198" s="2"/>
      <c r="N198" s="2"/>
      <c r="O198" s="2"/>
      <c r="P198" s="2" t="s">
        <v>540</v>
      </c>
      <c r="Q198" s="2"/>
      <c r="R198" s="2"/>
      <c r="S198" s="2" t="s">
        <v>19</v>
      </c>
      <c r="T198" s="2" t="s">
        <v>19</v>
      </c>
      <c r="U198" s="2"/>
      <c r="V198" s="2" t="s">
        <v>542</v>
      </c>
      <c r="W198" s="2"/>
      <c r="X198" s="2" t="s">
        <v>360</v>
      </c>
      <c r="Y198" s="2"/>
      <c r="Z198" s="2"/>
      <c r="AA198" s="2"/>
      <c r="AB198" s="2" t="s">
        <v>19</v>
      </c>
    </row>
    <row r="199" spans="1:28" ht="27.6" x14ac:dyDescent="0.3">
      <c r="A199" s="2" t="s">
        <v>359</v>
      </c>
      <c r="B199" s="2" t="s">
        <v>360</v>
      </c>
      <c r="C199" s="2" t="s">
        <v>724</v>
      </c>
      <c r="D199" s="2" t="s">
        <v>728</v>
      </c>
      <c r="E199" s="2"/>
      <c r="F199" s="2" t="s">
        <v>38</v>
      </c>
      <c r="G199" s="2" t="s">
        <v>145</v>
      </c>
      <c r="H199" s="2" t="s">
        <v>366</v>
      </c>
      <c r="I199" s="2"/>
      <c r="J199" s="2" t="s">
        <v>367</v>
      </c>
      <c r="K199" s="2" t="s">
        <v>57</v>
      </c>
      <c r="L199" s="2" t="s">
        <v>539</v>
      </c>
      <c r="M199" s="2" t="s">
        <v>32</v>
      </c>
      <c r="N199" s="2" t="s">
        <v>572</v>
      </c>
      <c r="O199" s="2"/>
      <c r="P199" s="2" t="s">
        <v>540</v>
      </c>
      <c r="Q199" s="2"/>
      <c r="R199" s="2"/>
      <c r="S199" s="2" t="s">
        <v>19</v>
      </c>
      <c r="T199" s="2" t="s">
        <v>19</v>
      </c>
      <c r="U199" s="2"/>
      <c r="V199" s="2" t="s">
        <v>542</v>
      </c>
      <c r="W199" s="2"/>
      <c r="X199" s="2" t="s">
        <v>360</v>
      </c>
      <c r="Y199" s="2"/>
      <c r="Z199" s="2"/>
      <c r="AA199" s="2"/>
      <c r="AB199" s="2" t="s">
        <v>33</v>
      </c>
    </row>
    <row r="200" spans="1:28" ht="27.6" x14ac:dyDescent="0.3">
      <c r="A200" s="2" t="s">
        <v>359</v>
      </c>
      <c r="B200" s="2" t="s">
        <v>360</v>
      </c>
      <c r="C200" s="2" t="s">
        <v>724</v>
      </c>
      <c r="D200" s="2" t="s">
        <v>728</v>
      </c>
      <c r="E200" s="2"/>
      <c r="F200" s="2" t="s">
        <v>38</v>
      </c>
      <c r="G200" s="2" t="s">
        <v>145</v>
      </c>
      <c r="H200" s="2" t="s">
        <v>368</v>
      </c>
      <c r="I200" s="2"/>
      <c r="J200" s="2" t="s">
        <v>369</v>
      </c>
      <c r="K200" s="2" t="s">
        <v>18</v>
      </c>
      <c r="L200" s="2" t="s">
        <v>539</v>
      </c>
      <c r="M200" s="2"/>
      <c r="N200" s="2"/>
      <c r="O200" s="2"/>
      <c r="P200" s="2" t="s">
        <v>540</v>
      </c>
      <c r="Q200" s="2"/>
      <c r="R200" s="2"/>
      <c r="S200" s="2" t="s">
        <v>19</v>
      </c>
      <c r="T200" s="2" t="s">
        <v>19</v>
      </c>
      <c r="U200" s="2"/>
      <c r="V200" s="2" t="s">
        <v>542</v>
      </c>
      <c r="W200" s="2"/>
      <c r="X200" s="2" t="s">
        <v>360</v>
      </c>
      <c r="Y200" s="2"/>
      <c r="Z200" s="2"/>
      <c r="AA200" s="2"/>
      <c r="AB200" s="2" t="s">
        <v>19</v>
      </c>
    </row>
    <row r="201" spans="1:28" ht="27.6" x14ac:dyDescent="0.3">
      <c r="A201" s="2" t="s">
        <v>359</v>
      </c>
      <c r="B201" s="2" t="s">
        <v>360</v>
      </c>
      <c r="C201" s="2" t="s">
        <v>729</v>
      </c>
      <c r="D201" s="2" t="s">
        <v>730</v>
      </c>
      <c r="E201" s="2"/>
      <c r="F201" s="2" t="s">
        <v>726</v>
      </c>
      <c r="G201" s="2" t="s">
        <v>120</v>
      </c>
      <c r="H201" s="2" t="s">
        <v>370</v>
      </c>
      <c r="I201" s="2"/>
      <c r="J201" s="2" t="s">
        <v>371</v>
      </c>
      <c r="K201" s="2" t="s">
        <v>57</v>
      </c>
      <c r="L201" s="2" t="s">
        <v>539</v>
      </c>
      <c r="M201" s="2" t="s">
        <v>32</v>
      </c>
      <c r="N201" s="2" t="s">
        <v>572</v>
      </c>
      <c r="O201" s="2"/>
      <c r="P201" s="2" t="s">
        <v>540</v>
      </c>
      <c r="Q201" s="2"/>
      <c r="R201" s="2" t="s">
        <v>731</v>
      </c>
      <c r="S201" s="2" t="s">
        <v>19</v>
      </c>
      <c r="T201" s="2" t="s">
        <v>19</v>
      </c>
      <c r="U201" s="2"/>
      <c r="V201" s="2" t="s">
        <v>542</v>
      </c>
      <c r="W201" s="2"/>
      <c r="X201" s="2" t="s">
        <v>360</v>
      </c>
      <c r="Y201" s="2"/>
      <c r="Z201" s="2"/>
      <c r="AA201" s="2"/>
      <c r="AB201" s="2" t="s">
        <v>33</v>
      </c>
    </row>
    <row r="202" spans="1:28" ht="27.6" x14ac:dyDescent="0.3">
      <c r="A202" s="2" t="s">
        <v>359</v>
      </c>
      <c r="B202" s="2" t="s">
        <v>360</v>
      </c>
      <c r="C202" s="2" t="s">
        <v>729</v>
      </c>
      <c r="D202" s="2" t="s">
        <v>730</v>
      </c>
      <c r="E202" s="2"/>
      <c r="F202" s="2" t="s">
        <v>726</v>
      </c>
      <c r="G202" s="2" t="s">
        <v>120</v>
      </c>
      <c r="H202" s="2" t="s">
        <v>372</v>
      </c>
      <c r="I202" s="2"/>
      <c r="J202" s="2" t="s">
        <v>373</v>
      </c>
      <c r="K202" s="2" t="s">
        <v>18</v>
      </c>
      <c r="L202" s="2" t="s">
        <v>539</v>
      </c>
      <c r="M202" s="2"/>
      <c r="N202" s="2"/>
      <c r="O202" s="2"/>
      <c r="P202" s="2" t="s">
        <v>540</v>
      </c>
      <c r="Q202" s="2"/>
      <c r="R202" s="2"/>
      <c r="S202" s="2" t="s">
        <v>19</v>
      </c>
      <c r="T202" s="2" t="s">
        <v>19</v>
      </c>
      <c r="U202" s="2"/>
      <c r="V202" s="2" t="s">
        <v>542</v>
      </c>
      <c r="W202" s="2"/>
      <c r="X202" s="2" t="s">
        <v>360</v>
      </c>
      <c r="Y202" s="2"/>
      <c r="Z202" s="2"/>
      <c r="AA202" s="2"/>
      <c r="AB202" s="2" t="s">
        <v>19</v>
      </c>
    </row>
    <row r="203" spans="1:28" ht="27.6" x14ac:dyDescent="0.3">
      <c r="A203" s="2" t="s">
        <v>359</v>
      </c>
      <c r="B203" s="2" t="s">
        <v>360</v>
      </c>
      <c r="C203" s="2" t="s">
        <v>729</v>
      </c>
      <c r="D203" s="2" t="s">
        <v>732</v>
      </c>
      <c r="E203" s="2"/>
      <c r="F203" s="2" t="s">
        <v>38</v>
      </c>
      <c r="G203" s="2" t="s">
        <v>120</v>
      </c>
      <c r="H203" s="2" t="s">
        <v>374</v>
      </c>
      <c r="I203" s="2"/>
      <c r="J203" s="2" t="s">
        <v>375</v>
      </c>
      <c r="K203" s="2" t="s">
        <v>57</v>
      </c>
      <c r="L203" s="2" t="s">
        <v>539</v>
      </c>
      <c r="M203" s="2" t="s">
        <v>32</v>
      </c>
      <c r="N203" s="2" t="s">
        <v>572</v>
      </c>
      <c r="O203" s="2"/>
      <c r="P203" s="2" t="s">
        <v>540</v>
      </c>
      <c r="Q203" s="2"/>
      <c r="R203" s="2"/>
      <c r="S203" s="2" t="s">
        <v>19</v>
      </c>
      <c r="T203" s="2" t="s">
        <v>19</v>
      </c>
      <c r="U203" s="2"/>
      <c r="V203" s="2" t="s">
        <v>542</v>
      </c>
      <c r="W203" s="2"/>
      <c r="X203" s="2" t="s">
        <v>360</v>
      </c>
      <c r="Y203" s="2"/>
      <c r="Z203" s="2"/>
      <c r="AA203" s="2"/>
      <c r="AB203" s="2" t="s">
        <v>33</v>
      </c>
    </row>
    <row r="204" spans="1:28" ht="27.6" x14ac:dyDescent="0.3">
      <c r="A204" s="2" t="s">
        <v>359</v>
      </c>
      <c r="B204" s="2" t="s">
        <v>360</v>
      </c>
      <c r="C204" s="2" t="s">
        <v>729</v>
      </c>
      <c r="D204" s="2" t="s">
        <v>732</v>
      </c>
      <c r="E204" s="2"/>
      <c r="F204" s="2" t="s">
        <v>38</v>
      </c>
      <c r="G204" s="2" t="s">
        <v>120</v>
      </c>
      <c r="H204" s="2" t="s">
        <v>376</v>
      </c>
      <c r="I204" s="2"/>
      <c r="J204" s="2" t="s">
        <v>377</v>
      </c>
      <c r="K204" s="2" t="s">
        <v>18</v>
      </c>
      <c r="L204" s="2" t="s">
        <v>539</v>
      </c>
      <c r="M204" s="2"/>
      <c r="N204" s="2"/>
      <c r="O204" s="2"/>
      <c r="P204" s="2" t="s">
        <v>540</v>
      </c>
      <c r="Q204" s="2"/>
      <c r="R204" s="2"/>
      <c r="S204" s="2" t="s">
        <v>19</v>
      </c>
      <c r="T204" s="2" t="s">
        <v>19</v>
      </c>
      <c r="U204" s="2"/>
      <c r="V204" s="2" t="s">
        <v>542</v>
      </c>
      <c r="W204" s="2"/>
      <c r="X204" s="2" t="s">
        <v>360</v>
      </c>
      <c r="Y204" s="2"/>
      <c r="Z204" s="2"/>
      <c r="AA204" s="2"/>
      <c r="AB204" s="2" t="s">
        <v>19</v>
      </c>
    </row>
    <row r="205" spans="1:28" ht="27.6" x14ac:dyDescent="0.3">
      <c r="A205" s="2" t="s">
        <v>359</v>
      </c>
      <c r="B205" s="2" t="s">
        <v>360</v>
      </c>
      <c r="C205" s="2" t="s">
        <v>729</v>
      </c>
      <c r="D205" s="2" t="s">
        <v>733</v>
      </c>
      <c r="E205" s="2"/>
      <c r="F205" s="2" t="s">
        <v>41</v>
      </c>
      <c r="G205" s="2" t="s">
        <v>120</v>
      </c>
      <c r="H205" s="2" t="s">
        <v>378</v>
      </c>
      <c r="I205" s="2"/>
      <c r="J205" s="2" t="s">
        <v>379</v>
      </c>
      <c r="K205" s="2" t="s">
        <v>57</v>
      </c>
      <c r="L205" s="2" t="s">
        <v>539</v>
      </c>
      <c r="M205" s="2" t="s">
        <v>32</v>
      </c>
      <c r="N205" s="2" t="s">
        <v>572</v>
      </c>
      <c r="O205" s="2"/>
      <c r="P205" s="2" t="s">
        <v>540</v>
      </c>
      <c r="Q205" s="2"/>
      <c r="R205" s="2"/>
      <c r="S205" s="2" t="s">
        <v>19</v>
      </c>
      <c r="T205" s="2" t="s">
        <v>19</v>
      </c>
      <c r="U205" s="2"/>
      <c r="V205" s="2" t="s">
        <v>542</v>
      </c>
      <c r="W205" s="2"/>
      <c r="X205" s="2" t="s">
        <v>360</v>
      </c>
      <c r="Y205" s="2"/>
      <c r="Z205" s="2"/>
      <c r="AA205" s="2"/>
      <c r="AB205" s="2" t="s">
        <v>33</v>
      </c>
    </row>
    <row r="206" spans="1:28" x14ac:dyDescent="0.3">
      <c r="A206" s="2" t="s">
        <v>359</v>
      </c>
      <c r="B206" s="2" t="s">
        <v>360</v>
      </c>
      <c r="C206" s="2" t="s">
        <v>729</v>
      </c>
      <c r="D206" s="2" t="s">
        <v>733</v>
      </c>
      <c r="E206" s="2"/>
      <c r="F206" s="2" t="s">
        <v>41</v>
      </c>
      <c r="G206" s="2" t="s">
        <v>120</v>
      </c>
      <c r="H206" s="2" t="s">
        <v>380</v>
      </c>
      <c r="I206" s="2"/>
      <c r="J206" s="2" t="s">
        <v>381</v>
      </c>
      <c r="K206" s="2" t="s">
        <v>18</v>
      </c>
      <c r="L206" s="2" t="s">
        <v>539</v>
      </c>
      <c r="M206" s="2"/>
      <c r="N206" s="2"/>
      <c r="O206" s="2"/>
      <c r="P206" s="2" t="s">
        <v>540</v>
      </c>
      <c r="Q206" s="2"/>
      <c r="R206" s="2"/>
      <c r="S206" s="2" t="s">
        <v>19</v>
      </c>
      <c r="T206" s="2" t="s">
        <v>19</v>
      </c>
      <c r="U206" s="2"/>
      <c r="V206" s="2" t="s">
        <v>542</v>
      </c>
      <c r="W206" s="2"/>
      <c r="X206" s="2" t="s">
        <v>360</v>
      </c>
      <c r="Y206" s="2"/>
      <c r="Z206" s="2"/>
      <c r="AA206" s="2"/>
      <c r="AB206" s="2" t="s">
        <v>19</v>
      </c>
    </row>
    <row r="207" spans="1:28" ht="27.6" x14ac:dyDescent="0.3">
      <c r="A207" s="2" t="s">
        <v>359</v>
      </c>
      <c r="B207" s="2" t="s">
        <v>360</v>
      </c>
      <c r="C207" s="2"/>
      <c r="D207" s="2"/>
      <c r="E207" s="2"/>
      <c r="F207" s="2"/>
      <c r="G207" s="2"/>
      <c r="H207" s="2" t="s">
        <v>382</v>
      </c>
      <c r="I207" s="2" t="s">
        <v>383</v>
      </c>
      <c r="J207" s="2"/>
      <c r="K207" s="2"/>
      <c r="L207" s="2"/>
      <c r="M207" s="2"/>
      <c r="N207" s="2"/>
      <c r="O207" s="2"/>
      <c r="P207" s="2"/>
      <c r="Q207" s="2"/>
      <c r="R207" s="2"/>
      <c r="S207" s="2"/>
      <c r="T207" s="2"/>
      <c r="U207" s="2"/>
      <c r="V207" s="2"/>
      <c r="W207" s="2" t="s">
        <v>20</v>
      </c>
      <c r="X207" s="2" t="s">
        <v>360</v>
      </c>
      <c r="Y207" s="2"/>
      <c r="Z207" s="2"/>
      <c r="AA207" s="2"/>
      <c r="AB207" s="2" t="s">
        <v>19</v>
      </c>
    </row>
  </sheetData>
  <autoFilter ref="A1:AB207" xr:uid="{00000000-0009-0000-0000-000003000000}"/>
  <conditionalFormatting sqref="G2:G207">
    <cfRule type="cellIs" dxfId="3" priority="2" operator="equal">
      <formula>""</formula>
    </cfRule>
  </conditionalFormatting>
  <conditionalFormatting sqref="W2:W207">
    <cfRule type="cellIs" dxfId="2" priority="1" operator="equal">
      <formula>"YES"</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AB128"/>
  <sheetViews>
    <sheetView workbookViewId="0">
      <pane ySplit="1" topLeftCell="A124" activePane="bottomLeft" state="frozen"/>
      <selection activeCell="Y1" sqref="Y1"/>
      <selection pane="bottomLeft" activeCell="Y1" sqref="Y1"/>
    </sheetView>
  </sheetViews>
  <sheetFormatPr defaultRowHeight="14.4" x14ac:dyDescent="0.3"/>
  <cols>
    <col min="1" max="1" width="32" customWidth="1"/>
    <col min="2" max="2" width="14.77734375" customWidth="1"/>
    <col min="3" max="4" width="35" customWidth="1"/>
    <col min="5" max="6" width="28" customWidth="1"/>
    <col min="7" max="7" width="22" customWidth="1"/>
    <col min="8" max="8" width="38" customWidth="1"/>
    <col min="9" max="10" width="22" customWidth="1"/>
    <col min="11" max="11" width="14" customWidth="1"/>
    <col min="12" max="12" width="12" customWidth="1"/>
    <col min="13" max="13" width="14.77734375" customWidth="1"/>
    <col min="14" max="14" width="30" customWidth="1"/>
    <col min="15" max="15" width="22.77734375" customWidth="1"/>
    <col min="16" max="16" width="24.21875" customWidth="1"/>
    <col min="17" max="17" width="40" customWidth="1"/>
    <col min="18" max="18" width="35" customWidth="1"/>
    <col min="19" max="19" width="28.88671875" customWidth="1"/>
    <col min="20" max="20" width="33.44140625" customWidth="1"/>
    <col min="21" max="21" width="21.44140625" customWidth="1"/>
    <col min="22" max="22" width="22" customWidth="1"/>
    <col min="23" max="23" width="26.21875" customWidth="1"/>
    <col min="24" max="24" width="15.77734375" customWidth="1"/>
    <col min="25" max="25" width="20.44140625" customWidth="1"/>
    <col min="26" max="26" width="20.21875" customWidth="1"/>
    <col min="27" max="27" width="10.33203125" customWidth="1"/>
    <col min="28" max="28" width="15.21875" customWidth="1"/>
  </cols>
  <sheetData>
    <row r="1" spans="1:28" ht="30" customHeight="1" x14ac:dyDescent="0.3">
      <c r="A1" s="6" t="s">
        <v>6</v>
      </c>
      <c r="B1" s="7" t="s">
        <v>7</v>
      </c>
      <c r="C1" s="7" t="s">
        <v>523</v>
      </c>
      <c r="D1" s="7" t="s">
        <v>524</v>
      </c>
      <c r="E1" s="7" t="s">
        <v>525</v>
      </c>
      <c r="F1" s="7" t="s">
        <v>526</v>
      </c>
      <c r="G1" s="7" t="s">
        <v>0</v>
      </c>
      <c r="H1" s="7" t="s">
        <v>1</v>
      </c>
      <c r="I1" s="7" t="s">
        <v>384</v>
      </c>
      <c r="J1" s="7" t="s">
        <v>2</v>
      </c>
      <c r="K1" s="7" t="s">
        <v>3</v>
      </c>
      <c r="L1" s="7" t="s">
        <v>527</v>
      </c>
      <c r="M1" s="7" t="s">
        <v>12</v>
      </c>
      <c r="N1" s="7" t="s">
        <v>528</v>
      </c>
      <c r="O1" s="7" t="s">
        <v>529</v>
      </c>
      <c r="P1" s="7" t="s">
        <v>530</v>
      </c>
      <c r="Q1" s="7" t="s">
        <v>531</v>
      </c>
      <c r="R1" s="7" t="s">
        <v>532</v>
      </c>
      <c r="S1" s="7" t="s">
        <v>533</v>
      </c>
      <c r="T1" s="7" t="s">
        <v>534</v>
      </c>
      <c r="U1" s="7" t="s">
        <v>535</v>
      </c>
      <c r="V1" s="7" t="s">
        <v>536</v>
      </c>
      <c r="W1" s="7" t="s">
        <v>4</v>
      </c>
      <c r="X1" s="7" t="s">
        <v>5971</v>
      </c>
      <c r="Y1" s="7" t="s">
        <v>8</v>
      </c>
      <c r="Z1" s="7" t="s">
        <v>9</v>
      </c>
      <c r="AA1" s="7" t="s">
        <v>10</v>
      </c>
      <c r="AB1" s="8" t="s">
        <v>13</v>
      </c>
    </row>
    <row r="2" spans="1:28" ht="55.2" x14ac:dyDescent="0.3">
      <c r="A2" s="4" t="s">
        <v>385</v>
      </c>
      <c r="B2" s="2" t="s">
        <v>15</v>
      </c>
      <c r="C2" s="2" t="s">
        <v>734</v>
      </c>
      <c r="D2" s="2" t="s">
        <v>735</v>
      </c>
      <c r="E2" s="2"/>
      <c r="F2" s="2" t="s">
        <v>736</v>
      </c>
      <c r="G2" s="2"/>
      <c r="H2" s="2" t="s">
        <v>1092</v>
      </c>
      <c r="I2" s="2" t="s">
        <v>387</v>
      </c>
      <c r="J2" s="2" t="s">
        <v>387</v>
      </c>
      <c r="K2" s="2" t="s">
        <v>18</v>
      </c>
      <c r="L2" s="2" t="s">
        <v>539</v>
      </c>
      <c r="M2" s="2"/>
      <c r="N2" s="2"/>
      <c r="O2" s="2" t="s">
        <v>540</v>
      </c>
      <c r="P2" s="2" t="s">
        <v>19</v>
      </c>
      <c r="Q2" s="2"/>
      <c r="R2" s="2" t="s">
        <v>737</v>
      </c>
      <c r="S2" s="2" t="s">
        <v>33</v>
      </c>
      <c r="T2" s="2" t="s">
        <v>33</v>
      </c>
      <c r="U2" s="2"/>
      <c r="V2" s="2" t="s">
        <v>738</v>
      </c>
      <c r="W2" s="2" t="s">
        <v>20</v>
      </c>
      <c r="X2" s="2" t="s">
        <v>15</v>
      </c>
      <c r="Y2" s="2" t="s">
        <v>386</v>
      </c>
      <c r="Z2" s="2"/>
      <c r="AA2" s="2" t="s">
        <v>10</v>
      </c>
      <c r="AB2" s="5" t="s">
        <v>19</v>
      </c>
    </row>
    <row r="3" spans="1:28" ht="55.2" x14ac:dyDescent="0.3">
      <c r="A3" s="4" t="s">
        <v>385</v>
      </c>
      <c r="B3" s="2" t="s">
        <v>15</v>
      </c>
      <c r="C3" s="2" t="s">
        <v>734</v>
      </c>
      <c r="D3" s="2" t="s">
        <v>735</v>
      </c>
      <c r="E3" s="2"/>
      <c r="F3" s="2" t="s">
        <v>736</v>
      </c>
      <c r="G3" s="2"/>
      <c r="H3" s="2" t="s">
        <v>1093</v>
      </c>
      <c r="I3" s="2" t="s">
        <v>124</v>
      </c>
      <c r="J3" s="2" t="s">
        <v>124</v>
      </c>
      <c r="K3" s="2" t="s">
        <v>18</v>
      </c>
      <c r="L3" s="2" t="s">
        <v>539</v>
      </c>
      <c r="M3" s="2"/>
      <c r="N3" s="2"/>
      <c r="O3" s="2" t="s">
        <v>540</v>
      </c>
      <c r="P3" s="2" t="s">
        <v>19</v>
      </c>
      <c r="Q3" s="2"/>
      <c r="R3" s="2"/>
      <c r="S3" s="2" t="s">
        <v>33</v>
      </c>
      <c r="T3" s="2" t="s">
        <v>33</v>
      </c>
      <c r="U3" s="2"/>
      <c r="V3" s="2" t="s">
        <v>738</v>
      </c>
      <c r="W3" s="2" t="s">
        <v>20</v>
      </c>
      <c r="X3" s="2" t="s">
        <v>15</v>
      </c>
      <c r="Y3" s="2" t="s">
        <v>386</v>
      </c>
      <c r="Z3" s="2"/>
      <c r="AA3" s="2" t="s">
        <v>10</v>
      </c>
      <c r="AB3" s="5" t="s">
        <v>19</v>
      </c>
    </row>
    <row r="4" spans="1:28" ht="220.8" x14ac:dyDescent="0.3">
      <c r="A4" s="4" t="s">
        <v>385</v>
      </c>
      <c r="B4" s="2" t="s">
        <v>15</v>
      </c>
      <c r="C4" s="2" t="s">
        <v>734</v>
      </c>
      <c r="D4" s="2" t="s">
        <v>735</v>
      </c>
      <c r="E4" s="2"/>
      <c r="F4" s="2" t="s">
        <v>736</v>
      </c>
      <c r="G4" s="2"/>
      <c r="H4" s="2" t="s">
        <v>131</v>
      </c>
      <c r="I4" s="2" t="s">
        <v>132</v>
      </c>
      <c r="J4" s="2" t="s">
        <v>132</v>
      </c>
      <c r="K4" s="2" t="s">
        <v>133</v>
      </c>
      <c r="L4" s="2" t="s">
        <v>539</v>
      </c>
      <c r="M4" s="2"/>
      <c r="N4" s="2" t="s">
        <v>739</v>
      </c>
      <c r="O4" s="2" t="s">
        <v>19</v>
      </c>
      <c r="P4" s="2"/>
      <c r="Q4" s="2"/>
      <c r="R4" s="2"/>
      <c r="S4" s="2" t="s">
        <v>33</v>
      </c>
      <c r="T4" s="2" t="s">
        <v>33</v>
      </c>
      <c r="U4" s="2"/>
      <c r="V4" s="2"/>
      <c r="W4" s="2" t="s">
        <v>20</v>
      </c>
      <c r="X4" s="2" t="s">
        <v>15</v>
      </c>
      <c r="Y4" s="2" t="s">
        <v>386</v>
      </c>
      <c r="Z4" s="2"/>
      <c r="AA4" s="2" t="s">
        <v>19</v>
      </c>
      <c r="AB4" s="5" t="s">
        <v>19</v>
      </c>
    </row>
    <row r="5" spans="1:28" ht="69" x14ac:dyDescent="0.3">
      <c r="A5" s="4" t="s">
        <v>385</v>
      </c>
      <c r="B5" s="2" t="s">
        <v>15</v>
      </c>
      <c r="C5" s="2"/>
      <c r="D5" s="2" t="s">
        <v>740</v>
      </c>
      <c r="E5" s="2"/>
      <c r="F5" s="2" t="s">
        <v>736</v>
      </c>
      <c r="G5" s="2"/>
      <c r="H5" s="2" t="s">
        <v>134</v>
      </c>
      <c r="I5" s="2" t="s">
        <v>135</v>
      </c>
      <c r="J5" s="2" t="s">
        <v>135</v>
      </c>
      <c r="K5" s="2" t="s">
        <v>388</v>
      </c>
      <c r="L5" s="2" t="s">
        <v>741</v>
      </c>
      <c r="M5" s="2" t="s">
        <v>32</v>
      </c>
      <c r="N5" s="2" t="s">
        <v>742</v>
      </c>
      <c r="O5" s="2" t="s">
        <v>540</v>
      </c>
      <c r="P5" s="2" t="s">
        <v>19</v>
      </c>
      <c r="Q5" s="2"/>
      <c r="R5" s="2" t="s">
        <v>743</v>
      </c>
      <c r="S5" s="2" t="s">
        <v>33</v>
      </c>
      <c r="T5" s="2" t="s">
        <v>33</v>
      </c>
      <c r="U5" s="2"/>
      <c r="V5" s="2" t="s">
        <v>744</v>
      </c>
      <c r="W5" s="2" t="s">
        <v>20</v>
      </c>
      <c r="X5" s="2" t="s">
        <v>15</v>
      </c>
      <c r="Y5" s="2" t="s">
        <v>386</v>
      </c>
      <c r="Z5" s="2"/>
      <c r="AA5" s="2" t="s">
        <v>10</v>
      </c>
      <c r="AB5" s="5" t="s">
        <v>33</v>
      </c>
    </row>
    <row r="6" spans="1:28" ht="207" x14ac:dyDescent="0.3">
      <c r="A6" s="4" t="s">
        <v>385</v>
      </c>
      <c r="B6" s="2" t="s">
        <v>15</v>
      </c>
      <c r="C6" s="2" t="s">
        <v>734</v>
      </c>
      <c r="D6" s="2" t="s">
        <v>735</v>
      </c>
      <c r="E6" s="2"/>
      <c r="F6" s="2" t="s">
        <v>736</v>
      </c>
      <c r="G6" s="2"/>
      <c r="H6" s="2" t="s">
        <v>389</v>
      </c>
      <c r="I6" s="2"/>
      <c r="J6" s="2" t="s">
        <v>356</v>
      </c>
      <c r="K6" s="2" t="s">
        <v>363</v>
      </c>
      <c r="L6" s="2" t="s">
        <v>539</v>
      </c>
      <c r="M6" s="2" t="s">
        <v>32</v>
      </c>
      <c r="N6" s="2" t="s">
        <v>559</v>
      </c>
      <c r="O6" s="2" t="s">
        <v>540</v>
      </c>
      <c r="P6" s="2" t="s">
        <v>19</v>
      </c>
      <c r="Q6" s="2"/>
      <c r="R6" s="2" t="s">
        <v>745</v>
      </c>
      <c r="S6" s="2" t="s">
        <v>19</v>
      </c>
      <c r="T6" s="2" t="s">
        <v>19</v>
      </c>
      <c r="U6" s="2"/>
      <c r="V6" s="2" t="s">
        <v>738</v>
      </c>
      <c r="W6" s="2" t="s">
        <v>20</v>
      </c>
      <c r="X6" s="2" t="s">
        <v>15</v>
      </c>
      <c r="Y6" s="2" t="s">
        <v>386</v>
      </c>
      <c r="Z6" s="2"/>
      <c r="AA6" s="2" t="s">
        <v>10</v>
      </c>
      <c r="AB6" s="5" t="s">
        <v>33</v>
      </c>
    </row>
    <row r="7" spans="1:28" ht="55.2" x14ac:dyDescent="0.3">
      <c r="A7" s="4" t="s">
        <v>385</v>
      </c>
      <c r="B7" s="2" t="s">
        <v>15</v>
      </c>
      <c r="C7" s="2" t="s">
        <v>734</v>
      </c>
      <c r="D7" s="2" t="s">
        <v>746</v>
      </c>
      <c r="E7" s="2"/>
      <c r="F7" s="2" t="s">
        <v>736</v>
      </c>
      <c r="G7" s="2"/>
      <c r="H7" s="2" t="s">
        <v>1094</v>
      </c>
      <c r="I7" s="2" t="s">
        <v>143</v>
      </c>
      <c r="J7" s="2" t="s">
        <v>144</v>
      </c>
      <c r="K7" s="2" t="s">
        <v>363</v>
      </c>
      <c r="L7" s="2" t="s">
        <v>539</v>
      </c>
      <c r="M7" s="2" t="s">
        <v>32</v>
      </c>
      <c r="N7" s="2" t="s">
        <v>596</v>
      </c>
      <c r="O7" s="2" t="s">
        <v>747</v>
      </c>
      <c r="P7" s="2" t="s">
        <v>33</v>
      </c>
      <c r="Q7" s="2"/>
      <c r="R7" s="2" t="s">
        <v>748</v>
      </c>
      <c r="S7" s="2" t="s">
        <v>33</v>
      </c>
      <c r="T7" s="2" t="s">
        <v>597</v>
      </c>
      <c r="U7" s="2"/>
      <c r="V7" s="2" t="s">
        <v>738</v>
      </c>
      <c r="W7" s="2" t="s">
        <v>20</v>
      </c>
      <c r="X7" s="2" t="s">
        <v>15</v>
      </c>
      <c r="Y7" s="2" t="s">
        <v>386</v>
      </c>
      <c r="Z7" s="2"/>
      <c r="AA7" s="2" t="s">
        <v>10</v>
      </c>
      <c r="AB7" s="5" t="s">
        <v>33</v>
      </c>
    </row>
    <row r="8" spans="1:28" ht="55.2" x14ac:dyDescent="0.3">
      <c r="A8" s="4" t="s">
        <v>385</v>
      </c>
      <c r="B8" s="2" t="s">
        <v>15</v>
      </c>
      <c r="C8" s="2" t="s">
        <v>734</v>
      </c>
      <c r="D8" s="2" t="s">
        <v>735</v>
      </c>
      <c r="E8" s="2"/>
      <c r="F8" s="2" t="s">
        <v>736</v>
      </c>
      <c r="G8" s="2"/>
      <c r="H8" s="2" t="s">
        <v>390</v>
      </c>
      <c r="I8" s="2"/>
      <c r="J8" s="2" t="s">
        <v>391</v>
      </c>
      <c r="K8" s="2" t="s">
        <v>363</v>
      </c>
      <c r="L8" s="2" t="s">
        <v>539</v>
      </c>
      <c r="M8" s="2" t="s">
        <v>32</v>
      </c>
      <c r="N8" s="2" t="s">
        <v>559</v>
      </c>
      <c r="O8" s="2" t="s">
        <v>540</v>
      </c>
      <c r="P8" s="2" t="s">
        <v>19</v>
      </c>
      <c r="Q8" s="2"/>
      <c r="R8" s="2" t="s">
        <v>749</v>
      </c>
      <c r="S8" s="2" t="s">
        <v>19</v>
      </c>
      <c r="T8" s="2" t="s">
        <v>19</v>
      </c>
      <c r="U8" s="2"/>
      <c r="V8" s="2" t="s">
        <v>738</v>
      </c>
      <c r="W8" s="2" t="s">
        <v>20</v>
      </c>
      <c r="X8" s="2" t="s">
        <v>15</v>
      </c>
      <c r="Y8" s="2" t="s">
        <v>386</v>
      </c>
      <c r="Z8" s="2"/>
      <c r="AA8" s="2" t="s">
        <v>10</v>
      </c>
      <c r="AB8" s="5" t="s">
        <v>33</v>
      </c>
    </row>
    <row r="9" spans="1:28" ht="55.2" x14ac:dyDescent="0.3">
      <c r="A9" s="4" t="s">
        <v>385</v>
      </c>
      <c r="B9" s="2" t="s">
        <v>15</v>
      </c>
      <c r="C9" s="2" t="s">
        <v>734</v>
      </c>
      <c r="D9" s="2" t="s">
        <v>735</v>
      </c>
      <c r="E9" s="2"/>
      <c r="F9" s="2" t="s">
        <v>736</v>
      </c>
      <c r="G9" s="2"/>
      <c r="H9" s="2" t="s">
        <v>392</v>
      </c>
      <c r="I9" s="2"/>
      <c r="J9" s="2" t="s">
        <v>393</v>
      </c>
      <c r="K9" s="2" t="s">
        <v>363</v>
      </c>
      <c r="L9" s="2" t="s">
        <v>539</v>
      </c>
      <c r="M9" s="2" t="s">
        <v>32</v>
      </c>
      <c r="N9" s="2" t="s">
        <v>559</v>
      </c>
      <c r="O9" s="2" t="s">
        <v>540</v>
      </c>
      <c r="P9" s="2" t="s">
        <v>19</v>
      </c>
      <c r="Q9" s="2"/>
      <c r="R9" s="2" t="s">
        <v>750</v>
      </c>
      <c r="S9" s="2" t="s">
        <v>19</v>
      </c>
      <c r="T9" s="2" t="s">
        <v>19</v>
      </c>
      <c r="U9" s="2"/>
      <c r="V9" s="2" t="s">
        <v>738</v>
      </c>
      <c r="W9" s="2" t="s">
        <v>20</v>
      </c>
      <c r="X9" s="2" t="s">
        <v>15</v>
      </c>
      <c r="Y9" s="2" t="s">
        <v>386</v>
      </c>
      <c r="Z9" s="2"/>
      <c r="AA9" s="2" t="s">
        <v>10</v>
      </c>
      <c r="AB9" s="5" t="s">
        <v>33</v>
      </c>
    </row>
    <row r="10" spans="1:28" ht="55.2" x14ac:dyDescent="0.3">
      <c r="A10" s="4" t="s">
        <v>385</v>
      </c>
      <c r="B10" s="2" t="s">
        <v>15</v>
      </c>
      <c r="C10" s="2" t="s">
        <v>734</v>
      </c>
      <c r="D10" s="2" t="s">
        <v>735</v>
      </c>
      <c r="E10" s="2"/>
      <c r="F10" s="2" t="s">
        <v>736</v>
      </c>
      <c r="G10" s="2"/>
      <c r="H10" s="2" t="s">
        <v>394</v>
      </c>
      <c r="I10" s="2"/>
      <c r="J10" s="2" t="s">
        <v>395</v>
      </c>
      <c r="K10" s="2"/>
      <c r="L10" s="2"/>
      <c r="M10" s="2"/>
      <c r="N10" s="2" t="s">
        <v>751</v>
      </c>
      <c r="O10" s="2" t="s">
        <v>540</v>
      </c>
      <c r="P10" s="2" t="s">
        <v>33</v>
      </c>
      <c r="Q10" s="2"/>
      <c r="R10" s="2" t="s">
        <v>752</v>
      </c>
      <c r="S10" s="2" t="s">
        <v>19</v>
      </c>
      <c r="T10" s="2" t="s">
        <v>19</v>
      </c>
      <c r="U10" s="2"/>
      <c r="V10" s="2" t="s">
        <v>738</v>
      </c>
      <c r="W10" s="2" t="s">
        <v>20</v>
      </c>
      <c r="X10" s="2" t="s">
        <v>15</v>
      </c>
      <c r="Y10" s="2" t="s">
        <v>386</v>
      </c>
      <c r="Z10" s="2"/>
      <c r="AA10" s="2" t="s">
        <v>10</v>
      </c>
      <c r="AB10" s="5" t="s">
        <v>19</v>
      </c>
    </row>
    <row r="11" spans="1:28" ht="55.2" x14ac:dyDescent="0.3">
      <c r="A11" s="4" t="s">
        <v>385</v>
      </c>
      <c r="B11" s="2" t="s">
        <v>15</v>
      </c>
      <c r="C11" s="2" t="s">
        <v>734</v>
      </c>
      <c r="D11" s="2" t="s">
        <v>735</v>
      </c>
      <c r="E11" s="2"/>
      <c r="F11" s="2" t="s">
        <v>736</v>
      </c>
      <c r="G11" s="2"/>
      <c r="H11" s="2" t="s">
        <v>396</v>
      </c>
      <c r="I11" s="2" t="s">
        <v>397</v>
      </c>
      <c r="J11" s="2" t="s">
        <v>398</v>
      </c>
      <c r="K11" s="2" t="s">
        <v>363</v>
      </c>
      <c r="L11" s="2" t="s">
        <v>539</v>
      </c>
      <c r="M11" s="2" t="s">
        <v>32</v>
      </c>
      <c r="N11" s="2" t="s">
        <v>753</v>
      </c>
      <c r="O11" s="2" t="s">
        <v>540</v>
      </c>
      <c r="P11" s="2" t="s">
        <v>33</v>
      </c>
      <c r="Q11" s="2"/>
      <c r="R11" s="2"/>
      <c r="S11" s="2" t="s">
        <v>33</v>
      </c>
      <c r="T11" s="2" t="s">
        <v>597</v>
      </c>
      <c r="U11" s="2"/>
      <c r="V11" s="2" t="s">
        <v>738</v>
      </c>
      <c r="W11" s="2" t="s">
        <v>20</v>
      </c>
      <c r="X11" s="2" t="s">
        <v>15</v>
      </c>
      <c r="Y11" s="2" t="s">
        <v>386</v>
      </c>
      <c r="Z11" s="2"/>
      <c r="AA11" s="2" t="s">
        <v>10</v>
      </c>
      <c r="AB11" s="5" t="s">
        <v>33</v>
      </c>
    </row>
    <row r="12" spans="1:28" ht="55.2" x14ac:dyDescent="0.3">
      <c r="A12" s="4" t="s">
        <v>385</v>
      </c>
      <c r="B12" s="2" t="s">
        <v>15</v>
      </c>
      <c r="C12" s="2" t="s">
        <v>734</v>
      </c>
      <c r="D12" s="2" t="s">
        <v>754</v>
      </c>
      <c r="E12" s="2"/>
      <c r="F12" s="2" t="s">
        <v>736</v>
      </c>
      <c r="G12" s="2"/>
      <c r="H12" s="2" t="s">
        <v>399</v>
      </c>
      <c r="I12" s="2"/>
      <c r="J12" s="2" t="s">
        <v>281</v>
      </c>
      <c r="K12" s="2" t="s">
        <v>363</v>
      </c>
      <c r="L12" s="2" t="s">
        <v>539</v>
      </c>
      <c r="M12" s="2" t="s">
        <v>32</v>
      </c>
      <c r="N12" s="2" t="s">
        <v>755</v>
      </c>
      <c r="O12" s="2" t="s">
        <v>540</v>
      </c>
      <c r="P12" s="2" t="s">
        <v>33</v>
      </c>
      <c r="Q12" s="2"/>
      <c r="R12" s="2"/>
      <c r="S12" s="2" t="s">
        <v>19</v>
      </c>
      <c r="T12" s="2" t="s">
        <v>19</v>
      </c>
      <c r="U12" s="2"/>
      <c r="V12" s="2" t="s">
        <v>738</v>
      </c>
      <c r="W12" s="2" t="s">
        <v>20</v>
      </c>
      <c r="X12" s="2" t="s">
        <v>15</v>
      </c>
      <c r="Y12" s="2" t="s">
        <v>386</v>
      </c>
      <c r="Z12" s="2"/>
      <c r="AA12" s="2" t="s">
        <v>10</v>
      </c>
      <c r="AB12" s="5" t="s">
        <v>33</v>
      </c>
    </row>
    <row r="13" spans="1:28" ht="124.2" x14ac:dyDescent="0.3">
      <c r="A13" s="4" t="s">
        <v>385</v>
      </c>
      <c r="B13" s="2" t="s">
        <v>15</v>
      </c>
      <c r="C13" s="2"/>
      <c r="D13" s="2"/>
      <c r="E13" s="2"/>
      <c r="F13" s="2"/>
      <c r="G13" s="2"/>
      <c r="H13" s="2" t="s">
        <v>400</v>
      </c>
      <c r="I13" s="2"/>
      <c r="J13" s="2" t="s">
        <v>286</v>
      </c>
      <c r="K13" s="2"/>
      <c r="L13" s="2"/>
      <c r="M13" s="2" t="s">
        <v>32</v>
      </c>
      <c r="N13" s="2" t="s">
        <v>756</v>
      </c>
      <c r="O13" s="2" t="s">
        <v>757</v>
      </c>
      <c r="P13" s="2" t="s">
        <v>33</v>
      </c>
      <c r="Q13" s="2"/>
      <c r="R13" s="2" t="s">
        <v>758</v>
      </c>
      <c r="S13" s="2" t="s">
        <v>19</v>
      </c>
      <c r="T13" s="2" t="s">
        <v>19</v>
      </c>
      <c r="U13" s="2"/>
      <c r="V13" s="2"/>
      <c r="W13" s="2" t="s">
        <v>20</v>
      </c>
      <c r="X13" s="2" t="s">
        <v>15</v>
      </c>
      <c r="Y13" s="2" t="s">
        <v>386</v>
      </c>
      <c r="Z13" s="2"/>
      <c r="AA13" s="2" t="s">
        <v>10</v>
      </c>
      <c r="AB13" s="5" t="s">
        <v>33</v>
      </c>
    </row>
    <row r="14" spans="1:28" ht="55.2" x14ac:dyDescent="0.3">
      <c r="A14" s="4" t="s">
        <v>385</v>
      </c>
      <c r="B14" s="2" t="s">
        <v>15</v>
      </c>
      <c r="C14" s="2" t="s">
        <v>734</v>
      </c>
      <c r="D14" s="2" t="s">
        <v>759</v>
      </c>
      <c r="E14" s="2"/>
      <c r="F14" s="2" t="s">
        <v>736</v>
      </c>
      <c r="G14" s="2"/>
      <c r="H14" s="2" t="s">
        <v>401</v>
      </c>
      <c r="I14" s="2" t="s">
        <v>402</v>
      </c>
      <c r="J14" s="2" t="s">
        <v>403</v>
      </c>
      <c r="K14" s="2" t="s">
        <v>363</v>
      </c>
      <c r="L14" s="2"/>
      <c r="M14" s="2" t="s">
        <v>32</v>
      </c>
      <c r="N14" s="2" t="s">
        <v>760</v>
      </c>
      <c r="O14" s="2" t="s">
        <v>757</v>
      </c>
      <c r="P14" s="2" t="s">
        <v>33</v>
      </c>
      <c r="Q14" s="2"/>
      <c r="R14" s="2"/>
      <c r="S14" s="2" t="s">
        <v>33</v>
      </c>
      <c r="T14" s="2" t="s">
        <v>33</v>
      </c>
      <c r="U14" s="2"/>
      <c r="V14" s="2" t="s">
        <v>738</v>
      </c>
      <c r="W14" s="2" t="s">
        <v>20</v>
      </c>
      <c r="X14" s="2" t="s">
        <v>15</v>
      </c>
      <c r="Y14" s="2" t="s">
        <v>386</v>
      </c>
      <c r="Z14" s="2"/>
      <c r="AA14" s="2" t="s">
        <v>10</v>
      </c>
      <c r="AB14" s="5" t="s">
        <v>33</v>
      </c>
    </row>
    <row r="15" spans="1:28" ht="69" x14ac:dyDescent="0.3">
      <c r="A15" s="4" t="s">
        <v>385</v>
      </c>
      <c r="B15" s="2" t="s">
        <v>15</v>
      </c>
      <c r="C15" s="2" t="s">
        <v>734</v>
      </c>
      <c r="D15" s="2" t="s">
        <v>759</v>
      </c>
      <c r="E15" s="2"/>
      <c r="F15" s="2" t="s">
        <v>736</v>
      </c>
      <c r="G15" s="2"/>
      <c r="H15" s="2" t="s">
        <v>404</v>
      </c>
      <c r="I15" s="2" t="s">
        <v>405</v>
      </c>
      <c r="J15" s="2" t="s">
        <v>406</v>
      </c>
      <c r="K15" s="2" t="s">
        <v>363</v>
      </c>
      <c r="L15" s="2" t="s">
        <v>539</v>
      </c>
      <c r="M15" s="2" t="s">
        <v>32</v>
      </c>
      <c r="N15" s="2" t="s">
        <v>761</v>
      </c>
      <c r="O15" s="2" t="s">
        <v>757</v>
      </c>
      <c r="P15" s="2" t="s">
        <v>33</v>
      </c>
      <c r="Q15" s="2"/>
      <c r="R15" s="2" t="s">
        <v>762</v>
      </c>
      <c r="S15" s="2" t="s">
        <v>33</v>
      </c>
      <c r="T15" s="2" t="s">
        <v>33</v>
      </c>
      <c r="U15" s="2"/>
      <c r="V15" s="2" t="s">
        <v>738</v>
      </c>
      <c r="W15" s="2" t="s">
        <v>20</v>
      </c>
      <c r="X15" s="2" t="s">
        <v>15</v>
      </c>
      <c r="Y15" s="2" t="s">
        <v>386</v>
      </c>
      <c r="Z15" s="2"/>
      <c r="AA15" s="2" t="s">
        <v>10</v>
      </c>
      <c r="AB15" s="5" t="s">
        <v>33</v>
      </c>
    </row>
    <row r="16" spans="1:28" ht="55.2" x14ac:dyDescent="0.3">
      <c r="A16" s="4" t="s">
        <v>385</v>
      </c>
      <c r="B16" s="2" t="s">
        <v>15</v>
      </c>
      <c r="C16" s="2" t="s">
        <v>734</v>
      </c>
      <c r="D16" s="2" t="s">
        <v>759</v>
      </c>
      <c r="E16" s="2"/>
      <c r="F16" s="2" t="s">
        <v>736</v>
      </c>
      <c r="G16" s="2"/>
      <c r="H16" s="2" t="s">
        <v>407</v>
      </c>
      <c r="I16" s="2" t="s">
        <v>408</v>
      </c>
      <c r="J16" s="2" t="s">
        <v>409</v>
      </c>
      <c r="K16" s="2" t="s">
        <v>18</v>
      </c>
      <c r="L16" s="2" t="s">
        <v>539</v>
      </c>
      <c r="M16" s="2"/>
      <c r="N16" s="2"/>
      <c r="O16" s="2" t="s">
        <v>757</v>
      </c>
      <c r="P16" s="2" t="s">
        <v>33</v>
      </c>
      <c r="Q16" s="2"/>
      <c r="R16" s="2"/>
      <c r="S16" s="2" t="s">
        <v>33</v>
      </c>
      <c r="T16" s="2" t="s">
        <v>33</v>
      </c>
      <c r="U16" s="2"/>
      <c r="V16" s="2" t="s">
        <v>738</v>
      </c>
      <c r="W16" s="2" t="s">
        <v>20</v>
      </c>
      <c r="X16" s="2" t="s">
        <v>15</v>
      </c>
      <c r="Y16" s="2" t="s">
        <v>386</v>
      </c>
      <c r="Z16" s="2"/>
      <c r="AA16" s="2" t="s">
        <v>10</v>
      </c>
      <c r="AB16" s="5" t="s">
        <v>19</v>
      </c>
    </row>
    <row r="17" spans="1:28" ht="55.2" x14ac:dyDescent="0.3">
      <c r="A17" s="4" t="s">
        <v>385</v>
      </c>
      <c r="B17" s="2" t="s">
        <v>15</v>
      </c>
      <c r="C17" s="2" t="s">
        <v>734</v>
      </c>
      <c r="D17" s="2" t="s">
        <v>759</v>
      </c>
      <c r="E17" s="2"/>
      <c r="F17" s="2" t="s">
        <v>736</v>
      </c>
      <c r="G17" s="2"/>
      <c r="H17" s="2" t="s">
        <v>410</v>
      </c>
      <c r="I17" s="2" t="s">
        <v>411</v>
      </c>
      <c r="J17" s="2" t="s">
        <v>412</v>
      </c>
      <c r="K17" s="2" t="s">
        <v>18</v>
      </c>
      <c r="L17" s="2" t="s">
        <v>539</v>
      </c>
      <c r="M17" s="2"/>
      <c r="N17" s="2"/>
      <c r="O17" s="2" t="s">
        <v>757</v>
      </c>
      <c r="P17" s="2" t="s">
        <v>33</v>
      </c>
      <c r="Q17" s="2"/>
      <c r="R17" s="2"/>
      <c r="S17" s="2" t="s">
        <v>33</v>
      </c>
      <c r="T17" s="2" t="s">
        <v>33</v>
      </c>
      <c r="U17" s="2"/>
      <c r="V17" s="2" t="s">
        <v>738</v>
      </c>
      <c r="W17" s="2" t="s">
        <v>20</v>
      </c>
      <c r="X17" s="2" t="s">
        <v>15</v>
      </c>
      <c r="Y17" s="2" t="s">
        <v>386</v>
      </c>
      <c r="Z17" s="2"/>
      <c r="AA17" s="2" t="s">
        <v>10</v>
      </c>
      <c r="AB17" s="5" t="s">
        <v>19</v>
      </c>
    </row>
    <row r="18" spans="1:28" ht="55.2" x14ac:dyDescent="0.3">
      <c r="A18" s="4" t="s">
        <v>385</v>
      </c>
      <c r="B18" s="2" t="s">
        <v>15</v>
      </c>
      <c r="C18" s="2" t="s">
        <v>734</v>
      </c>
      <c r="D18" s="2" t="s">
        <v>759</v>
      </c>
      <c r="E18" s="2"/>
      <c r="F18" s="2" t="s">
        <v>736</v>
      </c>
      <c r="G18" s="2"/>
      <c r="H18" s="2" t="s">
        <v>413</v>
      </c>
      <c r="I18" s="2" t="s">
        <v>414</v>
      </c>
      <c r="J18" s="2" t="s">
        <v>415</v>
      </c>
      <c r="K18" s="2" t="s">
        <v>18</v>
      </c>
      <c r="L18" s="2" t="s">
        <v>539</v>
      </c>
      <c r="M18" s="2"/>
      <c r="N18" s="2" t="s">
        <v>763</v>
      </c>
      <c r="O18" s="2" t="s">
        <v>757</v>
      </c>
      <c r="P18" s="2" t="s">
        <v>33</v>
      </c>
      <c r="Q18" s="2"/>
      <c r="R18" s="2"/>
      <c r="S18" s="2" t="s">
        <v>33</v>
      </c>
      <c r="T18" s="2" t="s">
        <v>33</v>
      </c>
      <c r="U18" s="2"/>
      <c r="V18" s="2" t="s">
        <v>738</v>
      </c>
      <c r="W18" s="2" t="s">
        <v>20</v>
      </c>
      <c r="X18" s="2" t="s">
        <v>15</v>
      </c>
      <c r="Y18" s="2" t="s">
        <v>386</v>
      </c>
      <c r="Z18" s="2"/>
      <c r="AA18" s="2" t="s">
        <v>10</v>
      </c>
      <c r="AB18" s="5" t="s">
        <v>19</v>
      </c>
    </row>
    <row r="19" spans="1:28" ht="55.2" x14ac:dyDescent="0.3">
      <c r="A19" s="4" t="s">
        <v>385</v>
      </c>
      <c r="B19" s="2" t="s">
        <v>15</v>
      </c>
      <c r="C19" s="2" t="s">
        <v>734</v>
      </c>
      <c r="D19" s="2" t="s">
        <v>759</v>
      </c>
      <c r="E19" s="2"/>
      <c r="F19" s="2" t="s">
        <v>736</v>
      </c>
      <c r="G19" s="2"/>
      <c r="H19" s="2" t="s">
        <v>416</v>
      </c>
      <c r="I19" s="2" t="s">
        <v>417</v>
      </c>
      <c r="J19" s="2" t="s">
        <v>418</v>
      </c>
      <c r="K19" s="2" t="s">
        <v>363</v>
      </c>
      <c r="L19" s="2" t="s">
        <v>539</v>
      </c>
      <c r="M19" s="2" t="s">
        <v>32</v>
      </c>
      <c r="N19" s="2" t="s">
        <v>764</v>
      </c>
      <c r="O19" s="2" t="s">
        <v>757</v>
      </c>
      <c r="P19" s="2" t="s">
        <v>33</v>
      </c>
      <c r="Q19" s="2"/>
      <c r="R19" s="2"/>
      <c r="S19" s="2" t="s">
        <v>33</v>
      </c>
      <c r="T19" s="2" t="s">
        <v>33</v>
      </c>
      <c r="U19" s="2"/>
      <c r="V19" s="2" t="s">
        <v>738</v>
      </c>
      <c r="W19" s="2" t="s">
        <v>20</v>
      </c>
      <c r="X19" s="2" t="s">
        <v>15</v>
      </c>
      <c r="Y19" s="2" t="s">
        <v>386</v>
      </c>
      <c r="Z19" s="2"/>
      <c r="AA19" s="2" t="s">
        <v>10</v>
      </c>
      <c r="AB19" s="5" t="s">
        <v>33</v>
      </c>
    </row>
    <row r="20" spans="1:28" ht="55.2" x14ac:dyDescent="0.3">
      <c r="A20" s="4" t="s">
        <v>385</v>
      </c>
      <c r="B20" s="2" t="s">
        <v>15</v>
      </c>
      <c r="C20" s="2" t="s">
        <v>734</v>
      </c>
      <c r="D20" s="2" t="s">
        <v>759</v>
      </c>
      <c r="E20" s="2"/>
      <c r="F20" s="2" t="s">
        <v>736</v>
      </c>
      <c r="G20" s="2"/>
      <c r="H20" s="2" t="s">
        <v>419</v>
      </c>
      <c r="I20" s="2" t="s">
        <v>420</v>
      </c>
      <c r="J20" s="2" t="s">
        <v>421</v>
      </c>
      <c r="K20" s="2" t="s">
        <v>18</v>
      </c>
      <c r="L20" s="2" t="s">
        <v>539</v>
      </c>
      <c r="M20" s="2"/>
      <c r="N20" s="2"/>
      <c r="O20" s="2" t="s">
        <v>757</v>
      </c>
      <c r="P20" s="2" t="s">
        <v>33</v>
      </c>
      <c r="Q20" s="2"/>
      <c r="R20" s="2"/>
      <c r="S20" s="2" t="s">
        <v>33</v>
      </c>
      <c r="T20" s="2" t="s">
        <v>33</v>
      </c>
      <c r="U20" s="2"/>
      <c r="V20" s="2" t="s">
        <v>738</v>
      </c>
      <c r="W20" s="2" t="s">
        <v>20</v>
      </c>
      <c r="X20" s="2" t="s">
        <v>15</v>
      </c>
      <c r="Y20" s="2" t="s">
        <v>386</v>
      </c>
      <c r="Z20" s="2"/>
      <c r="AA20" s="2" t="s">
        <v>10</v>
      </c>
      <c r="AB20" s="5" t="s">
        <v>19</v>
      </c>
    </row>
    <row r="21" spans="1:28" ht="82.8" x14ac:dyDescent="0.3">
      <c r="A21" s="4" t="s">
        <v>385</v>
      </c>
      <c r="B21" s="2" t="s">
        <v>15</v>
      </c>
      <c r="C21" s="2" t="s">
        <v>734</v>
      </c>
      <c r="D21" s="2" t="s">
        <v>759</v>
      </c>
      <c r="E21" s="2"/>
      <c r="F21" s="2" t="s">
        <v>736</v>
      </c>
      <c r="G21" s="2"/>
      <c r="H21" s="2" t="s">
        <v>422</v>
      </c>
      <c r="I21" s="2" t="s">
        <v>423</v>
      </c>
      <c r="J21" s="2" t="s">
        <v>424</v>
      </c>
      <c r="K21" s="2" t="s">
        <v>363</v>
      </c>
      <c r="L21" s="2" t="s">
        <v>539</v>
      </c>
      <c r="M21" s="2" t="s">
        <v>32</v>
      </c>
      <c r="N21" s="2" t="s">
        <v>765</v>
      </c>
      <c r="O21" s="2" t="s">
        <v>540</v>
      </c>
      <c r="P21" s="2" t="s">
        <v>33</v>
      </c>
      <c r="Q21" s="2"/>
      <c r="R21" s="2"/>
      <c r="S21" s="2" t="s">
        <v>33</v>
      </c>
      <c r="T21" s="2" t="s">
        <v>33</v>
      </c>
      <c r="U21" s="2"/>
      <c r="V21" s="2" t="s">
        <v>738</v>
      </c>
      <c r="W21" s="2" t="s">
        <v>20</v>
      </c>
      <c r="X21" s="2" t="s">
        <v>15</v>
      </c>
      <c r="Y21" s="2" t="s">
        <v>386</v>
      </c>
      <c r="Z21" s="2"/>
      <c r="AA21" s="2" t="s">
        <v>10</v>
      </c>
      <c r="AB21" s="5" t="s">
        <v>33</v>
      </c>
    </row>
    <row r="22" spans="1:28" ht="55.2" x14ac:dyDescent="0.3">
      <c r="A22" s="4" t="s">
        <v>385</v>
      </c>
      <c r="B22" s="2" t="s">
        <v>15</v>
      </c>
      <c r="C22" s="2" t="s">
        <v>734</v>
      </c>
      <c r="D22" s="2" t="s">
        <v>759</v>
      </c>
      <c r="E22" s="2"/>
      <c r="F22" s="2" t="s">
        <v>736</v>
      </c>
      <c r="G22" s="2"/>
      <c r="H22" s="2" t="s">
        <v>425</v>
      </c>
      <c r="I22" s="2" t="s">
        <v>426</v>
      </c>
      <c r="J22" s="2" t="s">
        <v>427</v>
      </c>
      <c r="K22" s="2" t="s">
        <v>18</v>
      </c>
      <c r="L22" s="2" t="s">
        <v>588</v>
      </c>
      <c r="M22" s="2"/>
      <c r="N22" s="2"/>
      <c r="O22" s="2" t="s">
        <v>318</v>
      </c>
      <c r="P22" s="2" t="s">
        <v>33</v>
      </c>
      <c r="Q22" s="2"/>
      <c r="R22" s="2" t="s">
        <v>766</v>
      </c>
      <c r="S22" s="2" t="s">
        <v>33</v>
      </c>
      <c r="T22" s="2" t="s">
        <v>33</v>
      </c>
      <c r="U22" s="2"/>
      <c r="V22" s="2" t="s">
        <v>738</v>
      </c>
      <c r="W22" s="2" t="s">
        <v>20</v>
      </c>
      <c r="X22" s="2" t="s">
        <v>15</v>
      </c>
      <c r="Y22" s="2" t="s">
        <v>386</v>
      </c>
      <c r="Z22" s="2"/>
      <c r="AA22" s="2" t="s">
        <v>27</v>
      </c>
      <c r="AB22" s="5" t="s">
        <v>19</v>
      </c>
    </row>
    <row r="23" spans="1:28" ht="262.2" x14ac:dyDescent="0.3">
      <c r="A23" s="4" t="s">
        <v>385</v>
      </c>
      <c r="B23" s="2" t="s">
        <v>15</v>
      </c>
      <c r="C23" s="2" t="s">
        <v>734</v>
      </c>
      <c r="D23" s="2" t="s">
        <v>767</v>
      </c>
      <c r="E23" s="2"/>
      <c r="F23" s="2" t="s">
        <v>768</v>
      </c>
      <c r="G23" s="2"/>
      <c r="H23" s="2" t="s">
        <v>428</v>
      </c>
      <c r="I23" s="2" t="s">
        <v>430</v>
      </c>
      <c r="J23" s="2" t="s">
        <v>430</v>
      </c>
      <c r="K23" s="2" t="s">
        <v>363</v>
      </c>
      <c r="L23" s="2" t="s">
        <v>539</v>
      </c>
      <c r="M23" s="2" t="s">
        <v>32</v>
      </c>
      <c r="N23" s="2" t="s">
        <v>769</v>
      </c>
      <c r="O23" s="2" t="s">
        <v>429</v>
      </c>
      <c r="P23" s="2" t="s">
        <v>19</v>
      </c>
      <c r="Q23" s="2"/>
      <c r="R23" s="2" t="s">
        <v>770</v>
      </c>
      <c r="S23" s="2" t="s">
        <v>771</v>
      </c>
      <c r="T23" s="2" t="s">
        <v>772</v>
      </c>
      <c r="U23" s="2"/>
      <c r="V23" s="2" t="s">
        <v>738</v>
      </c>
      <c r="W23" s="2" t="s">
        <v>20</v>
      </c>
      <c r="X23" s="2" t="s">
        <v>15</v>
      </c>
      <c r="Y23" s="2" t="s">
        <v>386</v>
      </c>
      <c r="Z23" s="2"/>
      <c r="AA23" s="2" t="s">
        <v>429</v>
      </c>
      <c r="AB23" s="5" t="s">
        <v>33</v>
      </c>
    </row>
    <row r="24" spans="1:28" ht="55.2" x14ac:dyDescent="0.3">
      <c r="A24" s="4" t="s">
        <v>385</v>
      </c>
      <c r="B24" s="2" t="s">
        <v>15</v>
      </c>
      <c r="C24" s="2" t="s">
        <v>734</v>
      </c>
      <c r="D24" s="2" t="s">
        <v>746</v>
      </c>
      <c r="E24" s="2"/>
      <c r="F24" s="2" t="s">
        <v>736</v>
      </c>
      <c r="G24" s="2"/>
      <c r="H24" s="2" t="s">
        <v>431</v>
      </c>
      <c r="I24" s="2"/>
      <c r="J24" s="2" t="s">
        <v>432</v>
      </c>
      <c r="K24" s="2" t="s">
        <v>18</v>
      </c>
      <c r="L24" s="2" t="s">
        <v>539</v>
      </c>
      <c r="M24" s="2"/>
      <c r="N24" s="2"/>
      <c r="O24" s="2" t="s">
        <v>540</v>
      </c>
      <c r="P24" s="2" t="s">
        <v>33</v>
      </c>
      <c r="Q24" s="2"/>
      <c r="R24" s="2"/>
      <c r="S24" s="2" t="s">
        <v>19</v>
      </c>
      <c r="T24" s="2" t="s">
        <v>19</v>
      </c>
      <c r="U24" s="2"/>
      <c r="V24" s="2" t="s">
        <v>738</v>
      </c>
      <c r="W24" s="2" t="s">
        <v>20</v>
      </c>
      <c r="X24" s="2" t="s">
        <v>15</v>
      </c>
      <c r="Y24" s="2" t="s">
        <v>386</v>
      </c>
      <c r="Z24" s="2"/>
      <c r="AA24" s="2" t="s">
        <v>10</v>
      </c>
      <c r="AB24" s="5" t="s">
        <v>19</v>
      </c>
    </row>
    <row r="25" spans="1:28" ht="55.2" x14ac:dyDescent="0.3">
      <c r="A25" s="4" t="s">
        <v>385</v>
      </c>
      <c r="B25" s="2" t="s">
        <v>15</v>
      </c>
      <c r="C25" s="2" t="s">
        <v>734</v>
      </c>
      <c r="D25" s="2" t="s">
        <v>746</v>
      </c>
      <c r="E25" s="2"/>
      <c r="F25" s="2" t="s">
        <v>736</v>
      </c>
      <c r="G25" s="2"/>
      <c r="H25" s="2" t="s">
        <v>433</v>
      </c>
      <c r="I25" s="2"/>
      <c r="J25" s="2" t="s">
        <v>434</v>
      </c>
      <c r="K25" s="2" t="s">
        <v>18</v>
      </c>
      <c r="L25" s="2" t="s">
        <v>539</v>
      </c>
      <c r="M25" s="2"/>
      <c r="N25" s="2"/>
      <c r="O25" s="2" t="s">
        <v>540</v>
      </c>
      <c r="P25" s="2" t="s">
        <v>33</v>
      </c>
      <c r="Q25" s="2"/>
      <c r="R25" s="2"/>
      <c r="S25" s="2" t="s">
        <v>19</v>
      </c>
      <c r="T25" s="2" t="s">
        <v>19</v>
      </c>
      <c r="U25" s="2"/>
      <c r="V25" s="2" t="s">
        <v>738</v>
      </c>
      <c r="W25" s="2" t="s">
        <v>20</v>
      </c>
      <c r="X25" s="2" t="s">
        <v>15</v>
      </c>
      <c r="Y25" s="2" t="s">
        <v>386</v>
      </c>
      <c r="Z25" s="2"/>
      <c r="AA25" s="2" t="s">
        <v>10</v>
      </c>
      <c r="AB25" s="5" t="s">
        <v>19</v>
      </c>
    </row>
    <row r="26" spans="1:28" ht="55.2" x14ac:dyDescent="0.3">
      <c r="A26" s="4" t="s">
        <v>385</v>
      </c>
      <c r="B26" s="2" t="s">
        <v>15</v>
      </c>
      <c r="C26" s="2" t="s">
        <v>734</v>
      </c>
      <c r="D26" s="2" t="s">
        <v>746</v>
      </c>
      <c r="E26" s="2"/>
      <c r="F26" s="2" t="s">
        <v>736</v>
      </c>
      <c r="G26" s="2"/>
      <c r="H26" s="2" t="s">
        <v>435</v>
      </c>
      <c r="I26" s="2"/>
      <c r="J26" s="2" t="s">
        <v>436</v>
      </c>
      <c r="K26" s="2" t="s">
        <v>18</v>
      </c>
      <c r="L26" s="2" t="s">
        <v>539</v>
      </c>
      <c r="M26" s="2"/>
      <c r="N26" s="2"/>
      <c r="O26" s="2" t="s">
        <v>540</v>
      </c>
      <c r="P26" s="2" t="s">
        <v>33</v>
      </c>
      <c r="Q26" s="2"/>
      <c r="R26" s="2"/>
      <c r="S26" s="2" t="s">
        <v>19</v>
      </c>
      <c r="T26" s="2" t="s">
        <v>19</v>
      </c>
      <c r="U26" s="2"/>
      <c r="V26" s="2" t="s">
        <v>738</v>
      </c>
      <c r="W26" s="2" t="s">
        <v>20</v>
      </c>
      <c r="X26" s="2" t="s">
        <v>15</v>
      </c>
      <c r="Y26" s="2" t="s">
        <v>386</v>
      </c>
      <c r="Z26" s="2"/>
      <c r="AA26" s="2" t="s">
        <v>10</v>
      </c>
      <c r="AB26" s="5" t="s">
        <v>19</v>
      </c>
    </row>
    <row r="27" spans="1:28" ht="55.2" x14ac:dyDescent="0.3">
      <c r="A27" s="4" t="s">
        <v>385</v>
      </c>
      <c r="B27" s="2" t="s">
        <v>15</v>
      </c>
      <c r="C27" s="2" t="s">
        <v>734</v>
      </c>
      <c r="D27" s="2" t="s">
        <v>746</v>
      </c>
      <c r="E27" s="2"/>
      <c r="F27" s="2" t="s">
        <v>736</v>
      </c>
      <c r="G27" s="2"/>
      <c r="H27" s="2" t="s">
        <v>437</v>
      </c>
      <c r="I27" s="2" t="s">
        <v>438</v>
      </c>
      <c r="J27" s="2" t="s">
        <v>320</v>
      </c>
      <c r="K27" s="2" t="s">
        <v>18</v>
      </c>
      <c r="L27" s="2" t="s">
        <v>539</v>
      </c>
      <c r="M27" s="2"/>
      <c r="N27" s="2"/>
      <c r="O27" s="2" t="s">
        <v>540</v>
      </c>
      <c r="P27" s="2" t="s">
        <v>33</v>
      </c>
      <c r="Q27" s="2"/>
      <c r="R27" s="2" t="s">
        <v>773</v>
      </c>
      <c r="S27" s="2" t="s">
        <v>33</v>
      </c>
      <c r="T27" s="2" t="s">
        <v>33</v>
      </c>
      <c r="U27" s="2"/>
      <c r="V27" s="2" t="s">
        <v>738</v>
      </c>
      <c r="W27" s="2" t="s">
        <v>20</v>
      </c>
      <c r="X27" s="2" t="s">
        <v>15</v>
      </c>
      <c r="Y27" s="2" t="s">
        <v>386</v>
      </c>
      <c r="Z27" s="2"/>
      <c r="AA27" s="2" t="s">
        <v>10</v>
      </c>
      <c r="AB27" s="5" t="s">
        <v>19</v>
      </c>
    </row>
    <row r="28" spans="1:28" ht="55.2" x14ac:dyDescent="0.3">
      <c r="A28" s="4" t="s">
        <v>385</v>
      </c>
      <c r="B28" s="2" t="s">
        <v>15</v>
      </c>
      <c r="C28" s="2" t="s">
        <v>734</v>
      </c>
      <c r="D28" s="2" t="s">
        <v>746</v>
      </c>
      <c r="E28" s="2"/>
      <c r="F28" s="2" t="s">
        <v>736</v>
      </c>
      <c r="G28" s="2"/>
      <c r="H28" s="2" t="s">
        <v>43</v>
      </c>
      <c r="I28" s="2" t="s">
        <v>439</v>
      </c>
      <c r="J28" s="2" t="s">
        <v>164</v>
      </c>
      <c r="K28" s="2" t="s">
        <v>18</v>
      </c>
      <c r="L28" s="2" t="s">
        <v>539</v>
      </c>
      <c r="M28" s="2"/>
      <c r="N28" s="2"/>
      <c r="O28" s="2" t="s">
        <v>540</v>
      </c>
      <c r="P28" s="2" t="s">
        <v>33</v>
      </c>
      <c r="Q28" s="2"/>
      <c r="R28" s="2"/>
      <c r="S28" s="2" t="s">
        <v>33</v>
      </c>
      <c r="T28" s="2" t="s">
        <v>33</v>
      </c>
      <c r="U28" s="2"/>
      <c r="V28" s="2" t="s">
        <v>738</v>
      </c>
      <c r="W28" s="2" t="s">
        <v>20</v>
      </c>
      <c r="X28" s="2" t="s">
        <v>15</v>
      </c>
      <c r="Y28" s="2" t="s">
        <v>386</v>
      </c>
      <c r="Z28" s="2"/>
      <c r="AA28" s="2" t="s">
        <v>10</v>
      </c>
      <c r="AB28" s="5" t="s">
        <v>19</v>
      </c>
    </row>
    <row r="29" spans="1:28" ht="96.6" x14ac:dyDescent="0.3">
      <c r="A29" s="4" t="s">
        <v>385</v>
      </c>
      <c r="B29" s="2" t="s">
        <v>15</v>
      </c>
      <c r="C29" s="2" t="s">
        <v>734</v>
      </c>
      <c r="D29" s="2" t="s">
        <v>746</v>
      </c>
      <c r="E29" s="2"/>
      <c r="F29" s="2" t="s">
        <v>736</v>
      </c>
      <c r="G29" s="2"/>
      <c r="H29" s="2" t="s">
        <v>440</v>
      </c>
      <c r="I29" s="2" t="s">
        <v>172</v>
      </c>
      <c r="J29" s="2" t="s">
        <v>172</v>
      </c>
      <c r="K29" s="2" t="s">
        <v>363</v>
      </c>
      <c r="L29" s="2" t="s">
        <v>539</v>
      </c>
      <c r="M29" s="2" t="s">
        <v>32</v>
      </c>
      <c r="N29" s="2" t="s">
        <v>616</v>
      </c>
      <c r="O29" s="2" t="s">
        <v>540</v>
      </c>
      <c r="P29" s="2" t="s">
        <v>33</v>
      </c>
      <c r="Q29" s="2"/>
      <c r="R29" s="2" t="s">
        <v>774</v>
      </c>
      <c r="S29" s="2" t="s">
        <v>33</v>
      </c>
      <c r="T29" s="2" t="s">
        <v>33</v>
      </c>
      <c r="U29" s="2"/>
      <c r="V29" s="2" t="s">
        <v>738</v>
      </c>
      <c r="W29" s="2" t="s">
        <v>20</v>
      </c>
      <c r="X29" s="2" t="s">
        <v>15</v>
      </c>
      <c r="Y29" s="2" t="s">
        <v>386</v>
      </c>
      <c r="Z29" s="2"/>
      <c r="AA29" s="2" t="s">
        <v>10</v>
      </c>
      <c r="AB29" s="5" t="s">
        <v>33</v>
      </c>
    </row>
    <row r="30" spans="1:28" ht="55.2" x14ac:dyDescent="0.3">
      <c r="A30" s="4" t="s">
        <v>385</v>
      </c>
      <c r="B30" s="2" t="s">
        <v>15</v>
      </c>
      <c r="C30" s="2" t="s">
        <v>734</v>
      </c>
      <c r="D30" s="2" t="s">
        <v>746</v>
      </c>
      <c r="E30" s="2"/>
      <c r="F30" s="2" t="s">
        <v>736</v>
      </c>
      <c r="G30" s="2"/>
      <c r="H30" s="2" t="s">
        <v>441</v>
      </c>
      <c r="I30" s="2" t="s">
        <v>211</v>
      </c>
      <c r="J30" s="2" t="s">
        <v>211</v>
      </c>
      <c r="K30" s="2" t="s">
        <v>363</v>
      </c>
      <c r="L30" s="2" t="s">
        <v>539</v>
      </c>
      <c r="M30" s="2" t="s">
        <v>32</v>
      </c>
      <c r="N30" s="2" t="s">
        <v>775</v>
      </c>
      <c r="O30" s="2" t="s">
        <v>540</v>
      </c>
      <c r="P30" s="2" t="s">
        <v>33</v>
      </c>
      <c r="Q30" s="2"/>
      <c r="R30" s="2" t="s">
        <v>776</v>
      </c>
      <c r="S30" s="2" t="s">
        <v>33</v>
      </c>
      <c r="T30" s="2" t="s">
        <v>33</v>
      </c>
      <c r="U30" s="2"/>
      <c r="V30" s="2" t="s">
        <v>738</v>
      </c>
      <c r="W30" s="2" t="s">
        <v>20</v>
      </c>
      <c r="X30" s="2" t="s">
        <v>15</v>
      </c>
      <c r="Y30" s="2" t="s">
        <v>386</v>
      </c>
      <c r="Z30" s="2"/>
      <c r="AA30" s="2" t="s">
        <v>10</v>
      </c>
      <c r="AB30" s="5" t="s">
        <v>33</v>
      </c>
    </row>
    <row r="31" spans="1:28" ht="55.2" x14ac:dyDescent="0.3">
      <c r="A31" s="4" t="s">
        <v>385</v>
      </c>
      <c r="B31" s="2" t="s">
        <v>15</v>
      </c>
      <c r="C31" s="2" t="s">
        <v>734</v>
      </c>
      <c r="D31" s="2" t="s">
        <v>746</v>
      </c>
      <c r="E31" s="2"/>
      <c r="F31" s="2" t="s">
        <v>736</v>
      </c>
      <c r="G31" s="2"/>
      <c r="H31" s="2" t="s">
        <v>442</v>
      </c>
      <c r="I31" s="2"/>
      <c r="J31" s="2" t="s">
        <v>443</v>
      </c>
      <c r="K31" s="2" t="s">
        <v>363</v>
      </c>
      <c r="L31" s="2" t="s">
        <v>539</v>
      </c>
      <c r="M31" s="2" t="s">
        <v>32</v>
      </c>
      <c r="N31" s="2" t="s">
        <v>777</v>
      </c>
      <c r="O31" s="2" t="s">
        <v>540</v>
      </c>
      <c r="P31" s="2" t="s">
        <v>33</v>
      </c>
      <c r="Q31" s="2"/>
      <c r="R31" s="2" t="s">
        <v>778</v>
      </c>
      <c r="S31" s="2" t="s">
        <v>19</v>
      </c>
      <c r="T31" s="2" t="s">
        <v>19</v>
      </c>
      <c r="U31" s="2"/>
      <c r="V31" s="2" t="s">
        <v>738</v>
      </c>
      <c r="W31" s="2" t="s">
        <v>20</v>
      </c>
      <c r="X31" s="2" t="s">
        <v>15</v>
      </c>
      <c r="Y31" s="2" t="s">
        <v>386</v>
      </c>
      <c r="Z31" s="2"/>
      <c r="AA31" s="2" t="s">
        <v>10</v>
      </c>
      <c r="AB31" s="5" t="s">
        <v>33</v>
      </c>
    </row>
    <row r="32" spans="1:28" ht="55.2" x14ac:dyDescent="0.3">
      <c r="A32" s="4" t="s">
        <v>385</v>
      </c>
      <c r="B32" s="2" t="s">
        <v>15</v>
      </c>
      <c r="C32" s="2" t="s">
        <v>734</v>
      </c>
      <c r="D32" s="2" t="s">
        <v>746</v>
      </c>
      <c r="E32" s="2"/>
      <c r="F32" s="2" t="s">
        <v>736</v>
      </c>
      <c r="G32" s="2"/>
      <c r="H32" s="2" t="s">
        <v>444</v>
      </c>
      <c r="I32" s="2" t="s">
        <v>445</v>
      </c>
      <c r="J32" s="2" t="s">
        <v>446</v>
      </c>
      <c r="K32" s="2" t="s">
        <v>363</v>
      </c>
      <c r="L32" s="2" t="s">
        <v>539</v>
      </c>
      <c r="M32" s="2" t="s">
        <v>35</v>
      </c>
      <c r="N32" s="2" t="s">
        <v>777</v>
      </c>
      <c r="O32" s="2" t="s">
        <v>318</v>
      </c>
      <c r="P32" s="2" t="s">
        <v>33</v>
      </c>
      <c r="Q32" s="2"/>
      <c r="R32" s="2" t="s">
        <v>779</v>
      </c>
      <c r="S32" s="2" t="s">
        <v>33</v>
      </c>
      <c r="T32" s="2" t="s">
        <v>780</v>
      </c>
      <c r="U32" s="2"/>
      <c r="V32" s="2" t="s">
        <v>738</v>
      </c>
      <c r="W32" s="2" t="s">
        <v>20</v>
      </c>
      <c r="X32" s="2" t="s">
        <v>15</v>
      </c>
      <c r="Y32" s="2" t="s">
        <v>386</v>
      </c>
      <c r="Z32" s="2"/>
      <c r="AA32" s="2" t="s">
        <v>27</v>
      </c>
      <c r="AB32" s="5" t="s">
        <v>33</v>
      </c>
    </row>
    <row r="33" spans="1:28" ht="358.8" x14ac:dyDescent="0.3">
      <c r="A33" s="4" t="s">
        <v>385</v>
      </c>
      <c r="B33" s="2" t="s">
        <v>15</v>
      </c>
      <c r="C33" s="2" t="s">
        <v>734</v>
      </c>
      <c r="D33" s="2" t="s">
        <v>746</v>
      </c>
      <c r="E33" s="2"/>
      <c r="F33" s="2" t="s">
        <v>736</v>
      </c>
      <c r="G33" s="2"/>
      <c r="H33" s="2" t="s">
        <v>447</v>
      </c>
      <c r="I33" s="2"/>
      <c r="J33" s="2" t="s">
        <v>448</v>
      </c>
      <c r="K33" s="2" t="s">
        <v>363</v>
      </c>
      <c r="L33" s="2" t="s">
        <v>539</v>
      </c>
      <c r="M33" s="2" t="s">
        <v>32</v>
      </c>
      <c r="N33" s="2" t="s">
        <v>781</v>
      </c>
      <c r="O33" s="2" t="s">
        <v>540</v>
      </c>
      <c r="P33" s="2"/>
      <c r="Q33" s="2"/>
      <c r="R33" s="2" t="s">
        <v>779</v>
      </c>
      <c r="S33" s="2"/>
      <c r="T33" s="2"/>
      <c r="U33" s="2"/>
      <c r="V33" s="2"/>
      <c r="W33" s="2" t="s">
        <v>20</v>
      </c>
      <c r="X33" s="2" t="s">
        <v>15</v>
      </c>
      <c r="Y33" s="2" t="s">
        <v>386</v>
      </c>
      <c r="Z33" s="2"/>
      <c r="AA33" s="2" t="s">
        <v>10</v>
      </c>
      <c r="AB33" s="5" t="s">
        <v>33</v>
      </c>
    </row>
    <row r="34" spans="1:28" ht="55.2" x14ac:dyDescent="0.3">
      <c r="A34" s="4" t="s">
        <v>385</v>
      </c>
      <c r="B34" s="2" t="s">
        <v>15</v>
      </c>
      <c r="C34" s="2" t="s">
        <v>734</v>
      </c>
      <c r="D34" s="2" t="s">
        <v>746</v>
      </c>
      <c r="E34" s="2"/>
      <c r="F34" s="2" t="s">
        <v>736</v>
      </c>
      <c r="G34" s="2"/>
      <c r="H34" s="2" t="s">
        <v>449</v>
      </c>
      <c r="I34" s="2" t="s">
        <v>450</v>
      </c>
      <c r="J34" s="2" t="s">
        <v>450</v>
      </c>
      <c r="K34" s="2" t="s">
        <v>363</v>
      </c>
      <c r="L34" s="2" t="s">
        <v>539</v>
      </c>
      <c r="M34" s="2" t="s">
        <v>32</v>
      </c>
      <c r="N34" s="2" t="s">
        <v>782</v>
      </c>
      <c r="O34" s="2" t="s">
        <v>540</v>
      </c>
      <c r="P34" s="2" t="s">
        <v>19</v>
      </c>
      <c r="Q34" s="2"/>
      <c r="R34" s="2" t="s">
        <v>783</v>
      </c>
      <c r="S34" s="2" t="s">
        <v>33</v>
      </c>
      <c r="T34" s="2" t="s">
        <v>33</v>
      </c>
      <c r="U34" s="2"/>
      <c r="V34" s="2" t="s">
        <v>738</v>
      </c>
      <c r="W34" s="2" t="s">
        <v>20</v>
      </c>
      <c r="X34" s="2" t="s">
        <v>15</v>
      </c>
      <c r="Y34" s="2" t="s">
        <v>386</v>
      </c>
      <c r="Z34" s="2"/>
      <c r="AA34" s="2" t="s">
        <v>10</v>
      </c>
      <c r="AB34" s="5" t="s">
        <v>33</v>
      </c>
    </row>
    <row r="35" spans="1:28" ht="55.2" x14ac:dyDescent="0.3">
      <c r="A35" s="4" t="s">
        <v>385</v>
      </c>
      <c r="B35" s="2" t="s">
        <v>15</v>
      </c>
      <c r="C35" s="2" t="s">
        <v>784</v>
      </c>
      <c r="D35" s="2" t="s">
        <v>785</v>
      </c>
      <c r="E35" s="2"/>
      <c r="F35" s="2" t="s">
        <v>786</v>
      </c>
      <c r="G35" s="2"/>
      <c r="H35" s="2" t="s">
        <v>428</v>
      </c>
      <c r="I35" s="2" t="s">
        <v>430</v>
      </c>
      <c r="J35" s="2" t="s">
        <v>430</v>
      </c>
      <c r="K35" s="2" t="s">
        <v>363</v>
      </c>
      <c r="L35" s="2" t="s">
        <v>539</v>
      </c>
      <c r="M35" s="2" t="s">
        <v>32</v>
      </c>
      <c r="N35" s="2" t="s">
        <v>769</v>
      </c>
      <c r="O35" s="2" t="s">
        <v>540</v>
      </c>
      <c r="P35" s="2"/>
      <c r="Q35" s="2"/>
      <c r="R35" s="2" t="s">
        <v>787</v>
      </c>
      <c r="S35" s="2" t="s">
        <v>771</v>
      </c>
      <c r="T35" s="2" t="s">
        <v>772</v>
      </c>
      <c r="U35" s="2"/>
      <c r="V35" s="2" t="s">
        <v>738</v>
      </c>
      <c r="W35" s="2" t="s">
        <v>20</v>
      </c>
      <c r="X35" s="2" t="s">
        <v>15</v>
      </c>
      <c r="Y35" s="2" t="s">
        <v>386</v>
      </c>
      <c r="Z35" s="2"/>
      <c r="AA35" s="2" t="s">
        <v>10</v>
      </c>
      <c r="AB35" s="5" t="s">
        <v>33</v>
      </c>
    </row>
    <row r="36" spans="1:28" ht="55.2" x14ac:dyDescent="0.3">
      <c r="A36" s="4" t="s">
        <v>385</v>
      </c>
      <c r="B36" s="2" t="s">
        <v>15</v>
      </c>
      <c r="C36" s="2" t="s">
        <v>784</v>
      </c>
      <c r="D36" s="2" t="s">
        <v>785</v>
      </c>
      <c r="E36" s="2"/>
      <c r="F36" s="2" t="s">
        <v>786</v>
      </c>
      <c r="G36" s="2"/>
      <c r="H36" s="2" t="s">
        <v>451</v>
      </c>
      <c r="I36" s="2"/>
      <c r="J36" s="2" t="s">
        <v>452</v>
      </c>
      <c r="K36" s="2" t="s">
        <v>363</v>
      </c>
      <c r="L36" s="2" t="s">
        <v>539</v>
      </c>
      <c r="M36" s="2" t="s">
        <v>32</v>
      </c>
      <c r="N36" s="2" t="s">
        <v>559</v>
      </c>
      <c r="O36" s="2" t="s">
        <v>540</v>
      </c>
      <c r="P36" s="2"/>
      <c r="Q36" s="2"/>
      <c r="R36" s="2" t="s">
        <v>788</v>
      </c>
      <c r="S36" s="2" t="s">
        <v>19</v>
      </c>
      <c r="T36" s="2" t="s">
        <v>19</v>
      </c>
      <c r="U36" s="2"/>
      <c r="V36" s="2" t="s">
        <v>738</v>
      </c>
      <c r="W36" s="2" t="s">
        <v>20</v>
      </c>
      <c r="X36" s="2" t="s">
        <v>15</v>
      </c>
      <c r="Y36" s="2" t="s">
        <v>386</v>
      </c>
      <c r="Z36" s="2"/>
      <c r="AA36" s="2" t="s">
        <v>10</v>
      </c>
      <c r="AB36" s="5" t="s">
        <v>33</v>
      </c>
    </row>
    <row r="37" spans="1:28" ht="55.2" x14ac:dyDescent="0.3">
      <c r="A37" s="4" t="s">
        <v>385</v>
      </c>
      <c r="B37" s="2" t="s">
        <v>15</v>
      </c>
      <c r="C37" s="2" t="s">
        <v>784</v>
      </c>
      <c r="D37" s="2" t="s">
        <v>785</v>
      </c>
      <c r="E37" s="2"/>
      <c r="F37" s="2" t="s">
        <v>786</v>
      </c>
      <c r="G37" s="2"/>
      <c r="H37" s="2" t="s">
        <v>453</v>
      </c>
      <c r="I37" s="2"/>
      <c r="J37" s="2" t="s">
        <v>454</v>
      </c>
      <c r="K37" s="2" t="s">
        <v>363</v>
      </c>
      <c r="L37" s="2" t="s">
        <v>539</v>
      </c>
      <c r="M37" s="2" t="s">
        <v>32</v>
      </c>
      <c r="N37" s="2" t="s">
        <v>789</v>
      </c>
      <c r="O37" s="2" t="s">
        <v>540</v>
      </c>
      <c r="P37" s="2"/>
      <c r="Q37" s="2"/>
      <c r="R37" s="2" t="s">
        <v>790</v>
      </c>
      <c r="S37" s="2" t="s">
        <v>19</v>
      </c>
      <c r="T37" s="2" t="s">
        <v>19</v>
      </c>
      <c r="U37" s="2"/>
      <c r="V37" s="2" t="s">
        <v>738</v>
      </c>
      <c r="W37" s="2" t="s">
        <v>20</v>
      </c>
      <c r="X37" s="2" t="s">
        <v>15</v>
      </c>
      <c r="Y37" s="2" t="s">
        <v>386</v>
      </c>
      <c r="Z37" s="2"/>
      <c r="AA37" s="2" t="s">
        <v>10</v>
      </c>
      <c r="AB37" s="5" t="s">
        <v>33</v>
      </c>
    </row>
    <row r="38" spans="1:28" ht="55.2" x14ac:dyDescent="0.3">
      <c r="A38" s="4" t="s">
        <v>385</v>
      </c>
      <c r="B38" s="2" t="s">
        <v>15</v>
      </c>
      <c r="C38" s="2" t="s">
        <v>784</v>
      </c>
      <c r="D38" s="2" t="s">
        <v>785</v>
      </c>
      <c r="E38" s="2"/>
      <c r="F38" s="2" t="s">
        <v>786</v>
      </c>
      <c r="G38" s="2"/>
      <c r="H38" s="2" t="s">
        <v>455</v>
      </c>
      <c r="I38" s="2"/>
      <c r="J38" s="2" t="s">
        <v>456</v>
      </c>
      <c r="K38" s="2" t="s">
        <v>363</v>
      </c>
      <c r="L38" s="2" t="s">
        <v>539</v>
      </c>
      <c r="M38" s="2" t="s">
        <v>32</v>
      </c>
      <c r="N38" s="2" t="s">
        <v>791</v>
      </c>
      <c r="O38" s="2" t="s">
        <v>540</v>
      </c>
      <c r="P38" s="2"/>
      <c r="Q38" s="2"/>
      <c r="R38" s="2"/>
      <c r="S38" s="2" t="s">
        <v>19</v>
      </c>
      <c r="T38" s="2" t="s">
        <v>19</v>
      </c>
      <c r="U38" s="2"/>
      <c r="V38" s="2" t="s">
        <v>738</v>
      </c>
      <c r="W38" s="2" t="s">
        <v>20</v>
      </c>
      <c r="X38" s="2" t="s">
        <v>15</v>
      </c>
      <c r="Y38" s="2" t="s">
        <v>386</v>
      </c>
      <c r="Z38" s="2"/>
      <c r="AA38" s="2" t="s">
        <v>10</v>
      </c>
      <c r="AB38" s="5" t="s">
        <v>33</v>
      </c>
    </row>
    <row r="39" spans="1:28" ht="82.8" x14ac:dyDescent="0.3">
      <c r="A39" s="4" t="s">
        <v>385</v>
      </c>
      <c r="B39" s="2" t="s">
        <v>15</v>
      </c>
      <c r="C39" s="2" t="s">
        <v>792</v>
      </c>
      <c r="D39" s="2" t="s">
        <v>793</v>
      </c>
      <c r="E39" s="2"/>
      <c r="F39" s="2" t="s">
        <v>786</v>
      </c>
      <c r="G39" s="2"/>
      <c r="H39" s="2" t="s">
        <v>457</v>
      </c>
      <c r="I39" s="2" t="s">
        <v>458</v>
      </c>
      <c r="J39" s="2" t="s">
        <v>458</v>
      </c>
      <c r="K39" s="2" t="s">
        <v>363</v>
      </c>
      <c r="L39" s="2" t="s">
        <v>539</v>
      </c>
      <c r="M39" s="2" t="s">
        <v>32</v>
      </c>
      <c r="N39" s="2" t="s">
        <v>794</v>
      </c>
      <c r="O39" s="2" t="s">
        <v>540</v>
      </c>
      <c r="P39" s="2" t="s">
        <v>795</v>
      </c>
      <c r="Q39" s="2"/>
      <c r="R39" s="2" t="s">
        <v>796</v>
      </c>
      <c r="S39" s="2" t="s">
        <v>33</v>
      </c>
      <c r="T39" s="2" t="s">
        <v>33</v>
      </c>
      <c r="U39" s="2" t="s">
        <v>19</v>
      </c>
      <c r="V39" s="2" t="s">
        <v>797</v>
      </c>
      <c r="W39" s="2" t="s">
        <v>20</v>
      </c>
      <c r="X39" s="2" t="s">
        <v>15</v>
      </c>
      <c r="Y39" s="2" t="s">
        <v>386</v>
      </c>
      <c r="Z39" s="2"/>
      <c r="AA39" s="2" t="s">
        <v>10</v>
      </c>
      <c r="AB39" s="5" t="s">
        <v>33</v>
      </c>
    </row>
    <row r="40" spans="1:28" ht="55.2" x14ac:dyDescent="0.3">
      <c r="A40" s="4" t="s">
        <v>385</v>
      </c>
      <c r="B40" s="2" t="s">
        <v>15</v>
      </c>
      <c r="C40" s="2" t="s">
        <v>784</v>
      </c>
      <c r="D40" s="2" t="s">
        <v>785</v>
      </c>
      <c r="E40" s="2"/>
      <c r="F40" s="2" t="s">
        <v>786</v>
      </c>
      <c r="G40" s="2"/>
      <c r="H40" s="2" t="s">
        <v>459</v>
      </c>
      <c r="I40" s="2"/>
      <c r="J40" s="2" t="s">
        <v>460</v>
      </c>
      <c r="K40" s="2" t="s">
        <v>363</v>
      </c>
      <c r="L40" s="2" t="s">
        <v>539</v>
      </c>
      <c r="M40" s="2" t="s">
        <v>32</v>
      </c>
      <c r="N40" s="2" t="s">
        <v>798</v>
      </c>
      <c r="O40" s="2" t="s">
        <v>540</v>
      </c>
      <c r="P40" s="2" t="s">
        <v>19</v>
      </c>
      <c r="Q40" s="2"/>
      <c r="R40" s="2"/>
      <c r="S40" s="2" t="s">
        <v>19</v>
      </c>
      <c r="T40" s="2" t="s">
        <v>19</v>
      </c>
      <c r="U40" s="2"/>
      <c r="V40" s="2" t="s">
        <v>738</v>
      </c>
      <c r="W40" s="2" t="s">
        <v>20</v>
      </c>
      <c r="X40" s="2" t="s">
        <v>15</v>
      </c>
      <c r="Y40" s="2" t="s">
        <v>386</v>
      </c>
      <c r="Z40" s="2"/>
      <c r="AA40" s="2" t="s">
        <v>10</v>
      </c>
      <c r="AB40" s="5" t="s">
        <v>33</v>
      </c>
    </row>
    <row r="41" spans="1:28" ht="82.8" x14ac:dyDescent="0.3">
      <c r="A41" s="4" t="s">
        <v>385</v>
      </c>
      <c r="B41" s="2" t="s">
        <v>15</v>
      </c>
      <c r="C41" s="2" t="s">
        <v>784</v>
      </c>
      <c r="D41" s="2" t="s">
        <v>785</v>
      </c>
      <c r="E41" s="2"/>
      <c r="F41" s="2" t="s">
        <v>786</v>
      </c>
      <c r="G41" s="2"/>
      <c r="H41" s="2" t="s">
        <v>461</v>
      </c>
      <c r="I41" s="2" t="s">
        <v>462</v>
      </c>
      <c r="J41" s="2" t="s">
        <v>463</v>
      </c>
      <c r="K41" s="2" t="s">
        <v>363</v>
      </c>
      <c r="L41" s="2" t="s">
        <v>539</v>
      </c>
      <c r="M41" s="2" t="s">
        <v>32</v>
      </c>
      <c r="N41" s="2" t="s">
        <v>799</v>
      </c>
      <c r="O41" s="2" t="s">
        <v>540</v>
      </c>
      <c r="P41" s="2" t="s">
        <v>19</v>
      </c>
      <c r="Q41" s="2"/>
      <c r="R41" s="2" t="s">
        <v>800</v>
      </c>
      <c r="S41" s="2" t="s">
        <v>33</v>
      </c>
      <c r="T41" s="2" t="s">
        <v>597</v>
      </c>
      <c r="U41" s="2"/>
      <c r="V41" s="2" t="s">
        <v>738</v>
      </c>
      <c r="W41" s="2" t="s">
        <v>20</v>
      </c>
      <c r="X41" s="2" t="s">
        <v>15</v>
      </c>
      <c r="Y41" s="2" t="s">
        <v>386</v>
      </c>
      <c r="Z41" s="2"/>
      <c r="AA41" s="2" t="s">
        <v>10</v>
      </c>
      <c r="AB41" s="5" t="s">
        <v>33</v>
      </c>
    </row>
    <row r="42" spans="1:28" ht="55.2" x14ac:dyDescent="0.3">
      <c r="A42" s="4" t="s">
        <v>385</v>
      </c>
      <c r="B42" s="2" t="s">
        <v>15</v>
      </c>
      <c r="C42" s="2" t="s">
        <v>784</v>
      </c>
      <c r="D42" s="2" t="s">
        <v>785</v>
      </c>
      <c r="E42" s="2"/>
      <c r="F42" s="2" t="s">
        <v>786</v>
      </c>
      <c r="G42" s="2"/>
      <c r="H42" s="2" t="s">
        <v>464</v>
      </c>
      <c r="I42" s="2" t="s">
        <v>465</v>
      </c>
      <c r="J42" s="2" t="s">
        <v>466</v>
      </c>
      <c r="K42" s="2" t="s">
        <v>18</v>
      </c>
      <c r="L42" s="2" t="s">
        <v>539</v>
      </c>
      <c r="M42" s="2"/>
      <c r="N42" s="2"/>
      <c r="O42" s="2" t="s">
        <v>540</v>
      </c>
      <c r="P42" s="2"/>
      <c r="Q42" s="2"/>
      <c r="R42" s="2"/>
      <c r="S42" s="2" t="s">
        <v>33</v>
      </c>
      <c r="T42" s="2" t="s">
        <v>33</v>
      </c>
      <c r="U42" s="2"/>
      <c r="V42" s="2" t="s">
        <v>738</v>
      </c>
      <c r="W42" s="2" t="s">
        <v>20</v>
      </c>
      <c r="X42" s="2" t="s">
        <v>15</v>
      </c>
      <c r="Y42" s="2" t="s">
        <v>386</v>
      </c>
      <c r="Z42" s="2"/>
      <c r="AA42" s="2" t="s">
        <v>10</v>
      </c>
      <c r="AB42" s="5" t="s">
        <v>19</v>
      </c>
    </row>
    <row r="43" spans="1:28" ht="55.2" x14ac:dyDescent="0.3">
      <c r="A43" s="4" t="s">
        <v>385</v>
      </c>
      <c r="B43" s="2" t="s">
        <v>15</v>
      </c>
      <c r="C43" s="2" t="s">
        <v>784</v>
      </c>
      <c r="D43" s="2" t="s">
        <v>785</v>
      </c>
      <c r="E43" s="2"/>
      <c r="F43" s="2" t="s">
        <v>786</v>
      </c>
      <c r="G43" s="2"/>
      <c r="H43" s="2" t="s">
        <v>467</v>
      </c>
      <c r="I43" s="2"/>
      <c r="J43" s="2" t="s">
        <v>468</v>
      </c>
      <c r="K43" s="2" t="s">
        <v>469</v>
      </c>
      <c r="L43" s="2"/>
      <c r="M43" s="2"/>
      <c r="N43" s="2"/>
      <c r="O43" s="2" t="s">
        <v>540</v>
      </c>
      <c r="P43" s="2" t="s">
        <v>19</v>
      </c>
      <c r="Q43" s="2"/>
      <c r="R43" s="2" t="s">
        <v>801</v>
      </c>
      <c r="S43" s="2" t="s">
        <v>19</v>
      </c>
      <c r="T43" s="2" t="s">
        <v>19</v>
      </c>
      <c r="U43" s="2"/>
      <c r="V43" s="2" t="s">
        <v>738</v>
      </c>
      <c r="W43" s="2" t="s">
        <v>20</v>
      </c>
      <c r="X43" s="2" t="s">
        <v>15</v>
      </c>
      <c r="Y43" s="2" t="s">
        <v>386</v>
      </c>
      <c r="Z43" s="2"/>
      <c r="AA43" s="2" t="s">
        <v>10</v>
      </c>
      <c r="AB43" s="5" t="s">
        <v>19</v>
      </c>
    </row>
    <row r="44" spans="1:28" ht="55.2" x14ac:dyDescent="0.3">
      <c r="A44" s="4" t="s">
        <v>385</v>
      </c>
      <c r="B44" s="2" t="s">
        <v>15</v>
      </c>
      <c r="C44" s="2"/>
      <c r="D44" s="2" t="s">
        <v>546</v>
      </c>
      <c r="E44" s="2"/>
      <c r="F44" s="2" t="s">
        <v>802</v>
      </c>
      <c r="G44" s="2"/>
      <c r="H44" s="2" t="s">
        <v>470</v>
      </c>
      <c r="I44" s="2"/>
      <c r="J44" s="2">
        <v>191248</v>
      </c>
      <c r="K44" s="2" t="s">
        <v>18</v>
      </c>
      <c r="L44" s="2" t="s">
        <v>539</v>
      </c>
      <c r="M44" s="2" t="s">
        <v>32</v>
      </c>
      <c r="N44" s="2" t="s">
        <v>803</v>
      </c>
      <c r="O44" s="2" t="s">
        <v>540</v>
      </c>
      <c r="P44" s="2" t="s">
        <v>33</v>
      </c>
      <c r="Q44" s="2"/>
      <c r="R44" s="2"/>
      <c r="S44" s="2" t="s">
        <v>19</v>
      </c>
      <c r="T44" s="2" t="s">
        <v>33</v>
      </c>
      <c r="U44" s="2"/>
      <c r="V44" s="2" t="s">
        <v>744</v>
      </c>
      <c r="W44" s="2" t="s">
        <v>20</v>
      </c>
      <c r="X44" s="2" t="s">
        <v>15</v>
      </c>
      <c r="Y44" s="2" t="s">
        <v>386</v>
      </c>
      <c r="Z44" s="2"/>
      <c r="AA44" s="2" t="s">
        <v>10</v>
      </c>
      <c r="AB44" s="5" t="s">
        <v>33</v>
      </c>
    </row>
    <row r="45" spans="1:28" ht="55.2" x14ac:dyDescent="0.3">
      <c r="A45" s="4" t="s">
        <v>385</v>
      </c>
      <c r="B45" s="2" t="s">
        <v>15</v>
      </c>
      <c r="C45" s="2"/>
      <c r="D45" s="2" t="s">
        <v>546</v>
      </c>
      <c r="E45" s="2"/>
      <c r="F45" s="2" t="s">
        <v>802</v>
      </c>
      <c r="G45" s="2"/>
      <c r="H45" s="2" t="s">
        <v>147</v>
      </c>
      <c r="I45" s="2"/>
      <c r="J45" s="2">
        <v>191004</v>
      </c>
      <c r="K45" s="2" t="s">
        <v>18</v>
      </c>
      <c r="L45" s="2" t="s">
        <v>539</v>
      </c>
      <c r="M45" s="2" t="s">
        <v>32</v>
      </c>
      <c r="N45" s="2" t="s">
        <v>804</v>
      </c>
      <c r="O45" s="2" t="s">
        <v>540</v>
      </c>
      <c r="P45" s="2" t="s">
        <v>33</v>
      </c>
      <c r="Q45" s="2"/>
      <c r="R45" s="2"/>
      <c r="S45" s="2" t="s">
        <v>19</v>
      </c>
      <c r="T45" s="2" t="s">
        <v>33</v>
      </c>
      <c r="U45" s="2"/>
      <c r="V45" s="2" t="s">
        <v>744</v>
      </c>
      <c r="W45" s="2" t="s">
        <v>20</v>
      </c>
      <c r="X45" s="2" t="s">
        <v>15</v>
      </c>
      <c r="Y45" s="2" t="s">
        <v>386</v>
      </c>
      <c r="Z45" s="2"/>
      <c r="AA45" s="2" t="s">
        <v>10</v>
      </c>
      <c r="AB45" s="5" t="s">
        <v>33</v>
      </c>
    </row>
    <row r="46" spans="1:28" ht="55.2" x14ac:dyDescent="0.3">
      <c r="A46" s="4" t="s">
        <v>385</v>
      </c>
      <c r="B46" s="2" t="s">
        <v>15</v>
      </c>
      <c r="C46" s="2"/>
      <c r="D46" s="2" t="s">
        <v>546</v>
      </c>
      <c r="E46" s="2"/>
      <c r="F46" s="2" t="s">
        <v>802</v>
      </c>
      <c r="G46" s="2"/>
      <c r="H46" s="2" t="s">
        <v>38</v>
      </c>
      <c r="I46" s="2"/>
      <c r="J46" s="2">
        <v>190987</v>
      </c>
      <c r="K46" s="2" t="s">
        <v>18</v>
      </c>
      <c r="L46" s="2" t="s">
        <v>539</v>
      </c>
      <c r="M46" s="2" t="s">
        <v>32</v>
      </c>
      <c r="N46" s="2" t="s">
        <v>805</v>
      </c>
      <c r="O46" s="2" t="s">
        <v>540</v>
      </c>
      <c r="P46" s="2" t="s">
        <v>33</v>
      </c>
      <c r="Q46" s="2"/>
      <c r="R46" s="2" t="s">
        <v>806</v>
      </c>
      <c r="S46" s="2" t="s">
        <v>19</v>
      </c>
      <c r="T46" s="2" t="s">
        <v>33</v>
      </c>
      <c r="U46" s="2"/>
      <c r="V46" s="2" t="s">
        <v>744</v>
      </c>
      <c r="W46" s="2" t="s">
        <v>20</v>
      </c>
      <c r="X46" s="2" t="s">
        <v>15</v>
      </c>
      <c r="Y46" s="2" t="s">
        <v>386</v>
      </c>
      <c r="Z46" s="2"/>
      <c r="AA46" s="2" t="s">
        <v>10</v>
      </c>
      <c r="AB46" s="5" t="s">
        <v>33</v>
      </c>
    </row>
    <row r="47" spans="1:28" ht="55.2" x14ac:dyDescent="0.3">
      <c r="A47" s="4" t="s">
        <v>385</v>
      </c>
      <c r="B47" s="2" t="s">
        <v>15</v>
      </c>
      <c r="C47" s="2"/>
      <c r="D47" s="2" t="s">
        <v>546</v>
      </c>
      <c r="E47" s="2"/>
      <c r="F47" s="2" t="s">
        <v>802</v>
      </c>
      <c r="G47" s="2"/>
      <c r="H47" s="2" t="s">
        <v>471</v>
      </c>
      <c r="I47" s="2"/>
      <c r="J47" s="2">
        <v>190988</v>
      </c>
      <c r="K47" s="2" t="s">
        <v>18</v>
      </c>
      <c r="L47" s="2" t="s">
        <v>539</v>
      </c>
      <c r="M47" s="2" t="s">
        <v>32</v>
      </c>
      <c r="N47" s="2" t="s">
        <v>807</v>
      </c>
      <c r="O47" s="2" t="s">
        <v>540</v>
      </c>
      <c r="P47" s="2" t="s">
        <v>33</v>
      </c>
      <c r="Q47" s="2"/>
      <c r="R47" s="2"/>
      <c r="S47" s="2" t="s">
        <v>19</v>
      </c>
      <c r="T47" s="2" t="s">
        <v>33</v>
      </c>
      <c r="U47" s="2"/>
      <c r="V47" s="2" t="s">
        <v>744</v>
      </c>
      <c r="W47" s="2" t="s">
        <v>20</v>
      </c>
      <c r="X47" s="2" t="s">
        <v>15</v>
      </c>
      <c r="Y47" s="2" t="s">
        <v>386</v>
      </c>
      <c r="Z47" s="2"/>
      <c r="AA47" s="2" t="s">
        <v>10</v>
      </c>
      <c r="AB47" s="5" t="s">
        <v>33</v>
      </c>
    </row>
    <row r="48" spans="1:28" ht="69" x14ac:dyDescent="0.3">
      <c r="A48" s="4" t="s">
        <v>385</v>
      </c>
      <c r="B48" s="2" t="s">
        <v>15</v>
      </c>
      <c r="C48" s="2" t="s">
        <v>808</v>
      </c>
      <c r="D48" s="2" t="s">
        <v>808</v>
      </c>
      <c r="E48" s="2"/>
      <c r="F48" s="2" t="s">
        <v>809</v>
      </c>
      <c r="G48" s="2"/>
      <c r="H48" s="2" t="s">
        <v>472</v>
      </c>
      <c r="I48" s="2" t="s">
        <v>473</v>
      </c>
      <c r="J48" s="2" t="s">
        <v>474</v>
      </c>
      <c r="K48" s="2" t="s">
        <v>363</v>
      </c>
      <c r="L48" s="2" t="s">
        <v>539</v>
      </c>
      <c r="M48" s="2" t="s">
        <v>32</v>
      </c>
      <c r="N48" s="2" t="s">
        <v>810</v>
      </c>
      <c r="O48" s="2" t="s">
        <v>540</v>
      </c>
      <c r="P48" s="2" t="s">
        <v>19</v>
      </c>
      <c r="Q48" s="2"/>
      <c r="R48" s="2" t="s">
        <v>811</v>
      </c>
      <c r="S48" s="2" t="s">
        <v>812</v>
      </c>
      <c r="T48" s="2" t="s">
        <v>812</v>
      </c>
      <c r="U48" s="2"/>
      <c r="V48" s="2" t="s">
        <v>744</v>
      </c>
      <c r="W48" s="2" t="s">
        <v>20</v>
      </c>
      <c r="X48" s="2" t="s">
        <v>15</v>
      </c>
      <c r="Y48" s="2" t="s">
        <v>386</v>
      </c>
      <c r="Z48" s="2"/>
      <c r="AA48" s="2" t="s">
        <v>10</v>
      </c>
      <c r="AB48" s="5" t="s">
        <v>33</v>
      </c>
    </row>
    <row r="49" spans="1:28" ht="55.2" x14ac:dyDescent="0.3">
      <c r="A49" s="4" t="s">
        <v>385</v>
      </c>
      <c r="B49" s="2" t="s">
        <v>15</v>
      </c>
      <c r="C49" s="2" t="s">
        <v>808</v>
      </c>
      <c r="D49" s="2" t="s">
        <v>808</v>
      </c>
      <c r="E49" s="2"/>
      <c r="F49" s="2" t="s">
        <v>809</v>
      </c>
      <c r="G49" s="2"/>
      <c r="H49" s="2" t="s">
        <v>475</v>
      </c>
      <c r="I49" s="2" t="s">
        <v>476</v>
      </c>
      <c r="J49" s="2" t="s">
        <v>477</v>
      </c>
      <c r="K49" s="2" t="s">
        <v>18</v>
      </c>
      <c r="L49" s="2" t="s">
        <v>539</v>
      </c>
      <c r="M49" s="2"/>
      <c r="N49" s="2"/>
      <c r="O49" s="2" t="s">
        <v>540</v>
      </c>
      <c r="P49" s="2" t="s">
        <v>33</v>
      </c>
      <c r="Q49" s="2"/>
      <c r="R49" s="2"/>
      <c r="S49" s="2" t="s">
        <v>812</v>
      </c>
      <c r="T49" s="2" t="s">
        <v>812</v>
      </c>
      <c r="U49" s="2"/>
      <c r="V49" s="2" t="s">
        <v>744</v>
      </c>
      <c r="W49" s="2" t="s">
        <v>20</v>
      </c>
      <c r="X49" s="2" t="s">
        <v>15</v>
      </c>
      <c r="Y49" s="2" t="s">
        <v>386</v>
      </c>
      <c r="Z49" s="2"/>
      <c r="AA49" s="2" t="s">
        <v>10</v>
      </c>
      <c r="AB49" s="5" t="s">
        <v>19</v>
      </c>
    </row>
    <row r="50" spans="1:28" ht="317.39999999999998" x14ac:dyDescent="0.3">
      <c r="A50" s="4" t="s">
        <v>385</v>
      </c>
      <c r="B50" s="2" t="s">
        <v>15</v>
      </c>
      <c r="C50" s="2"/>
      <c r="D50" s="2" t="s">
        <v>740</v>
      </c>
      <c r="E50" s="2"/>
      <c r="F50" s="2" t="s">
        <v>809</v>
      </c>
      <c r="G50" s="2"/>
      <c r="H50" s="2" t="s">
        <v>478</v>
      </c>
      <c r="I50" s="2"/>
      <c r="J50" s="2" t="s">
        <v>479</v>
      </c>
      <c r="K50" s="2" t="s">
        <v>363</v>
      </c>
      <c r="L50" s="2" t="s">
        <v>539</v>
      </c>
      <c r="M50" s="2" t="s">
        <v>32</v>
      </c>
      <c r="N50" s="2" t="s">
        <v>813</v>
      </c>
      <c r="O50" s="2" t="s">
        <v>540</v>
      </c>
      <c r="P50" s="2" t="s">
        <v>19</v>
      </c>
      <c r="Q50" s="2"/>
      <c r="R50" s="2" t="s">
        <v>814</v>
      </c>
      <c r="S50" s="2" t="s">
        <v>19</v>
      </c>
      <c r="T50" s="2" t="s">
        <v>19</v>
      </c>
      <c r="U50" s="2"/>
      <c r="V50" s="2" t="s">
        <v>744</v>
      </c>
      <c r="W50" s="2" t="s">
        <v>20</v>
      </c>
      <c r="X50" s="2" t="s">
        <v>15</v>
      </c>
      <c r="Y50" s="2" t="s">
        <v>386</v>
      </c>
      <c r="Z50" s="2"/>
      <c r="AA50" s="2" t="s">
        <v>10</v>
      </c>
      <c r="AB50" s="5" t="s">
        <v>33</v>
      </c>
    </row>
    <row r="51" spans="1:28" ht="55.2" x14ac:dyDescent="0.3">
      <c r="A51" s="4" t="s">
        <v>480</v>
      </c>
      <c r="B51" s="2" t="s">
        <v>119</v>
      </c>
      <c r="C51" s="2" t="s">
        <v>815</v>
      </c>
      <c r="D51" s="2" t="s">
        <v>816</v>
      </c>
      <c r="E51" s="2"/>
      <c r="F51" s="2" t="s">
        <v>39</v>
      </c>
      <c r="G51" s="2" t="s">
        <v>481</v>
      </c>
      <c r="H51" s="2" t="s">
        <v>173</v>
      </c>
      <c r="I51" s="2" t="s">
        <v>174</v>
      </c>
      <c r="J51" s="2" t="s">
        <v>174</v>
      </c>
      <c r="K51" s="2" t="s">
        <v>57</v>
      </c>
      <c r="L51" s="2" t="s">
        <v>539</v>
      </c>
      <c r="M51" s="2" t="s">
        <v>32</v>
      </c>
      <c r="N51" s="2" t="s">
        <v>559</v>
      </c>
      <c r="O51" s="2" t="s">
        <v>540</v>
      </c>
      <c r="P51" s="2"/>
      <c r="Q51" s="2"/>
      <c r="R51" s="2" t="s">
        <v>817</v>
      </c>
      <c r="S51" s="2" t="s">
        <v>33</v>
      </c>
      <c r="T51" s="2" t="s">
        <v>33</v>
      </c>
      <c r="U51" s="2"/>
      <c r="V51" s="2" t="s">
        <v>818</v>
      </c>
      <c r="W51" s="2"/>
      <c r="X51" s="2" t="s">
        <v>119</v>
      </c>
      <c r="Y51" s="2" t="s">
        <v>386</v>
      </c>
      <c r="Z51" s="2"/>
      <c r="AA51" s="2" t="s">
        <v>10</v>
      </c>
      <c r="AB51" s="5" t="s">
        <v>33</v>
      </c>
    </row>
    <row r="52" spans="1:28" ht="55.2" x14ac:dyDescent="0.3">
      <c r="A52" s="4" t="s">
        <v>480</v>
      </c>
      <c r="B52" s="2" t="s">
        <v>119</v>
      </c>
      <c r="C52" s="2" t="s">
        <v>815</v>
      </c>
      <c r="D52" s="2" t="s">
        <v>816</v>
      </c>
      <c r="E52" s="2"/>
      <c r="F52" s="2" t="s">
        <v>39</v>
      </c>
      <c r="G52" s="2" t="s">
        <v>481</v>
      </c>
      <c r="H52" s="2" t="s">
        <v>175</v>
      </c>
      <c r="I52" s="2" t="s">
        <v>176</v>
      </c>
      <c r="J52" s="2" t="s">
        <v>176</v>
      </c>
      <c r="K52" s="2" t="s">
        <v>57</v>
      </c>
      <c r="L52" s="2" t="s">
        <v>539</v>
      </c>
      <c r="M52" s="2" t="s">
        <v>32</v>
      </c>
      <c r="N52" s="2" t="s">
        <v>559</v>
      </c>
      <c r="O52" s="2" t="s">
        <v>540</v>
      </c>
      <c r="P52" s="2"/>
      <c r="Q52" s="2"/>
      <c r="R52" s="2" t="s">
        <v>817</v>
      </c>
      <c r="S52" s="2" t="s">
        <v>33</v>
      </c>
      <c r="T52" s="2" t="s">
        <v>33</v>
      </c>
      <c r="U52" s="2"/>
      <c r="V52" s="2" t="s">
        <v>818</v>
      </c>
      <c r="W52" s="2"/>
      <c r="X52" s="2" t="s">
        <v>119</v>
      </c>
      <c r="Y52" s="2" t="s">
        <v>386</v>
      </c>
      <c r="Z52" s="2"/>
      <c r="AA52" s="2" t="s">
        <v>10</v>
      </c>
      <c r="AB52" s="5" t="s">
        <v>33</v>
      </c>
    </row>
    <row r="53" spans="1:28" ht="55.2" x14ac:dyDescent="0.3">
      <c r="A53" s="4" t="s">
        <v>480</v>
      </c>
      <c r="B53" s="2" t="s">
        <v>119</v>
      </c>
      <c r="C53" s="2" t="s">
        <v>815</v>
      </c>
      <c r="D53" s="2" t="s">
        <v>816</v>
      </c>
      <c r="E53" s="2"/>
      <c r="F53" s="2" t="s">
        <v>39</v>
      </c>
      <c r="G53" s="2" t="s">
        <v>481</v>
      </c>
      <c r="H53" s="2" t="s">
        <v>177</v>
      </c>
      <c r="I53" s="2" t="s">
        <v>178</v>
      </c>
      <c r="J53" s="2" t="s">
        <v>178</v>
      </c>
      <c r="K53" s="2" t="s">
        <v>57</v>
      </c>
      <c r="L53" s="2" t="s">
        <v>539</v>
      </c>
      <c r="M53" s="2" t="s">
        <v>32</v>
      </c>
      <c r="N53" s="2" t="s">
        <v>559</v>
      </c>
      <c r="O53" s="2" t="s">
        <v>540</v>
      </c>
      <c r="P53" s="2"/>
      <c r="Q53" s="2"/>
      <c r="R53" s="2" t="s">
        <v>817</v>
      </c>
      <c r="S53" s="2" t="s">
        <v>33</v>
      </c>
      <c r="T53" s="2" t="s">
        <v>33</v>
      </c>
      <c r="U53" s="2"/>
      <c r="V53" s="2" t="s">
        <v>818</v>
      </c>
      <c r="W53" s="2"/>
      <c r="X53" s="2" t="s">
        <v>119</v>
      </c>
      <c r="Y53" s="2" t="s">
        <v>386</v>
      </c>
      <c r="Z53" s="2"/>
      <c r="AA53" s="2" t="s">
        <v>10</v>
      </c>
      <c r="AB53" s="5" t="s">
        <v>33</v>
      </c>
    </row>
    <row r="54" spans="1:28" ht="55.2" x14ac:dyDescent="0.3">
      <c r="A54" s="4" t="s">
        <v>480</v>
      </c>
      <c r="B54" s="2" t="s">
        <v>119</v>
      </c>
      <c r="C54" s="2" t="s">
        <v>815</v>
      </c>
      <c r="D54" s="2" t="s">
        <v>816</v>
      </c>
      <c r="E54" s="2"/>
      <c r="F54" s="2" t="s">
        <v>39</v>
      </c>
      <c r="G54" s="2" t="s">
        <v>481</v>
      </c>
      <c r="H54" s="2" t="s">
        <v>179</v>
      </c>
      <c r="I54" s="2" t="s">
        <v>180</v>
      </c>
      <c r="J54" s="2" t="s">
        <v>180</v>
      </c>
      <c r="K54" s="2" t="s">
        <v>57</v>
      </c>
      <c r="L54" s="2" t="s">
        <v>539</v>
      </c>
      <c r="M54" s="2" t="s">
        <v>32</v>
      </c>
      <c r="N54" s="2" t="s">
        <v>559</v>
      </c>
      <c r="O54" s="2" t="s">
        <v>540</v>
      </c>
      <c r="P54" s="2"/>
      <c r="Q54" s="2"/>
      <c r="R54" s="2" t="s">
        <v>817</v>
      </c>
      <c r="S54" s="2" t="s">
        <v>33</v>
      </c>
      <c r="T54" s="2" t="s">
        <v>33</v>
      </c>
      <c r="U54" s="2"/>
      <c r="V54" s="2" t="s">
        <v>818</v>
      </c>
      <c r="W54" s="2"/>
      <c r="X54" s="2" t="s">
        <v>119</v>
      </c>
      <c r="Y54" s="2" t="s">
        <v>386</v>
      </c>
      <c r="Z54" s="2"/>
      <c r="AA54" s="2" t="s">
        <v>10</v>
      </c>
      <c r="AB54" s="5" t="s">
        <v>33</v>
      </c>
    </row>
    <row r="55" spans="1:28" ht="69" x14ac:dyDescent="0.3">
      <c r="A55" s="4" t="s">
        <v>480</v>
      </c>
      <c r="B55" s="2" t="s">
        <v>119</v>
      </c>
      <c r="C55" s="2" t="s">
        <v>815</v>
      </c>
      <c r="D55" s="2" t="s">
        <v>816</v>
      </c>
      <c r="E55" s="2"/>
      <c r="F55" s="2" t="s">
        <v>39</v>
      </c>
      <c r="G55" s="2" t="s">
        <v>481</v>
      </c>
      <c r="H55" s="2" t="s">
        <v>171</v>
      </c>
      <c r="I55" s="2" t="s">
        <v>172</v>
      </c>
      <c r="J55" s="2" t="s">
        <v>172</v>
      </c>
      <c r="K55" s="2" t="s">
        <v>57</v>
      </c>
      <c r="L55" s="2" t="s">
        <v>539</v>
      </c>
      <c r="M55" s="2" t="s">
        <v>32</v>
      </c>
      <c r="N55" s="2" t="s">
        <v>616</v>
      </c>
      <c r="O55" s="2" t="s">
        <v>540</v>
      </c>
      <c r="P55" s="2"/>
      <c r="Q55" s="2"/>
      <c r="R55" s="2" t="s">
        <v>817</v>
      </c>
      <c r="S55" s="2" t="s">
        <v>33</v>
      </c>
      <c r="T55" s="2" t="s">
        <v>33</v>
      </c>
      <c r="U55" s="2"/>
      <c r="V55" s="2" t="s">
        <v>818</v>
      </c>
      <c r="W55" s="2"/>
      <c r="X55" s="2" t="s">
        <v>119</v>
      </c>
      <c r="Y55" s="2" t="s">
        <v>386</v>
      </c>
      <c r="Z55" s="2"/>
      <c r="AA55" s="2" t="s">
        <v>10</v>
      </c>
      <c r="AB55" s="5" t="s">
        <v>33</v>
      </c>
    </row>
    <row r="56" spans="1:28" ht="69" x14ac:dyDescent="0.3">
      <c r="A56" s="4" t="s">
        <v>480</v>
      </c>
      <c r="B56" s="2" t="s">
        <v>119</v>
      </c>
      <c r="C56" s="2" t="s">
        <v>815</v>
      </c>
      <c r="D56" s="2" t="s">
        <v>816</v>
      </c>
      <c r="E56" s="2"/>
      <c r="F56" s="2" t="s">
        <v>39</v>
      </c>
      <c r="G56" s="2" t="s">
        <v>481</v>
      </c>
      <c r="H56" s="2" t="s">
        <v>165</v>
      </c>
      <c r="I56" s="2" t="s">
        <v>166</v>
      </c>
      <c r="J56" s="2" t="s">
        <v>166</v>
      </c>
      <c r="K56" s="2" t="s">
        <v>57</v>
      </c>
      <c r="L56" s="2" t="s">
        <v>539</v>
      </c>
      <c r="M56" s="2" t="s">
        <v>32</v>
      </c>
      <c r="N56" s="2" t="s">
        <v>612</v>
      </c>
      <c r="O56" s="2" t="s">
        <v>540</v>
      </c>
      <c r="P56" s="2"/>
      <c r="Q56" s="2"/>
      <c r="R56" s="2" t="s">
        <v>817</v>
      </c>
      <c r="S56" s="2" t="s">
        <v>33</v>
      </c>
      <c r="T56" s="2" t="s">
        <v>33</v>
      </c>
      <c r="U56" s="2"/>
      <c r="V56" s="2" t="s">
        <v>818</v>
      </c>
      <c r="W56" s="2"/>
      <c r="X56" s="2" t="s">
        <v>119</v>
      </c>
      <c r="Y56" s="2" t="s">
        <v>386</v>
      </c>
      <c r="Z56" s="2"/>
      <c r="AA56" s="2" t="s">
        <v>10</v>
      </c>
      <c r="AB56" s="5" t="s">
        <v>33</v>
      </c>
    </row>
    <row r="57" spans="1:28" ht="55.2" x14ac:dyDescent="0.3">
      <c r="A57" s="4" t="s">
        <v>480</v>
      </c>
      <c r="B57" s="2" t="s">
        <v>119</v>
      </c>
      <c r="C57" s="2" t="s">
        <v>819</v>
      </c>
      <c r="D57" s="2" t="s">
        <v>820</v>
      </c>
      <c r="E57" s="2"/>
      <c r="F57" s="2" t="s">
        <v>38</v>
      </c>
      <c r="G57" s="2" t="s">
        <v>481</v>
      </c>
      <c r="H57" s="2" t="s">
        <v>53</v>
      </c>
      <c r="I57" s="2" t="s">
        <v>189</v>
      </c>
      <c r="J57" s="2" t="s">
        <v>189</v>
      </c>
      <c r="K57" s="2" t="s">
        <v>18</v>
      </c>
      <c r="L57" s="2" t="s">
        <v>539</v>
      </c>
      <c r="M57" s="2" t="s">
        <v>190</v>
      </c>
      <c r="N57" s="2" t="s">
        <v>190</v>
      </c>
      <c r="O57" s="2" t="s">
        <v>540</v>
      </c>
      <c r="P57" s="2"/>
      <c r="Q57" s="2"/>
      <c r="R57" s="2" t="s">
        <v>821</v>
      </c>
      <c r="S57" s="2" t="s">
        <v>33</v>
      </c>
      <c r="T57" s="2" t="s">
        <v>33</v>
      </c>
      <c r="U57" s="2"/>
      <c r="V57" s="2" t="s">
        <v>822</v>
      </c>
      <c r="W57" s="2"/>
      <c r="X57" s="2" t="s">
        <v>119</v>
      </c>
      <c r="Y57" s="2" t="s">
        <v>386</v>
      </c>
      <c r="Z57" s="2"/>
      <c r="AA57" s="2" t="s">
        <v>10</v>
      </c>
      <c r="AB57" s="5" t="s">
        <v>19</v>
      </c>
    </row>
    <row r="58" spans="1:28" ht="69" x14ac:dyDescent="0.3">
      <c r="A58" s="4" t="s">
        <v>480</v>
      </c>
      <c r="B58" s="2" t="s">
        <v>119</v>
      </c>
      <c r="C58" s="2" t="s">
        <v>819</v>
      </c>
      <c r="D58" s="2" t="s">
        <v>820</v>
      </c>
      <c r="E58" s="2"/>
      <c r="F58" s="2" t="s">
        <v>38</v>
      </c>
      <c r="G58" s="2" t="s">
        <v>481</v>
      </c>
      <c r="H58" s="2" t="s">
        <v>482</v>
      </c>
      <c r="I58" s="2" t="s">
        <v>192</v>
      </c>
      <c r="J58" s="2" t="s">
        <v>192</v>
      </c>
      <c r="K58" s="2" t="s">
        <v>57</v>
      </c>
      <c r="L58" s="2" t="s">
        <v>539</v>
      </c>
      <c r="M58" s="2" t="s">
        <v>32</v>
      </c>
      <c r="N58" s="2" t="s">
        <v>621</v>
      </c>
      <c r="O58" s="2" t="s">
        <v>540</v>
      </c>
      <c r="P58" s="2"/>
      <c r="Q58" s="2"/>
      <c r="R58" s="2" t="s">
        <v>821</v>
      </c>
      <c r="S58" s="2" t="s">
        <v>33</v>
      </c>
      <c r="T58" s="2" t="s">
        <v>623</v>
      </c>
      <c r="U58" s="2"/>
      <c r="V58" s="2" t="s">
        <v>822</v>
      </c>
      <c r="W58" s="2"/>
      <c r="X58" s="2" t="s">
        <v>119</v>
      </c>
      <c r="Y58" s="2" t="s">
        <v>386</v>
      </c>
      <c r="Z58" s="2"/>
      <c r="AA58" s="2" t="s">
        <v>10</v>
      </c>
      <c r="AB58" s="5" t="s">
        <v>33</v>
      </c>
    </row>
    <row r="59" spans="1:28" ht="110.4" x14ac:dyDescent="0.3">
      <c r="A59" s="4" t="s">
        <v>480</v>
      </c>
      <c r="B59" s="2" t="s">
        <v>119</v>
      </c>
      <c r="C59" s="2" t="s">
        <v>819</v>
      </c>
      <c r="D59" s="2" t="s">
        <v>820</v>
      </c>
      <c r="E59" s="2"/>
      <c r="F59" s="2" t="s">
        <v>38</v>
      </c>
      <c r="G59" s="2" t="s">
        <v>481</v>
      </c>
      <c r="H59" s="2" t="s">
        <v>195</v>
      </c>
      <c r="I59" s="2"/>
      <c r="J59" s="2" t="s">
        <v>196</v>
      </c>
      <c r="K59" s="2" t="s">
        <v>483</v>
      </c>
      <c r="L59" s="2" t="s">
        <v>555</v>
      </c>
      <c r="M59" s="2" t="s">
        <v>190</v>
      </c>
      <c r="N59" s="2" t="s">
        <v>190</v>
      </c>
      <c r="O59" s="2" t="s">
        <v>540</v>
      </c>
      <c r="P59" s="2"/>
      <c r="Q59" s="2"/>
      <c r="R59" s="2" t="s">
        <v>821</v>
      </c>
      <c r="S59" s="2" t="s">
        <v>19</v>
      </c>
      <c r="T59" s="2" t="s">
        <v>19</v>
      </c>
      <c r="U59" s="2"/>
      <c r="V59" s="2" t="s">
        <v>822</v>
      </c>
      <c r="W59" s="2"/>
      <c r="X59" s="2" t="s">
        <v>119</v>
      </c>
      <c r="Y59" s="2" t="s">
        <v>386</v>
      </c>
      <c r="Z59" s="2"/>
      <c r="AA59" s="2" t="s">
        <v>10</v>
      </c>
      <c r="AB59" s="5" t="s">
        <v>19</v>
      </c>
    </row>
    <row r="60" spans="1:28" ht="110.4" x14ac:dyDescent="0.3">
      <c r="A60" s="4" t="s">
        <v>480</v>
      </c>
      <c r="B60" s="2" t="s">
        <v>119</v>
      </c>
      <c r="C60" s="2" t="s">
        <v>819</v>
      </c>
      <c r="D60" s="2" t="s">
        <v>820</v>
      </c>
      <c r="E60" s="2"/>
      <c r="F60" s="2" t="s">
        <v>38</v>
      </c>
      <c r="G60" s="2" t="s">
        <v>481</v>
      </c>
      <c r="H60" s="2" t="s">
        <v>197</v>
      </c>
      <c r="I60" s="2"/>
      <c r="J60" s="2" t="s">
        <v>198</v>
      </c>
      <c r="K60" s="2" t="s">
        <v>483</v>
      </c>
      <c r="L60" s="2" t="s">
        <v>555</v>
      </c>
      <c r="M60" s="2" t="s">
        <v>190</v>
      </c>
      <c r="N60" s="2" t="s">
        <v>190</v>
      </c>
      <c r="O60" s="2" t="s">
        <v>540</v>
      </c>
      <c r="P60" s="2"/>
      <c r="Q60" s="2"/>
      <c r="R60" s="2" t="s">
        <v>821</v>
      </c>
      <c r="S60" s="2" t="s">
        <v>19</v>
      </c>
      <c r="T60" s="2" t="s">
        <v>19</v>
      </c>
      <c r="U60" s="2"/>
      <c r="V60" s="2" t="s">
        <v>822</v>
      </c>
      <c r="W60" s="2"/>
      <c r="X60" s="2" t="s">
        <v>119</v>
      </c>
      <c r="Y60" s="2" t="s">
        <v>386</v>
      </c>
      <c r="Z60" s="2"/>
      <c r="AA60" s="2" t="s">
        <v>10</v>
      </c>
      <c r="AB60" s="5" t="s">
        <v>19</v>
      </c>
    </row>
    <row r="61" spans="1:28" ht="110.4" x14ac:dyDescent="0.3">
      <c r="A61" s="4" t="s">
        <v>480</v>
      </c>
      <c r="B61" s="2" t="s">
        <v>119</v>
      </c>
      <c r="C61" s="2" t="s">
        <v>819</v>
      </c>
      <c r="D61" s="2" t="s">
        <v>820</v>
      </c>
      <c r="E61" s="2"/>
      <c r="F61" s="2" t="s">
        <v>38</v>
      </c>
      <c r="G61" s="2" t="s">
        <v>481</v>
      </c>
      <c r="H61" s="2" t="s">
        <v>199</v>
      </c>
      <c r="I61" s="2"/>
      <c r="J61" s="2" t="s">
        <v>200</v>
      </c>
      <c r="K61" s="2" t="s">
        <v>483</v>
      </c>
      <c r="L61" s="2" t="s">
        <v>555</v>
      </c>
      <c r="M61" s="2" t="s">
        <v>190</v>
      </c>
      <c r="N61" s="2" t="s">
        <v>190</v>
      </c>
      <c r="O61" s="2" t="s">
        <v>540</v>
      </c>
      <c r="P61" s="2"/>
      <c r="Q61" s="2"/>
      <c r="R61" s="2" t="s">
        <v>821</v>
      </c>
      <c r="S61" s="2" t="s">
        <v>19</v>
      </c>
      <c r="T61" s="2" t="s">
        <v>19</v>
      </c>
      <c r="U61" s="2"/>
      <c r="V61" s="2" t="s">
        <v>822</v>
      </c>
      <c r="W61" s="2"/>
      <c r="X61" s="2" t="s">
        <v>119</v>
      </c>
      <c r="Y61" s="2" t="s">
        <v>386</v>
      </c>
      <c r="Z61" s="2"/>
      <c r="AA61" s="2" t="s">
        <v>10</v>
      </c>
      <c r="AB61" s="5" t="s">
        <v>19</v>
      </c>
    </row>
    <row r="62" spans="1:28" ht="55.2" x14ac:dyDescent="0.3">
      <c r="A62" s="4" t="s">
        <v>480</v>
      </c>
      <c r="B62" s="2" t="s">
        <v>119</v>
      </c>
      <c r="C62" s="2" t="s">
        <v>819</v>
      </c>
      <c r="D62" s="2" t="s">
        <v>820</v>
      </c>
      <c r="E62" s="2"/>
      <c r="F62" s="2" t="s">
        <v>38</v>
      </c>
      <c r="G62" s="2" t="s">
        <v>481</v>
      </c>
      <c r="H62" s="2" t="s">
        <v>201</v>
      </c>
      <c r="I62" s="2"/>
      <c r="J62" s="2" t="s">
        <v>202</v>
      </c>
      <c r="K62" s="2" t="s">
        <v>18</v>
      </c>
      <c r="L62" s="2" t="s">
        <v>555</v>
      </c>
      <c r="M62" s="2" t="s">
        <v>190</v>
      </c>
      <c r="N62" s="2" t="s">
        <v>190</v>
      </c>
      <c r="O62" s="2" t="s">
        <v>540</v>
      </c>
      <c r="P62" s="2"/>
      <c r="Q62" s="2"/>
      <c r="R62" s="2" t="s">
        <v>821</v>
      </c>
      <c r="S62" s="2" t="s">
        <v>19</v>
      </c>
      <c r="T62" s="2" t="s">
        <v>19</v>
      </c>
      <c r="U62" s="2"/>
      <c r="V62" s="2" t="s">
        <v>822</v>
      </c>
      <c r="W62" s="2"/>
      <c r="X62" s="2" t="s">
        <v>119</v>
      </c>
      <c r="Y62" s="2" t="s">
        <v>386</v>
      </c>
      <c r="Z62" s="2"/>
      <c r="AA62" s="2" t="s">
        <v>10</v>
      </c>
      <c r="AB62" s="5" t="s">
        <v>19</v>
      </c>
    </row>
    <row r="63" spans="1:28" ht="55.2" x14ac:dyDescent="0.3">
      <c r="A63" s="4" t="s">
        <v>480</v>
      </c>
      <c r="B63" s="2" t="s">
        <v>119</v>
      </c>
      <c r="C63" s="2" t="s">
        <v>819</v>
      </c>
      <c r="D63" s="2" t="s">
        <v>820</v>
      </c>
      <c r="E63" s="2"/>
      <c r="F63" s="2" t="s">
        <v>38</v>
      </c>
      <c r="G63" s="2" t="s">
        <v>481</v>
      </c>
      <c r="H63" s="2" t="s">
        <v>203</v>
      </c>
      <c r="I63" s="2" t="s">
        <v>48</v>
      </c>
      <c r="J63" s="2" t="s">
        <v>204</v>
      </c>
      <c r="K63" s="2" t="s">
        <v>18</v>
      </c>
      <c r="L63" s="2" t="s">
        <v>555</v>
      </c>
      <c r="M63" s="2" t="s">
        <v>190</v>
      </c>
      <c r="N63" s="2" t="s">
        <v>823</v>
      </c>
      <c r="O63" s="2" t="s">
        <v>540</v>
      </c>
      <c r="P63" s="2"/>
      <c r="Q63" s="2"/>
      <c r="R63" s="2" t="s">
        <v>821</v>
      </c>
      <c r="S63" s="2" t="s">
        <v>33</v>
      </c>
      <c r="T63" s="2" t="s">
        <v>623</v>
      </c>
      <c r="U63" s="2"/>
      <c r="V63" s="2" t="s">
        <v>822</v>
      </c>
      <c r="W63" s="2"/>
      <c r="X63" s="2" t="s">
        <v>119</v>
      </c>
      <c r="Y63" s="2" t="s">
        <v>386</v>
      </c>
      <c r="Z63" s="2"/>
      <c r="AA63" s="2" t="s">
        <v>10</v>
      </c>
      <c r="AB63" s="5" t="s">
        <v>19</v>
      </c>
    </row>
    <row r="64" spans="1:28" ht="55.2" x14ac:dyDescent="0.3">
      <c r="A64" s="4" t="s">
        <v>480</v>
      </c>
      <c r="B64" s="2" t="s">
        <v>119</v>
      </c>
      <c r="C64" s="2" t="s">
        <v>819</v>
      </c>
      <c r="D64" s="2" t="s">
        <v>820</v>
      </c>
      <c r="E64" s="2"/>
      <c r="F64" s="2" t="s">
        <v>38</v>
      </c>
      <c r="G64" s="2" t="s">
        <v>481</v>
      </c>
      <c r="H64" s="2" t="s">
        <v>205</v>
      </c>
      <c r="I64" s="2"/>
      <c r="J64" s="2" t="s">
        <v>206</v>
      </c>
      <c r="K64" s="2" t="s">
        <v>18</v>
      </c>
      <c r="L64" s="2" t="s">
        <v>555</v>
      </c>
      <c r="M64" s="2" t="s">
        <v>190</v>
      </c>
      <c r="N64" s="2"/>
      <c r="O64" s="2" t="s">
        <v>540</v>
      </c>
      <c r="P64" s="2"/>
      <c r="Q64" s="2"/>
      <c r="R64" s="2" t="s">
        <v>821</v>
      </c>
      <c r="S64" s="2" t="s">
        <v>19</v>
      </c>
      <c r="T64" s="2" t="s">
        <v>19</v>
      </c>
      <c r="U64" s="2"/>
      <c r="V64" s="2" t="s">
        <v>822</v>
      </c>
      <c r="W64" s="2"/>
      <c r="X64" s="2" t="s">
        <v>119</v>
      </c>
      <c r="Y64" s="2" t="s">
        <v>386</v>
      </c>
      <c r="Z64" s="2"/>
      <c r="AA64" s="2" t="s">
        <v>10</v>
      </c>
      <c r="AB64" s="5" t="s">
        <v>19</v>
      </c>
    </row>
    <row r="65" spans="1:28" ht="55.2" x14ac:dyDescent="0.3">
      <c r="A65" s="4" t="s">
        <v>480</v>
      </c>
      <c r="B65" s="2" t="s">
        <v>119</v>
      </c>
      <c r="C65" s="2" t="s">
        <v>819</v>
      </c>
      <c r="D65" s="2" t="s">
        <v>820</v>
      </c>
      <c r="E65" s="2"/>
      <c r="F65" s="2" t="s">
        <v>38</v>
      </c>
      <c r="G65" s="2" t="s">
        <v>481</v>
      </c>
      <c r="H65" s="2" t="s">
        <v>207</v>
      </c>
      <c r="I65" s="2" t="s">
        <v>52</v>
      </c>
      <c r="J65" s="2" t="s">
        <v>209</v>
      </c>
      <c r="K65" s="2" t="s">
        <v>18</v>
      </c>
      <c r="L65" s="2" t="s">
        <v>555</v>
      </c>
      <c r="M65" s="2" t="s">
        <v>190</v>
      </c>
      <c r="N65" s="2" t="s">
        <v>823</v>
      </c>
      <c r="O65" s="2" t="s">
        <v>540</v>
      </c>
      <c r="P65" s="2"/>
      <c r="Q65" s="2"/>
      <c r="R65" s="2" t="s">
        <v>821</v>
      </c>
      <c r="S65" s="2" t="s">
        <v>33</v>
      </c>
      <c r="T65" s="2" t="s">
        <v>623</v>
      </c>
      <c r="U65" s="2"/>
      <c r="V65" s="2" t="s">
        <v>822</v>
      </c>
      <c r="W65" s="2"/>
      <c r="X65" s="2" t="s">
        <v>119</v>
      </c>
      <c r="Y65" s="2" t="s">
        <v>386</v>
      </c>
      <c r="Z65" s="2"/>
      <c r="AA65" s="2" t="s">
        <v>10</v>
      </c>
      <c r="AB65" s="5" t="s">
        <v>19</v>
      </c>
    </row>
    <row r="66" spans="1:28" ht="409.6" x14ac:dyDescent="0.3">
      <c r="A66" s="4" t="s">
        <v>480</v>
      </c>
      <c r="B66" s="2" t="s">
        <v>119</v>
      </c>
      <c r="C66" s="2" t="s">
        <v>819</v>
      </c>
      <c r="D66" s="2" t="s">
        <v>820</v>
      </c>
      <c r="E66" s="2"/>
      <c r="F66" s="2" t="s">
        <v>38</v>
      </c>
      <c r="G66" s="2" t="s">
        <v>481</v>
      </c>
      <c r="H66" s="2" t="s">
        <v>484</v>
      </c>
      <c r="I66" s="2" t="s">
        <v>75</v>
      </c>
      <c r="J66" s="2" t="s">
        <v>276</v>
      </c>
      <c r="K66" s="2" t="s">
        <v>57</v>
      </c>
      <c r="L66" s="2" t="s">
        <v>539</v>
      </c>
      <c r="M66" s="2" t="s">
        <v>35</v>
      </c>
      <c r="N66" s="2" t="s">
        <v>824</v>
      </c>
      <c r="O66" s="2" t="s">
        <v>540</v>
      </c>
      <c r="P66" s="2"/>
      <c r="Q66" s="2"/>
      <c r="R66" s="2" t="s">
        <v>821</v>
      </c>
      <c r="S66" s="2" t="s">
        <v>33</v>
      </c>
      <c r="T66" s="2" t="s">
        <v>33</v>
      </c>
      <c r="U66" s="2"/>
      <c r="V66" s="2" t="s">
        <v>822</v>
      </c>
      <c r="W66" s="2"/>
      <c r="X66" s="2" t="s">
        <v>119</v>
      </c>
      <c r="Y66" s="2" t="s">
        <v>386</v>
      </c>
      <c r="Z66" s="2"/>
      <c r="AA66" s="2" t="s">
        <v>10</v>
      </c>
      <c r="AB66" s="5" t="s">
        <v>33</v>
      </c>
    </row>
    <row r="67" spans="1:28" ht="372.6" x14ac:dyDescent="0.3">
      <c r="A67" s="4" t="s">
        <v>480</v>
      </c>
      <c r="B67" s="2" t="s">
        <v>119</v>
      </c>
      <c r="C67" s="2" t="s">
        <v>819</v>
      </c>
      <c r="D67" s="2" t="s">
        <v>820</v>
      </c>
      <c r="E67" s="2"/>
      <c r="F67" s="2" t="s">
        <v>38</v>
      </c>
      <c r="G67" s="2" t="s">
        <v>481</v>
      </c>
      <c r="H67" s="2" t="s">
        <v>55</v>
      </c>
      <c r="I67" s="2" t="s">
        <v>56</v>
      </c>
      <c r="J67" s="2" t="s">
        <v>56</v>
      </c>
      <c r="K67" s="2" t="s">
        <v>57</v>
      </c>
      <c r="L67" s="2" t="s">
        <v>539</v>
      </c>
      <c r="M67" s="2" t="s">
        <v>32</v>
      </c>
      <c r="N67" s="2" t="s">
        <v>558</v>
      </c>
      <c r="O67" s="2" t="s">
        <v>540</v>
      </c>
      <c r="P67" s="2"/>
      <c r="Q67" s="2"/>
      <c r="R67" s="2" t="s">
        <v>821</v>
      </c>
      <c r="S67" s="2" t="s">
        <v>33</v>
      </c>
      <c r="T67" s="2" t="s">
        <v>33</v>
      </c>
      <c r="U67" s="2"/>
      <c r="V67" s="2" t="s">
        <v>822</v>
      </c>
      <c r="W67" s="2"/>
      <c r="X67" s="2" t="s">
        <v>119</v>
      </c>
      <c r="Y67" s="2" t="s">
        <v>386</v>
      </c>
      <c r="Z67" s="2"/>
      <c r="AA67" s="2" t="s">
        <v>10</v>
      </c>
      <c r="AB67" s="5" t="s">
        <v>33</v>
      </c>
    </row>
    <row r="68" spans="1:28" ht="55.2" x14ac:dyDescent="0.3">
      <c r="A68" s="4" t="s">
        <v>480</v>
      </c>
      <c r="B68" s="2" t="s">
        <v>119</v>
      </c>
      <c r="C68" s="2" t="s">
        <v>819</v>
      </c>
      <c r="D68" s="2" t="s">
        <v>820</v>
      </c>
      <c r="E68" s="2"/>
      <c r="F68" s="2" t="s">
        <v>38</v>
      </c>
      <c r="G68" s="2" t="s">
        <v>481</v>
      </c>
      <c r="H68" s="2" t="s">
        <v>210</v>
      </c>
      <c r="I68" s="2" t="s">
        <v>211</v>
      </c>
      <c r="J68" s="2" t="s">
        <v>211</v>
      </c>
      <c r="K68" s="2" t="s">
        <v>57</v>
      </c>
      <c r="L68" s="2" t="s">
        <v>539</v>
      </c>
      <c r="M68" s="2" t="s">
        <v>32</v>
      </c>
      <c r="N68" s="2" t="s">
        <v>632</v>
      </c>
      <c r="O68" s="2" t="s">
        <v>540</v>
      </c>
      <c r="P68" s="2"/>
      <c r="Q68" s="2"/>
      <c r="R68" s="2" t="s">
        <v>821</v>
      </c>
      <c r="S68" s="2" t="s">
        <v>33</v>
      </c>
      <c r="T68" s="2" t="s">
        <v>623</v>
      </c>
      <c r="U68" s="2"/>
      <c r="V68" s="2" t="s">
        <v>822</v>
      </c>
      <c r="W68" s="2"/>
      <c r="X68" s="2" t="s">
        <v>119</v>
      </c>
      <c r="Y68" s="2" t="s">
        <v>386</v>
      </c>
      <c r="Z68" s="2"/>
      <c r="AA68" s="2" t="s">
        <v>10</v>
      </c>
      <c r="AB68" s="5" t="s">
        <v>33</v>
      </c>
    </row>
    <row r="69" spans="1:28" ht="55.2" x14ac:dyDescent="0.3">
      <c r="A69" s="4" t="s">
        <v>480</v>
      </c>
      <c r="B69" s="2" t="s">
        <v>119</v>
      </c>
      <c r="C69" s="2" t="s">
        <v>819</v>
      </c>
      <c r="D69" s="2" t="s">
        <v>820</v>
      </c>
      <c r="E69" s="2"/>
      <c r="F69" s="2" t="s">
        <v>38</v>
      </c>
      <c r="G69" s="2" t="s">
        <v>481</v>
      </c>
      <c r="H69" s="2" t="s">
        <v>485</v>
      </c>
      <c r="I69" s="2"/>
      <c r="J69" s="2" t="s">
        <v>214</v>
      </c>
      <c r="K69" s="2" t="s">
        <v>57</v>
      </c>
      <c r="L69" s="2" t="s">
        <v>539</v>
      </c>
      <c r="M69" s="2" t="s">
        <v>32</v>
      </c>
      <c r="N69" s="2" t="s">
        <v>559</v>
      </c>
      <c r="O69" s="2" t="s">
        <v>540</v>
      </c>
      <c r="P69" s="2"/>
      <c r="Q69" s="2"/>
      <c r="R69" s="2" t="s">
        <v>821</v>
      </c>
      <c r="S69" s="2" t="s">
        <v>19</v>
      </c>
      <c r="T69" s="2" t="s">
        <v>19</v>
      </c>
      <c r="U69" s="2"/>
      <c r="V69" s="2" t="s">
        <v>822</v>
      </c>
      <c r="W69" s="2"/>
      <c r="X69" s="2" t="s">
        <v>119</v>
      </c>
      <c r="Y69" s="2" t="s">
        <v>386</v>
      </c>
      <c r="Z69" s="2"/>
      <c r="AA69" s="2" t="s">
        <v>10</v>
      </c>
      <c r="AB69" s="5" t="s">
        <v>33</v>
      </c>
    </row>
    <row r="70" spans="1:28" ht="55.2" x14ac:dyDescent="0.3">
      <c r="A70" s="4" t="s">
        <v>480</v>
      </c>
      <c r="B70" s="2" t="s">
        <v>119</v>
      </c>
      <c r="C70" s="2" t="s">
        <v>819</v>
      </c>
      <c r="D70" s="2" t="s">
        <v>820</v>
      </c>
      <c r="E70" s="2"/>
      <c r="F70" s="2" t="s">
        <v>38</v>
      </c>
      <c r="G70" s="2" t="s">
        <v>481</v>
      </c>
      <c r="H70" s="2" t="s">
        <v>61</v>
      </c>
      <c r="I70" s="2"/>
      <c r="J70" s="2" t="s">
        <v>63</v>
      </c>
      <c r="K70" s="2" t="s">
        <v>57</v>
      </c>
      <c r="L70" s="2" t="s">
        <v>539</v>
      </c>
      <c r="M70" s="2" t="s">
        <v>32</v>
      </c>
      <c r="N70" s="2" t="s">
        <v>561</v>
      </c>
      <c r="O70" s="2" t="s">
        <v>540</v>
      </c>
      <c r="P70" s="2"/>
      <c r="Q70" s="2"/>
      <c r="R70" s="2" t="s">
        <v>821</v>
      </c>
      <c r="S70" s="2" t="s">
        <v>19</v>
      </c>
      <c r="T70" s="2" t="s">
        <v>19</v>
      </c>
      <c r="U70" s="2"/>
      <c r="V70" s="2" t="s">
        <v>822</v>
      </c>
      <c r="W70" s="2"/>
      <c r="X70" s="2" t="s">
        <v>119</v>
      </c>
      <c r="Y70" s="2" t="s">
        <v>386</v>
      </c>
      <c r="Z70" s="2"/>
      <c r="AA70" s="2" t="s">
        <v>10</v>
      </c>
      <c r="AB70" s="5" t="s">
        <v>33</v>
      </c>
    </row>
    <row r="71" spans="1:28" ht="55.2" x14ac:dyDescent="0.3">
      <c r="A71" s="4" t="s">
        <v>480</v>
      </c>
      <c r="B71" s="2" t="s">
        <v>119</v>
      </c>
      <c r="C71" s="2" t="s">
        <v>819</v>
      </c>
      <c r="D71" s="2" t="s">
        <v>820</v>
      </c>
      <c r="E71" s="2"/>
      <c r="F71" s="2" t="s">
        <v>38</v>
      </c>
      <c r="G71" s="2" t="s">
        <v>481</v>
      </c>
      <c r="H71" s="2" t="s">
        <v>486</v>
      </c>
      <c r="I71" s="2"/>
      <c r="J71" s="2" t="s">
        <v>217</v>
      </c>
      <c r="K71" s="2" t="s">
        <v>57</v>
      </c>
      <c r="L71" s="2" t="s">
        <v>539</v>
      </c>
      <c r="M71" s="2" t="s">
        <v>32</v>
      </c>
      <c r="N71" s="2" t="s">
        <v>559</v>
      </c>
      <c r="O71" s="2" t="s">
        <v>540</v>
      </c>
      <c r="P71" s="2"/>
      <c r="Q71" s="2"/>
      <c r="R71" s="2" t="s">
        <v>821</v>
      </c>
      <c r="S71" s="2" t="s">
        <v>19</v>
      </c>
      <c r="T71" s="2" t="s">
        <v>19</v>
      </c>
      <c r="U71" s="2"/>
      <c r="V71" s="2" t="s">
        <v>822</v>
      </c>
      <c r="W71" s="2"/>
      <c r="X71" s="2" t="s">
        <v>119</v>
      </c>
      <c r="Y71" s="2" t="s">
        <v>386</v>
      </c>
      <c r="Z71" s="2"/>
      <c r="AA71" s="2" t="s">
        <v>10</v>
      </c>
      <c r="AB71" s="5" t="s">
        <v>33</v>
      </c>
    </row>
    <row r="72" spans="1:28" ht="55.2" x14ac:dyDescent="0.3">
      <c r="A72" s="4" t="s">
        <v>480</v>
      </c>
      <c r="B72" s="2" t="s">
        <v>119</v>
      </c>
      <c r="C72" s="2" t="s">
        <v>819</v>
      </c>
      <c r="D72" s="2" t="s">
        <v>820</v>
      </c>
      <c r="E72" s="2"/>
      <c r="F72" s="2" t="s">
        <v>38</v>
      </c>
      <c r="G72" s="2" t="s">
        <v>481</v>
      </c>
      <c r="H72" s="2" t="s">
        <v>67</v>
      </c>
      <c r="I72" s="2"/>
      <c r="J72" s="2" t="s">
        <v>69</v>
      </c>
      <c r="K72" s="2" t="s">
        <v>57</v>
      </c>
      <c r="L72" s="2" t="s">
        <v>539</v>
      </c>
      <c r="M72" s="2" t="s">
        <v>32</v>
      </c>
      <c r="N72" s="2" t="s">
        <v>561</v>
      </c>
      <c r="O72" s="2" t="s">
        <v>540</v>
      </c>
      <c r="P72" s="2"/>
      <c r="Q72" s="2"/>
      <c r="R72" s="2" t="s">
        <v>821</v>
      </c>
      <c r="S72" s="2" t="s">
        <v>19</v>
      </c>
      <c r="T72" s="2" t="s">
        <v>19</v>
      </c>
      <c r="U72" s="2"/>
      <c r="V72" s="2" t="s">
        <v>822</v>
      </c>
      <c r="W72" s="2"/>
      <c r="X72" s="2" t="s">
        <v>119</v>
      </c>
      <c r="Y72" s="2" t="s">
        <v>386</v>
      </c>
      <c r="Z72" s="2"/>
      <c r="AA72" s="2" t="s">
        <v>10</v>
      </c>
      <c r="AB72" s="5" t="s">
        <v>33</v>
      </c>
    </row>
    <row r="73" spans="1:28" ht="82.8" x14ac:dyDescent="0.3">
      <c r="A73" s="4" t="s">
        <v>480</v>
      </c>
      <c r="B73" s="2" t="s">
        <v>119</v>
      </c>
      <c r="C73" s="2" t="s">
        <v>487</v>
      </c>
      <c r="D73" s="2" t="s">
        <v>487</v>
      </c>
      <c r="E73" s="2"/>
      <c r="F73" s="2" t="s">
        <v>148</v>
      </c>
      <c r="G73" s="2" t="s">
        <v>481</v>
      </c>
      <c r="H73" s="2" t="s">
        <v>487</v>
      </c>
      <c r="I73" s="2"/>
      <c r="J73" s="2" t="s">
        <v>140</v>
      </c>
      <c r="K73" s="2" t="s">
        <v>57</v>
      </c>
      <c r="L73" s="2" t="s">
        <v>539</v>
      </c>
      <c r="M73" s="2" t="s">
        <v>32</v>
      </c>
      <c r="N73" s="2" t="s">
        <v>825</v>
      </c>
      <c r="O73" s="2" t="s">
        <v>540</v>
      </c>
      <c r="P73" s="2"/>
      <c r="Q73" s="2"/>
      <c r="R73" s="2" t="s">
        <v>826</v>
      </c>
      <c r="S73" s="2" t="s">
        <v>19</v>
      </c>
      <c r="T73" s="2" t="s">
        <v>19</v>
      </c>
      <c r="U73" s="2"/>
      <c r="V73" s="2" t="s">
        <v>675</v>
      </c>
      <c r="W73" s="2"/>
      <c r="X73" s="2" t="s">
        <v>119</v>
      </c>
      <c r="Y73" s="2" t="s">
        <v>386</v>
      </c>
      <c r="Z73" s="2"/>
      <c r="AA73" s="2" t="s">
        <v>10</v>
      </c>
      <c r="AB73" s="5" t="s">
        <v>33</v>
      </c>
    </row>
    <row r="74" spans="1:28" ht="55.2" x14ac:dyDescent="0.3">
      <c r="A74" s="4" t="s">
        <v>480</v>
      </c>
      <c r="B74" s="2" t="s">
        <v>119</v>
      </c>
      <c r="C74" s="2" t="s">
        <v>487</v>
      </c>
      <c r="D74" s="2" t="s">
        <v>487</v>
      </c>
      <c r="E74" s="2"/>
      <c r="F74" s="2" t="s">
        <v>148</v>
      </c>
      <c r="G74" s="2" t="s">
        <v>481</v>
      </c>
      <c r="H74" s="2" t="s">
        <v>488</v>
      </c>
      <c r="I74" s="2"/>
      <c r="J74" s="2" t="s">
        <v>342</v>
      </c>
      <c r="K74" s="2" t="s">
        <v>18</v>
      </c>
      <c r="L74" s="2" t="s">
        <v>539</v>
      </c>
      <c r="M74" s="2" t="s">
        <v>190</v>
      </c>
      <c r="N74" s="2" t="s">
        <v>190</v>
      </c>
      <c r="O74" s="2" t="s">
        <v>540</v>
      </c>
      <c r="P74" s="2"/>
      <c r="Q74" s="2"/>
      <c r="R74" s="2"/>
      <c r="S74" s="2" t="s">
        <v>19</v>
      </c>
      <c r="T74" s="2" t="s">
        <v>19</v>
      </c>
      <c r="U74" s="2"/>
      <c r="V74" s="2"/>
      <c r="W74" s="2"/>
      <c r="X74" s="2" t="s">
        <v>119</v>
      </c>
      <c r="Y74" s="2" t="s">
        <v>386</v>
      </c>
      <c r="Z74" s="2"/>
      <c r="AA74" s="2" t="s">
        <v>10</v>
      </c>
      <c r="AB74" s="5" t="s">
        <v>19</v>
      </c>
    </row>
    <row r="75" spans="1:28" ht="82.8" x14ac:dyDescent="0.3">
      <c r="A75" s="4" t="s">
        <v>480</v>
      </c>
      <c r="B75" s="2" t="s">
        <v>119</v>
      </c>
      <c r="C75" s="2" t="s">
        <v>665</v>
      </c>
      <c r="D75" s="2" t="s">
        <v>665</v>
      </c>
      <c r="E75" s="2"/>
      <c r="F75" s="2" t="s">
        <v>38</v>
      </c>
      <c r="G75" s="2" t="s">
        <v>481</v>
      </c>
      <c r="H75" s="2" t="s">
        <v>280</v>
      </c>
      <c r="I75" s="2"/>
      <c r="J75" s="2" t="s">
        <v>282</v>
      </c>
      <c r="K75" s="2" t="s">
        <v>57</v>
      </c>
      <c r="L75" s="2" t="s">
        <v>539</v>
      </c>
      <c r="M75" s="2" t="s">
        <v>32</v>
      </c>
      <c r="N75" s="2" t="s">
        <v>825</v>
      </c>
      <c r="O75" s="2" t="s">
        <v>540</v>
      </c>
      <c r="P75" s="2"/>
      <c r="Q75" s="2"/>
      <c r="R75" s="2" t="s">
        <v>826</v>
      </c>
      <c r="S75" s="2" t="s">
        <v>19</v>
      </c>
      <c r="T75" s="2" t="s">
        <v>19</v>
      </c>
      <c r="U75" s="2"/>
      <c r="V75" s="2" t="s">
        <v>675</v>
      </c>
      <c r="W75" s="2"/>
      <c r="X75" s="2" t="s">
        <v>119</v>
      </c>
      <c r="Y75" s="2" t="s">
        <v>386</v>
      </c>
      <c r="Z75" s="2"/>
      <c r="AA75" s="2" t="s">
        <v>10</v>
      </c>
      <c r="AB75" s="5" t="s">
        <v>33</v>
      </c>
    </row>
    <row r="76" spans="1:28" ht="55.2" x14ac:dyDescent="0.3">
      <c r="A76" s="4" t="s">
        <v>480</v>
      </c>
      <c r="B76" s="2" t="s">
        <v>119</v>
      </c>
      <c r="C76" s="2" t="s">
        <v>280</v>
      </c>
      <c r="D76" s="2" t="s">
        <v>665</v>
      </c>
      <c r="E76" s="2"/>
      <c r="F76" s="2" t="s">
        <v>38</v>
      </c>
      <c r="G76" s="2" t="s">
        <v>481</v>
      </c>
      <c r="H76" s="2" t="s">
        <v>283</v>
      </c>
      <c r="I76" s="2"/>
      <c r="J76" s="2" t="s">
        <v>284</v>
      </c>
      <c r="K76" s="2" t="s">
        <v>18</v>
      </c>
      <c r="L76" s="2" t="s">
        <v>539</v>
      </c>
      <c r="M76" s="2" t="s">
        <v>190</v>
      </c>
      <c r="N76" s="2" t="s">
        <v>190</v>
      </c>
      <c r="O76" s="2" t="s">
        <v>540</v>
      </c>
      <c r="P76" s="2"/>
      <c r="Q76" s="2"/>
      <c r="R76" s="2"/>
      <c r="S76" s="2" t="s">
        <v>19</v>
      </c>
      <c r="T76" s="2" t="s">
        <v>19</v>
      </c>
      <c r="U76" s="2"/>
      <c r="V76" s="2"/>
      <c r="W76" s="2"/>
      <c r="X76" s="2" t="s">
        <v>119</v>
      </c>
      <c r="Y76" s="2" t="s">
        <v>386</v>
      </c>
      <c r="Z76" s="2"/>
      <c r="AA76" s="2" t="s">
        <v>10</v>
      </c>
      <c r="AB76" s="5" t="s">
        <v>19</v>
      </c>
    </row>
    <row r="77" spans="1:28" ht="55.2" x14ac:dyDescent="0.3">
      <c r="A77" s="4" t="s">
        <v>489</v>
      </c>
      <c r="B77" s="2" t="s">
        <v>293</v>
      </c>
      <c r="C77" s="2" t="s">
        <v>827</v>
      </c>
      <c r="D77" s="2" t="s">
        <v>828</v>
      </c>
      <c r="E77" s="2" t="s">
        <v>829</v>
      </c>
      <c r="F77" s="2" t="s">
        <v>470</v>
      </c>
      <c r="G77" s="2" t="s">
        <v>490</v>
      </c>
      <c r="H77" s="2" t="s">
        <v>294</v>
      </c>
      <c r="I77" s="2" t="s">
        <v>295</v>
      </c>
      <c r="J77" s="2" t="s">
        <v>295</v>
      </c>
      <c r="K77" s="2" t="s">
        <v>363</v>
      </c>
      <c r="L77" s="2" t="s">
        <v>539</v>
      </c>
      <c r="M77" s="2" t="s">
        <v>32</v>
      </c>
      <c r="N77" s="2" t="s">
        <v>559</v>
      </c>
      <c r="O77" s="2" t="s">
        <v>540</v>
      </c>
      <c r="P77" s="2"/>
      <c r="Q77" s="2"/>
      <c r="R77" s="2" t="s">
        <v>830</v>
      </c>
      <c r="S77" s="2" t="s">
        <v>33</v>
      </c>
      <c r="T77" s="2" t="s">
        <v>33</v>
      </c>
      <c r="U77" s="2"/>
      <c r="V77" s="2" t="s">
        <v>831</v>
      </c>
      <c r="W77" s="2"/>
      <c r="X77" s="2" t="s">
        <v>293</v>
      </c>
      <c r="Y77" s="2" t="s">
        <v>386</v>
      </c>
      <c r="Z77" s="2"/>
      <c r="AA77" s="2" t="s">
        <v>10</v>
      </c>
      <c r="AB77" s="5" t="s">
        <v>33</v>
      </c>
    </row>
    <row r="78" spans="1:28" ht="151.80000000000001" x14ac:dyDescent="0.3">
      <c r="A78" s="4" t="s">
        <v>489</v>
      </c>
      <c r="B78" s="2" t="s">
        <v>293</v>
      </c>
      <c r="C78" s="2" t="s">
        <v>827</v>
      </c>
      <c r="D78" s="2" t="s">
        <v>828</v>
      </c>
      <c r="E78" s="2" t="s">
        <v>829</v>
      </c>
      <c r="F78" s="2" t="s">
        <v>470</v>
      </c>
      <c r="G78" s="2" t="s">
        <v>490</v>
      </c>
      <c r="H78" s="2" t="s">
        <v>173</v>
      </c>
      <c r="I78" s="2" t="s">
        <v>174</v>
      </c>
      <c r="J78" s="2" t="s">
        <v>174</v>
      </c>
      <c r="K78" s="2" t="s">
        <v>363</v>
      </c>
      <c r="L78" s="2" t="s">
        <v>539</v>
      </c>
      <c r="M78" s="2" t="s">
        <v>32</v>
      </c>
      <c r="N78" s="2" t="s">
        <v>559</v>
      </c>
      <c r="O78" s="2" t="s">
        <v>540</v>
      </c>
      <c r="P78" s="2"/>
      <c r="Q78" s="2"/>
      <c r="R78" s="2" t="s">
        <v>832</v>
      </c>
      <c r="S78" s="2" t="s">
        <v>33</v>
      </c>
      <c r="T78" s="2" t="s">
        <v>33</v>
      </c>
      <c r="U78" s="2"/>
      <c r="V78" s="2" t="s">
        <v>831</v>
      </c>
      <c r="W78" s="2"/>
      <c r="X78" s="2" t="s">
        <v>293</v>
      </c>
      <c r="Y78" s="2" t="s">
        <v>386</v>
      </c>
      <c r="Z78" s="2"/>
      <c r="AA78" s="2" t="s">
        <v>10</v>
      </c>
      <c r="AB78" s="5" t="s">
        <v>33</v>
      </c>
    </row>
    <row r="79" spans="1:28" ht="55.2" x14ac:dyDescent="0.3">
      <c r="A79" s="4" t="s">
        <v>489</v>
      </c>
      <c r="B79" s="2" t="s">
        <v>293</v>
      </c>
      <c r="C79" s="2" t="s">
        <v>827</v>
      </c>
      <c r="D79" s="2" t="s">
        <v>828</v>
      </c>
      <c r="E79" s="2" t="s">
        <v>829</v>
      </c>
      <c r="F79" s="2" t="s">
        <v>470</v>
      </c>
      <c r="G79" s="2" t="s">
        <v>490</v>
      </c>
      <c r="H79" s="2" t="s">
        <v>175</v>
      </c>
      <c r="I79" s="2" t="s">
        <v>176</v>
      </c>
      <c r="J79" s="2" t="s">
        <v>176</v>
      </c>
      <c r="K79" s="2" t="s">
        <v>363</v>
      </c>
      <c r="L79" s="2" t="s">
        <v>539</v>
      </c>
      <c r="M79" s="2" t="s">
        <v>32</v>
      </c>
      <c r="N79" s="2" t="s">
        <v>559</v>
      </c>
      <c r="O79" s="2" t="s">
        <v>540</v>
      </c>
      <c r="P79" s="2"/>
      <c r="Q79" s="2"/>
      <c r="R79" s="2"/>
      <c r="S79" s="2" t="s">
        <v>33</v>
      </c>
      <c r="T79" s="2" t="s">
        <v>33</v>
      </c>
      <c r="U79" s="2"/>
      <c r="V79" s="2"/>
      <c r="W79" s="2"/>
      <c r="X79" s="2" t="s">
        <v>293</v>
      </c>
      <c r="Y79" s="2" t="s">
        <v>386</v>
      </c>
      <c r="Z79" s="2"/>
      <c r="AA79" s="2" t="s">
        <v>10</v>
      </c>
      <c r="AB79" s="5" t="s">
        <v>33</v>
      </c>
    </row>
    <row r="80" spans="1:28" ht="55.2" x14ac:dyDescent="0.3">
      <c r="A80" s="4" t="s">
        <v>489</v>
      </c>
      <c r="B80" s="2" t="s">
        <v>293</v>
      </c>
      <c r="C80" s="2" t="s">
        <v>827</v>
      </c>
      <c r="D80" s="2" t="s">
        <v>828</v>
      </c>
      <c r="E80" s="2" t="s">
        <v>829</v>
      </c>
      <c r="F80" s="2" t="s">
        <v>470</v>
      </c>
      <c r="G80" s="2" t="s">
        <v>490</v>
      </c>
      <c r="H80" s="2" t="s">
        <v>177</v>
      </c>
      <c r="I80" s="2" t="s">
        <v>178</v>
      </c>
      <c r="J80" s="2" t="s">
        <v>178</v>
      </c>
      <c r="K80" s="2" t="s">
        <v>363</v>
      </c>
      <c r="L80" s="2" t="s">
        <v>539</v>
      </c>
      <c r="M80" s="2" t="s">
        <v>32</v>
      </c>
      <c r="N80" s="2" t="s">
        <v>559</v>
      </c>
      <c r="O80" s="2" t="s">
        <v>540</v>
      </c>
      <c r="P80" s="2"/>
      <c r="Q80" s="2"/>
      <c r="R80" s="2"/>
      <c r="S80" s="2" t="s">
        <v>33</v>
      </c>
      <c r="T80" s="2" t="s">
        <v>33</v>
      </c>
      <c r="U80" s="2"/>
      <c r="V80" s="2"/>
      <c r="W80" s="2"/>
      <c r="X80" s="2" t="s">
        <v>293</v>
      </c>
      <c r="Y80" s="2" t="s">
        <v>386</v>
      </c>
      <c r="Z80" s="2"/>
      <c r="AA80" s="2" t="s">
        <v>10</v>
      </c>
      <c r="AB80" s="5" t="s">
        <v>33</v>
      </c>
    </row>
    <row r="81" spans="1:28" ht="55.2" x14ac:dyDescent="0.3">
      <c r="A81" s="4" t="s">
        <v>489</v>
      </c>
      <c r="B81" s="2" t="s">
        <v>293</v>
      </c>
      <c r="C81" s="2" t="s">
        <v>827</v>
      </c>
      <c r="D81" s="2" t="s">
        <v>828</v>
      </c>
      <c r="E81" s="2" t="s">
        <v>829</v>
      </c>
      <c r="F81" s="2" t="s">
        <v>470</v>
      </c>
      <c r="G81" s="2" t="s">
        <v>490</v>
      </c>
      <c r="H81" s="2" t="s">
        <v>179</v>
      </c>
      <c r="I81" s="2" t="s">
        <v>180</v>
      </c>
      <c r="J81" s="2" t="s">
        <v>180</v>
      </c>
      <c r="K81" s="2" t="s">
        <v>363</v>
      </c>
      <c r="L81" s="2" t="s">
        <v>539</v>
      </c>
      <c r="M81" s="2" t="s">
        <v>32</v>
      </c>
      <c r="N81" s="2" t="s">
        <v>559</v>
      </c>
      <c r="O81" s="2" t="s">
        <v>540</v>
      </c>
      <c r="P81" s="2"/>
      <c r="Q81" s="2"/>
      <c r="R81" s="2"/>
      <c r="S81" s="2" t="s">
        <v>33</v>
      </c>
      <c r="T81" s="2" t="s">
        <v>33</v>
      </c>
      <c r="U81" s="2"/>
      <c r="V81" s="2"/>
      <c r="W81" s="2"/>
      <c r="X81" s="2" t="s">
        <v>293</v>
      </c>
      <c r="Y81" s="2" t="s">
        <v>386</v>
      </c>
      <c r="Z81" s="2"/>
      <c r="AA81" s="2" t="s">
        <v>10</v>
      </c>
      <c r="AB81" s="5" t="s">
        <v>33</v>
      </c>
    </row>
    <row r="82" spans="1:28" ht="55.2" x14ac:dyDescent="0.3">
      <c r="A82" s="4" t="s">
        <v>489</v>
      </c>
      <c r="B82" s="2" t="s">
        <v>293</v>
      </c>
      <c r="C82" s="2" t="s">
        <v>827</v>
      </c>
      <c r="D82" s="2" t="s">
        <v>828</v>
      </c>
      <c r="E82" s="2" t="s">
        <v>829</v>
      </c>
      <c r="F82" s="2" t="s">
        <v>470</v>
      </c>
      <c r="G82" s="2" t="s">
        <v>490</v>
      </c>
      <c r="H82" s="2" t="s">
        <v>185</v>
      </c>
      <c r="I82" s="2" t="s">
        <v>186</v>
      </c>
      <c r="J82" s="2" t="s">
        <v>186</v>
      </c>
      <c r="K82" s="2" t="s">
        <v>133</v>
      </c>
      <c r="L82" s="2" t="s">
        <v>676</v>
      </c>
      <c r="M82" s="2"/>
      <c r="N82" s="2"/>
      <c r="O82" s="2" t="s">
        <v>540</v>
      </c>
      <c r="P82" s="2"/>
      <c r="Q82" s="2"/>
      <c r="R82" s="2" t="s">
        <v>833</v>
      </c>
      <c r="S82" s="2" t="s">
        <v>33</v>
      </c>
      <c r="T82" s="2" t="s">
        <v>33</v>
      </c>
      <c r="U82" s="2"/>
      <c r="V82" s="2" t="s">
        <v>831</v>
      </c>
      <c r="W82" s="2"/>
      <c r="X82" s="2" t="s">
        <v>293</v>
      </c>
      <c r="Y82" s="2" t="s">
        <v>386</v>
      </c>
      <c r="Z82" s="2"/>
      <c r="AA82" s="2" t="s">
        <v>10</v>
      </c>
      <c r="AB82" s="5" t="s">
        <v>19</v>
      </c>
    </row>
    <row r="83" spans="1:28" ht="55.2" x14ac:dyDescent="0.3">
      <c r="A83" s="4" t="s">
        <v>489</v>
      </c>
      <c r="B83" s="2" t="s">
        <v>293</v>
      </c>
      <c r="C83" s="2" t="s">
        <v>827</v>
      </c>
      <c r="D83" s="2" t="s">
        <v>828</v>
      </c>
      <c r="E83" s="2" t="s">
        <v>829</v>
      </c>
      <c r="F83" s="2" t="s">
        <v>470</v>
      </c>
      <c r="G83" s="2" t="s">
        <v>490</v>
      </c>
      <c r="H83" s="2" t="s">
        <v>187</v>
      </c>
      <c r="I83" s="2" t="s">
        <v>188</v>
      </c>
      <c r="J83" s="2" t="s">
        <v>188</v>
      </c>
      <c r="K83" s="2" t="s">
        <v>133</v>
      </c>
      <c r="L83" s="2" t="s">
        <v>676</v>
      </c>
      <c r="M83" s="2"/>
      <c r="N83" s="2"/>
      <c r="O83" s="2" t="s">
        <v>540</v>
      </c>
      <c r="P83" s="2"/>
      <c r="Q83" s="2"/>
      <c r="R83" s="2" t="s">
        <v>833</v>
      </c>
      <c r="S83" s="2" t="s">
        <v>33</v>
      </c>
      <c r="T83" s="2" t="s">
        <v>33</v>
      </c>
      <c r="U83" s="2"/>
      <c r="V83" s="2" t="s">
        <v>831</v>
      </c>
      <c r="W83" s="2"/>
      <c r="X83" s="2" t="s">
        <v>293</v>
      </c>
      <c r="Y83" s="2" t="s">
        <v>386</v>
      </c>
      <c r="Z83" s="2"/>
      <c r="AA83" s="2" t="s">
        <v>10</v>
      </c>
      <c r="AB83" s="5" t="s">
        <v>19</v>
      </c>
    </row>
    <row r="84" spans="1:28" ht="151.80000000000001" x14ac:dyDescent="0.3">
      <c r="A84" s="4" t="s">
        <v>489</v>
      </c>
      <c r="B84" s="2" t="s">
        <v>293</v>
      </c>
      <c r="C84" s="2" t="s">
        <v>827</v>
      </c>
      <c r="D84" s="2" t="s">
        <v>828</v>
      </c>
      <c r="E84" s="2" t="s">
        <v>829</v>
      </c>
      <c r="F84" s="2" t="s">
        <v>470</v>
      </c>
      <c r="G84" s="2" t="s">
        <v>481</v>
      </c>
      <c r="H84" s="2" t="s">
        <v>158</v>
      </c>
      <c r="I84" s="2" t="s">
        <v>159</v>
      </c>
      <c r="J84" s="2" t="s">
        <v>159</v>
      </c>
      <c r="K84" s="2" t="s">
        <v>363</v>
      </c>
      <c r="L84" s="2" t="s">
        <v>539</v>
      </c>
      <c r="M84" s="2" t="s">
        <v>32</v>
      </c>
      <c r="N84" s="2" t="s">
        <v>610</v>
      </c>
      <c r="O84" s="2" t="s">
        <v>497</v>
      </c>
      <c r="P84" s="2"/>
      <c r="Q84" s="2"/>
      <c r="R84" s="2" t="s">
        <v>834</v>
      </c>
      <c r="S84" s="2" t="s">
        <v>33</v>
      </c>
      <c r="T84" s="2" t="s">
        <v>33</v>
      </c>
      <c r="U84" s="2"/>
      <c r="V84" s="2" t="s">
        <v>831</v>
      </c>
      <c r="W84" s="2"/>
      <c r="X84" s="2" t="s">
        <v>293</v>
      </c>
      <c r="Y84" s="2" t="s">
        <v>386</v>
      </c>
      <c r="Z84" s="2"/>
      <c r="AA84" s="2" t="s">
        <v>102</v>
      </c>
      <c r="AB84" s="5" t="s">
        <v>33</v>
      </c>
    </row>
    <row r="85" spans="1:28" ht="55.2" x14ac:dyDescent="0.3">
      <c r="A85" s="4" t="s">
        <v>489</v>
      </c>
      <c r="B85" s="2" t="s">
        <v>293</v>
      </c>
      <c r="C85" s="2" t="s">
        <v>827</v>
      </c>
      <c r="D85" s="2" t="s">
        <v>828</v>
      </c>
      <c r="E85" s="2" t="s">
        <v>829</v>
      </c>
      <c r="F85" s="2" t="s">
        <v>470</v>
      </c>
      <c r="G85" s="2" t="s">
        <v>481</v>
      </c>
      <c r="H85" s="2" t="s">
        <v>134</v>
      </c>
      <c r="I85" s="2" t="s">
        <v>135</v>
      </c>
      <c r="J85" s="2" t="s">
        <v>135</v>
      </c>
      <c r="K85" s="2" t="s">
        <v>363</v>
      </c>
      <c r="L85" s="2" t="s">
        <v>539</v>
      </c>
      <c r="M85" s="2" t="s">
        <v>32</v>
      </c>
      <c r="N85" s="2" t="s">
        <v>835</v>
      </c>
      <c r="O85" s="2" t="s">
        <v>540</v>
      </c>
      <c r="P85" s="2"/>
      <c r="Q85" s="2"/>
      <c r="R85" s="2" t="s">
        <v>836</v>
      </c>
      <c r="S85" s="2" t="s">
        <v>33</v>
      </c>
      <c r="T85" s="2" t="s">
        <v>33</v>
      </c>
      <c r="U85" s="2"/>
      <c r="V85" s="2" t="s">
        <v>831</v>
      </c>
      <c r="W85" s="2"/>
      <c r="X85" s="2" t="s">
        <v>293</v>
      </c>
      <c r="Y85" s="2" t="s">
        <v>386</v>
      </c>
      <c r="Z85" s="2"/>
      <c r="AA85" s="2" t="s">
        <v>10</v>
      </c>
      <c r="AB85" s="5" t="s">
        <v>33</v>
      </c>
    </row>
    <row r="86" spans="1:28" ht="55.2" x14ac:dyDescent="0.3">
      <c r="A86" s="4" t="s">
        <v>489</v>
      </c>
      <c r="B86" s="2" t="s">
        <v>293</v>
      </c>
      <c r="C86" s="2" t="s">
        <v>827</v>
      </c>
      <c r="D86" s="2" t="s">
        <v>828</v>
      </c>
      <c r="E86" s="2" t="s">
        <v>829</v>
      </c>
      <c r="F86" s="2" t="s">
        <v>470</v>
      </c>
      <c r="G86" s="2" t="s">
        <v>481</v>
      </c>
      <c r="H86" s="2" t="s">
        <v>491</v>
      </c>
      <c r="I86" s="2" t="s">
        <v>492</v>
      </c>
      <c r="J86" s="2" t="s">
        <v>492</v>
      </c>
      <c r="K86" s="2" t="s">
        <v>363</v>
      </c>
      <c r="L86" s="2" t="s">
        <v>539</v>
      </c>
      <c r="M86" s="2" t="s">
        <v>32</v>
      </c>
      <c r="N86" s="2" t="s">
        <v>837</v>
      </c>
      <c r="O86" s="2" t="s">
        <v>540</v>
      </c>
      <c r="P86" s="2"/>
      <c r="Q86" s="2"/>
      <c r="R86" s="2" t="s">
        <v>838</v>
      </c>
      <c r="S86" s="2" t="s">
        <v>33</v>
      </c>
      <c r="T86" s="2" t="s">
        <v>33</v>
      </c>
      <c r="U86" s="2"/>
      <c r="V86" s="2" t="s">
        <v>831</v>
      </c>
      <c r="W86" s="2"/>
      <c r="X86" s="2" t="s">
        <v>293</v>
      </c>
      <c r="Y86" s="2" t="s">
        <v>386</v>
      </c>
      <c r="Z86" s="2"/>
      <c r="AA86" s="2" t="s">
        <v>10</v>
      </c>
      <c r="AB86" s="5" t="s">
        <v>33</v>
      </c>
    </row>
    <row r="87" spans="1:28" ht="82.8" x14ac:dyDescent="0.3">
      <c r="A87" s="4" t="s">
        <v>489</v>
      </c>
      <c r="B87" s="2" t="s">
        <v>293</v>
      </c>
      <c r="C87" s="2" t="s">
        <v>827</v>
      </c>
      <c r="D87" s="2" t="s">
        <v>828</v>
      </c>
      <c r="E87" s="2" t="s">
        <v>829</v>
      </c>
      <c r="F87" s="2" t="s">
        <v>470</v>
      </c>
      <c r="G87" s="2" t="s">
        <v>481</v>
      </c>
      <c r="H87" s="2" t="s">
        <v>156</v>
      </c>
      <c r="I87" s="2" t="s">
        <v>157</v>
      </c>
      <c r="J87" s="2" t="s">
        <v>157</v>
      </c>
      <c r="K87" s="2" t="s">
        <v>363</v>
      </c>
      <c r="L87" s="2" t="s">
        <v>539</v>
      </c>
      <c r="M87" s="2" t="s">
        <v>32</v>
      </c>
      <c r="N87" s="2" t="s">
        <v>608</v>
      </c>
      <c r="O87" s="2" t="s">
        <v>540</v>
      </c>
      <c r="P87" s="2"/>
      <c r="Q87" s="2"/>
      <c r="R87" s="2"/>
      <c r="S87" s="2" t="s">
        <v>33</v>
      </c>
      <c r="T87" s="2" t="s">
        <v>33</v>
      </c>
      <c r="U87" s="2"/>
      <c r="V87" s="2" t="s">
        <v>831</v>
      </c>
      <c r="W87" s="2"/>
      <c r="X87" s="2" t="s">
        <v>293</v>
      </c>
      <c r="Y87" s="2" t="s">
        <v>386</v>
      </c>
      <c r="Z87" s="2"/>
      <c r="AA87" s="2" t="s">
        <v>10</v>
      </c>
      <c r="AB87" s="5" t="s">
        <v>33</v>
      </c>
    </row>
    <row r="88" spans="1:28" ht="82.8" x14ac:dyDescent="0.3">
      <c r="A88" s="4" t="s">
        <v>489</v>
      </c>
      <c r="B88" s="2" t="s">
        <v>293</v>
      </c>
      <c r="C88" s="2" t="s">
        <v>827</v>
      </c>
      <c r="D88" s="2" t="s">
        <v>828</v>
      </c>
      <c r="E88" s="2" t="s">
        <v>829</v>
      </c>
      <c r="F88" s="2" t="s">
        <v>470</v>
      </c>
      <c r="G88" s="2" t="s">
        <v>490</v>
      </c>
      <c r="H88" s="2" t="s">
        <v>296</v>
      </c>
      <c r="I88" s="2" t="s">
        <v>157</v>
      </c>
      <c r="J88" s="2" t="s">
        <v>157</v>
      </c>
      <c r="K88" s="2" t="s">
        <v>363</v>
      </c>
      <c r="L88" s="2" t="s">
        <v>539</v>
      </c>
      <c r="M88" s="2" t="s">
        <v>32</v>
      </c>
      <c r="N88" s="2" t="s">
        <v>608</v>
      </c>
      <c r="O88" s="2" t="s">
        <v>540</v>
      </c>
      <c r="P88" s="2"/>
      <c r="Q88" s="2"/>
      <c r="R88" s="2" t="s">
        <v>839</v>
      </c>
      <c r="S88" s="2" t="s">
        <v>19</v>
      </c>
      <c r="T88" s="2" t="s">
        <v>19</v>
      </c>
      <c r="U88" s="2"/>
      <c r="V88" s="2" t="s">
        <v>831</v>
      </c>
      <c r="W88" s="2"/>
      <c r="X88" s="2" t="s">
        <v>293</v>
      </c>
      <c r="Y88" s="2" t="s">
        <v>386</v>
      </c>
      <c r="Z88" s="2"/>
      <c r="AA88" s="2" t="s">
        <v>10</v>
      </c>
      <c r="AB88" s="5" t="s">
        <v>33</v>
      </c>
    </row>
    <row r="89" spans="1:28" ht="55.2" x14ac:dyDescent="0.3">
      <c r="A89" s="4" t="s">
        <v>489</v>
      </c>
      <c r="B89" s="2" t="s">
        <v>293</v>
      </c>
      <c r="C89" s="2" t="s">
        <v>827</v>
      </c>
      <c r="D89" s="2" t="s">
        <v>828</v>
      </c>
      <c r="E89" s="2" t="s">
        <v>829</v>
      </c>
      <c r="F89" s="2" t="s">
        <v>470</v>
      </c>
      <c r="G89" s="2" t="s">
        <v>481</v>
      </c>
      <c r="H89" s="2" t="s">
        <v>154</v>
      </c>
      <c r="I89" s="2" t="s">
        <v>155</v>
      </c>
      <c r="J89" s="2" t="s">
        <v>155</v>
      </c>
      <c r="K89" s="2" t="s">
        <v>18</v>
      </c>
      <c r="L89" s="2" t="s">
        <v>539</v>
      </c>
      <c r="M89" s="2"/>
      <c r="N89" s="2"/>
      <c r="O89" s="2" t="s">
        <v>540</v>
      </c>
      <c r="P89" s="2" t="s">
        <v>680</v>
      </c>
      <c r="Q89" s="2"/>
      <c r="R89" s="2"/>
      <c r="S89" s="2" t="s">
        <v>33</v>
      </c>
      <c r="T89" s="2" t="s">
        <v>33</v>
      </c>
      <c r="U89" s="2"/>
      <c r="V89" s="2" t="s">
        <v>831</v>
      </c>
      <c r="W89" s="2"/>
      <c r="X89" s="2" t="s">
        <v>293</v>
      </c>
      <c r="Y89" s="2" t="s">
        <v>386</v>
      </c>
      <c r="Z89" s="2"/>
      <c r="AA89" s="2" t="s">
        <v>10</v>
      </c>
      <c r="AB89" s="5" t="s">
        <v>19</v>
      </c>
    </row>
    <row r="90" spans="1:28" ht="55.2" x14ac:dyDescent="0.3">
      <c r="A90" s="4" t="s">
        <v>489</v>
      </c>
      <c r="B90" s="2" t="s">
        <v>293</v>
      </c>
      <c r="C90" s="2" t="s">
        <v>827</v>
      </c>
      <c r="D90" s="2" t="s">
        <v>828</v>
      </c>
      <c r="E90" s="2" t="s">
        <v>829</v>
      </c>
      <c r="F90" s="2" t="s">
        <v>470</v>
      </c>
      <c r="G90" s="2" t="s">
        <v>490</v>
      </c>
      <c r="H90" s="2" t="s">
        <v>493</v>
      </c>
      <c r="I90" s="2" t="s">
        <v>124</v>
      </c>
      <c r="J90" s="2" t="s">
        <v>494</v>
      </c>
      <c r="K90" s="2" t="s">
        <v>18</v>
      </c>
      <c r="L90" s="2" t="s">
        <v>539</v>
      </c>
      <c r="M90" s="2"/>
      <c r="N90" s="2"/>
      <c r="O90" s="2" t="s">
        <v>540</v>
      </c>
      <c r="P90" s="2" t="s">
        <v>19</v>
      </c>
      <c r="Q90" s="2"/>
      <c r="R90" s="2" t="s">
        <v>840</v>
      </c>
      <c r="S90" s="2" t="s">
        <v>19</v>
      </c>
      <c r="T90" s="2" t="s">
        <v>19</v>
      </c>
      <c r="U90" s="2"/>
      <c r="V90" s="2" t="s">
        <v>831</v>
      </c>
      <c r="W90" s="2"/>
      <c r="X90" s="2" t="s">
        <v>293</v>
      </c>
      <c r="Y90" s="2" t="s">
        <v>386</v>
      </c>
      <c r="Z90" s="2"/>
      <c r="AA90" s="2" t="s">
        <v>10</v>
      </c>
      <c r="AB90" s="5" t="s">
        <v>19</v>
      </c>
    </row>
    <row r="91" spans="1:28" ht="55.2" x14ac:dyDescent="0.3">
      <c r="A91" s="4" t="s">
        <v>489</v>
      </c>
      <c r="B91" s="2" t="s">
        <v>293</v>
      </c>
      <c r="C91" s="2" t="s">
        <v>827</v>
      </c>
      <c r="D91" s="2" t="s">
        <v>828</v>
      </c>
      <c r="E91" s="2" t="s">
        <v>829</v>
      </c>
      <c r="F91" s="2" t="s">
        <v>470</v>
      </c>
      <c r="G91" s="2" t="s">
        <v>490</v>
      </c>
      <c r="H91" s="2" t="s">
        <v>299</v>
      </c>
      <c r="I91" s="2" t="s">
        <v>155</v>
      </c>
      <c r="J91" s="2" t="s">
        <v>155</v>
      </c>
      <c r="K91" s="2" t="s">
        <v>18</v>
      </c>
      <c r="L91" s="2" t="s">
        <v>539</v>
      </c>
      <c r="M91" s="2"/>
      <c r="N91" s="2"/>
      <c r="O91" s="2" t="s">
        <v>540</v>
      </c>
      <c r="P91" s="2" t="s">
        <v>680</v>
      </c>
      <c r="Q91" s="2"/>
      <c r="R91" s="2" t="s">
        <v>840</v>
      </c>
      <c r="S91" s="2" t="s">
        <v>19</v>
      </c>
      <c r="T91" s="2" t="s">
        <v>19</v>
      </c>
      <c r="U91" s="2"/>
      <c r="V91" s="2" t="s">
        <v>831</v>
      </c>
      <c r="W91" s="2"/>
      <c r="X91" s="2" t="s">
        <v>293</v>
      </c>
      <c r="Y91" s="2" t="s">
        <v>386</v>
      </c>
      <c r="Z91" s="2"/>
      <c r="AA91" s="2" t="s">
        <v>10</v>
      </c>
      <c r="AB91" s="5" t="s">
        <v>19</v>
      </c>
    </row>
    <row r="92" spans="1:28" ht="207" x14ac:dyDescent="0.3">
      <c r="A92" s="4" t="s">
        <v>489</v>
      </c>
      <c r="B92" s="2" t="s">
        <v>293</v>
      </c>
      <c r="C92" s="2" t="s">
        <v>827</v>
      </c>
      <c r="D92" s="2" t="s">
        <v>828</v>
      </c>
      <c r="E92" s="2" t="s">
        <v>829</v>
      </c>
      <c r="F92" s="2" t="s">
        <v>470</v>
      </c>
      <c r="G92" s="2" t="s">
        <v>481</v>
      </c>
      <c r="H92" s="2" t="s">
        <v>171</v>
      </c>
      <c r="I92" s="2" t="s">
        <v>172</v>
      </c>
      <c r="J92" s="2" t="s">
        <v>172</v>
      </c>
      <c r="K92" s="2" t="s">
        <v>363</v>
      </c>
      <c r="L92" s="2" t="s">
        <v>539</v>
      </c>
      <c r="M92" s="2" t="s">
        <v>32</v>
      </c>
      <c r="N92" s="2" t="s">
        <v>616</v>
      </c>
      <c r="O92" s="2" t="s">
        <v>540</v>
      </c>
      <c r="P92" s="2" t="s">
        <v>841</v>
      </c>
      <c r="Q92" s="2"/>
      <c r="R92" s="2" t="s">
        <v>842</v>
      </c>
      <c r="S92" s="2" t="s">
        <v>33</v>
      </c>
      <c r="T92" s="2" t="s">
        <v>33</v>
      </c>
      <c r="U92" s="2"/>
      <c r="V92" s="2" t="s">
        <v>831</v>
      </c>
      <c r="W92" s="2"/>
      <c r="X92" s="2" t="s">
        <v>293</v>
      </c>
      <c r="Y92" s="2" t="s">
        <v>386</v>
      </c>
      <c r="Z92" s="2"/>
      <c r="AA92" s="2" t="s">
        <v>10</v>
      </c>
      <c r="AB92" s="5" t="s">
        <v>33</v>
      </c>
    </row>
    <row r="93" spans="1:28" ht="207" x14ac:dyDescent="0.3">
      <c r="A93" s="4" t="s">
        <v>489</v>
      </c>
      <c r="B93" s="2" t="s">
        <v>293</v>
      </c>
      <c r="C93" s="2" t="s">
        <v>827</v>
      </c>
      <c r="D93" s="2" t="s">
        <v>828</v>
      </c>
      <c r="E93" s="2" t="s">
        <v>829</v>
      </c>
      <c r="F93" s="2" t="s">
        <v>470</v>
      </c>
      <c r="G93" s="2" t="s">
        <v>490</v>
      </c>
      <c r="H93" s="2" t="s">
        <v>171</v>
      </c>
      <c r="I93" s="2" t="s">
        <v>172</v>
      </c>
      <c r="J93" s="2" t="s">
        <v>172</v>
      </c>
      <c r="K93" s="2" t="s">
        <v>363</v>
      </c>
      <c r="L93" s="2" t="s">
        <v>539</v>
      </c>
      <c r="M93" s="2" t="s">
        <v>32</v>
      </c>
      <c r="N93" s="2" t="s">
        <v>616</v>
      </c>
      <c r="O93" s="2" t="s">
        <v>540</v>
      </c>
      <c r="P93" s="2" t="s">
        <v>841</v>
      </c>
      <c r="Q93" s="2"/>
      <c r="R93" s="2" t="s">
        <v>843</v>
      </c>
      <c r="S93" s="2"/>
      <c r="T93" s="2"/>
      <c r="U93" s="2"/>
      <c r="V93" s="2" t="s">
        <v>831</v>
      </c>
      <c r="W93" s="2"/>
      <c r="X93" s="2" t="s">
        <v>293</v>
      </c>
      <c r="Y93" s="2" t="s">
        <v>386</v>
      </c>
      <c r="Z93" s="2"/>
      <c r="AA93" s="2" t="s">
        <v>10</v>
      </c>
      <c r="AB93" s="5" t="s">
        <v>33</v>
      </c>
    </row>
    <row r="94" spans="1:28" ht="55.2" x14ac:dyDescent="0.3">
      <c r="A94" s="4" t="s">
        <v>489</v>
      </c>
      <c r="B94" s="2" t="s">
        <v>293</v>
      </c>
      <c r="C94" s="2" t="s">
        <v>827</v>
      </c>
      <c r="D94" s="2" t="s">
        <v>828</v>
      </c>
      <c r="E94" s="2" t="s">
        <v>829</v>
      </c>
      <c r="F94" s="2" t="s">
        <v>470</v>
      </c>
      <c r="G94" s="2" t="s">
        <v>490</v>
      </c>
      <c r="H94" s="2" t="s">
        <v>495</v>
      </c>
      <c r="I94" s="2" t="s">
        <v>327</v>
      </c>
      <c r="J94" s="2" t="s">
        <v>327</v>
      </c>
      <c r="K94" s="2" t="s">
        <v>18</v>
      </c>
      <c r="L94" s="2" t="s">
        <v>539</v>
      </c>
      <c r="M94" s="2"/>
      <c r="N94" s="2"/>
      <c r="O94" s="2"/>
      <c r="P94" s="2"/>
      <c r="Q94" s="2"/>
      <c r="R94" s="2" t="s">
        <v>844</v>
      </c>
      <c r="S94" s="2" t="s">
        <v>33</v>
      </c>
      <c r="T94" s="2" t="s">
        <v>33</v>
      </c>
      <c r="U94" s="2"/>
      <c r="V94" s="2" t="s">
        <v>831</v>
      </c>
      <c r="W94" s="2"/>
      <c r="X94" s="2" t="s">
        <v>293</v>
      </c>
      <c r="Y94" s="2" t="s">
        <v>386</v>
      </c>
      <c r="Z94" s="2"/>
      <c r="AA94" s="2"/>
      <c r="AB94" s="5" t="s">
        <v>19</v>
      </c>
    </row>
    <row r="95" spans="1:28" ht="55.2" x14ac:dyDescent="0.3">
      <c r="A95" s="4" t="s">
        <v>489</v>
      </c>
      <c r="B95" s="2" t="s">
        <v>293</v>
      </c>
      <c r="C95" s="2" t="s">
        <v>827</v>
      </c>
      <c r="D95" s="2" t="s">
        <v>828</v>
      </c>
      <c r="E95" s="2" t="s">
        <v>829</v>
      </c>
      <c r="F95" s="2" t="s">
        <v>682</v>
      </c>
      <c r="G95" s="2" t="s">
        <v>490</v>
      </c>
      <c r="H95" s="2" t="s">
        <v>300</v>
      </c>
      <c r="I95" s="2" t="s">
        <v>301</v>
      </c>
      <c r="J95" s="2" t="s">
        <v>301</v>
      </c>
      <c r="K95" s="2" t="s">
        <v>18</v>
      </c>
      <c r="L95" s="2" t="s">
        <v>539</v>
      </c>
      <c r="M95" s="2"/>
      <c r="N95" s="2"/>
      <c r="O95" s="2" t="s">
        <v>497</v>
      </c>
      <c r="P95" s="2" t="s">
        <v>683</v>
      </c>
      <c r="Q95" s="2"/>
      <c r="R95" s="2" t="s">
        <v>845</v>
      </c>
      <c r="S95" s="2" t="s">
        <v>33</v>
      </c>
      <c r="T95" s="2" t="s">
        <v>33</v>
      </c>
      <c r="U95" s="2"/>
      <c r="V95" s="2" t="s">
        <v>831</v>
      </c>
      <c r="W95" s="2"/>
      <c r="X95" s="2" t="s">
        <v>293</v>
      </c>
      <c r="Y95" s="2" t="s">
        <v>386</v>
      </c>
      <c r="Z95" s="2"/>
      <c r="AA95" s="2" t="s">
        <v>102</v>
      </c>
      <c r="AB95" s="5" t="s">
        <v>19</v>
      </c>
    </row>
    <row r="96" spans="1:28" ht="55.2" x14ac:dyDescent="0.3">
      <c r="A96" s="4" t="s">
        <v>489</v>
      </c>
      <c r="B96" s="2" t="s">
        <v>293</v>
      </c>
      <c r="C96" s="2" t="s">
        <v>827</v>
      </c>
      <c r="D96" s="2" t="s">
        <v>828</v>
      </c>
      <c r="E96" s="2" t="s">
        <v>829</v>
      </c>
      <c r="F96" s="2" t="s">
        <v>682</v>
      </c>
      <c r="G96" s="2" t="s">
        <v>490</v>
      </c>
      <c r="H96" s="2" t="s">
        <v>302</v>
      </c>
      <c r="I96" s="2" t="s">
        <v>496</v>
      </c>
      <c r="J96" s="2" t="s">
        <v>496</v>
      </c>
      <c r="K96" s="2" t="s">
        <v>18</v>
      </c>
      <c r="L96" s="2" t="s">
        <v>617</v>
      </c>
      <c r="M96" s="2" t="s">
        <v>497</v>
      </c>
      <c r="N96" s="2"/>
      <c r="O96" s="2" t="s">
        <v>497</v>
      </c>
      <c r="P96" s="2"/>
      <c r="Q96" s="2"/>
      <c r="R96" s="2" t="s">
        <v>845</v>
      </c>
      <c r="S96" s="2" t="s">
        <v>33</v>
      </c>
      <c r="T96" s="2" t="s">
        <v>33</v>
      </c>
      <c r="U96" s="2"/>
      <c r="V96" s="2" t="s">
        <v>831</v>
      </c>
      <c r="W96" s="2"/>
      <c r="X96" s="2" t="s">
        <v>293</v>
      </c>
      <c r="Y96" s="2" t="s">
        <v>386</v>
      </c>
      <c r="Z96" s="2"/>
      <c r="AA96" s="2" t="s">
        <v>102</v>
      </c>
      <c r="AB96" s="5" t="s">
        <v>19</v>
      </c>
    </row>
    <row r="97" spans="1:28" ht="82.8" x14ac:dyDescent="0.3">
      <c r="A97" s="4" t="s">
        <v>489</v>
      </c>
      <c r="B97" s="2" t="s">
        <v>293</v>
      </c>
      <c r="C97" s="2" t="s">
        <v>827</v>
      </c>
      <c r="D97" s="2" t="s">
        <v>828</v>
      </c>
      <c r="E97" s="2" t="s">
        <v>829</v>
      </c>
      <c r="F97" s="2" t="s">
        <v>682</v>
      </c>
      <c r="G97" s="2" t="s">
        <v>490</v>
      </c>
      <c r="H97" s="2" t="s">
        <v>498</v>
      </c>
      <c r="I97" s="2" t="s">
        <v>499</v>
      </c>
      <c r="J97" s="2" t="s">
        <v>499</v>
      </c>
      <c r="K97" s="2" t="s">
        <v>50</v>
      </c>
      <c r="L97" s="2" t="s">
        <v>684</v>
      </c>
      <c r="M97" s="2" t="s">
        <v>497</v>
      </c>
      <c r="N97" s="2" t="s">
        <v>685</v>
      </c>
      <c r="O97" s="2" t="s">
        <v>497</v>
      </c>
      <c r="P97" s="2"/>
      <c r="Q97" s="2"/>
      <c r="R97" s="2" t="s">
        <v>845</v>
      </c>
      <c r="S97" s="2" t="s">
        <v>33</v>
      </c>
      <c r="T97" s="2" t="s">
        <v>33</v>
      </c>
      <c r="U97" s="2"/>
      <c r="V97" s="2" t="s">
        <v>831</v>
      </c>
      <c r="W97" s="2"/>
      <c r="X97" s="2" t="s">
        <v>293</v>
      </c>
      <c r="Y97" s="2" t="s">
        <v>386</v>
      </c>
      <c r="Z97" s="2"/>
      <c r="AA97" s="2" t="s">
        <v>102</v>
      </c>
      <c r="AB97" s="5" t="s">
        <v>19</v>
      </c>
    </row>
    <row r="98" spans="1:28" ht="55.2" x14ac:dyDescent="0.3">
      <c r="A98" s="4" t="s">
        <v>489</v>
      </c>
      <c r="B98" s="2" t="s">
        <v>293</v>
      </c>
      <c r="C98" s="2" t="s">
        <v>827</v>
      </c>
      <c r="D98" s="2" t="s">
        <v>828</v>
      </c>
      <c r="E98" s="2" t="s">
        <v>829</v>
      </c>
      <c r="F98" s="2" t="s">
        <v>682</v>
      </c>
      <c r="G98" s="2" t="s">
        <v>490</v>
      </c>
      <c r="H98" s="2" t="s">
        <v>500</v>
      </c>
      <c r="I98" s="2" t="s">
        <v>72</v>
      </c>
      <c r="J98" s="2" t="s">
        <v>72</v>
      </c>
      <c r="K98" s="2" t="s">
        <v>501</v>
      </c>
      <c r="L98" s="2" t="s">
        <v>846</v>
      </c>
      <c r="M98" s="2" t="s">
        <v>502</v>
      </c>
      <c r="N98" s="2" t="s">
        <v>847</v>
      </c>
      <c r="O98" s="2" t="s">
        <v>497</v>
      </c>
      <c r="P98" s="2"/>
      <c r="Q98" s="2"/>
      <c r="R98" s="2" t="s">
        <v>848</v>
      </c>
      <c r="S98" s="2" t="s">
        <v>33</v>
      </c>
      <c r="T98" s="2" t="s">
        <v>33</v>
      </c>
      <c r="U98" s="2"/>
      <c r="V98" s="2" t="s">
        <v>831</v>
      </c>
      <c r="W98" s="2"/>
      <c r="X98" s="2" t="s">
        <v>293</v>
      </c>
      <c r="Y98" s="2" t="s">
        <v>386</v>
      </c>
      <c r="Z98" s="2"/>
      <c r="AA98" s="2" t="s">
        <v>102</v>
      </c>
      <c r="AB98" s="5" t="s">
        <v>19</v>
      </c>
    </row>
    <row r="99" spans="1:28" ht="55.2" x14ac:dyDescent="0.3">
      <c r="A99" s="4" t="s">
        <v>489</v>
      </c>
      <c r="B99" s="2" t="s">
        <v>293</v>
      </c>
      <c r="C99" s="2" t="s">
        <v>827</v>
      </c>
      <c r="D99" s="2" t="s">
        <v>828</v>
      </c>
      <c r="E99" s="2" t="s">
        <v>829</v>
      </c>
      <c r="F99" s="2" t="s">
        <v>470</v>
      </c>
      <c r="G99" s="2" t="s">
        <v>490</v>
      </c>
      <c r="H99" s="2" t="s">
        <v>503</v>
      </c>
      <c r="I99" s="2" t="s">
        <v>504</v>
      </c>
      <c r="J99" s="2" t="s">
        <v>504</v>
      </c>
      <c r="K99" s="2" t="s">
        <v>505</v>
      </c>
      <c r="L99" s="2" t="s">
        <v>539</v>
      </c>
      <c r="M99" s="2"/>
      <c r="N99" s="2"/>
      <c r="O99" s="2" t="s">
        <v>540</v>
      </c>
      <c r="P99" s="2" t="s">
        <v>690</v>
      </c>
      <c r="Q99" s="2"/>
      <c r="R99" s="2" t="s">
        <v>849</v>
      </c>
      <c r="S99" s="2" t="s">
        <v>33</v>
      </c>
      <c r="T99" s="2" t="s">
        <v>33</v>
      </c>
      <c r="U99" s="2"/>
      <c r="V99" s="2" t="s">
        <v>831</v>
      </c>
      <c r="W99" s="2"/>
      <c r="X99" s="2" t="s">
        <v>293</v>
      </c>
      <c r="Y99" s="2" t="s">
        <v>386</v>
      </c>
      <c r="Z99" s="2"/>
      <c r="AA99" s="2" t="s">
        <v>10</v>
      </c>
      <c r="AB99" s="5" t="s">
        <v>19</v>
      </c>
    </row>
    <row r="100" spans="1:28" ht="55.2" x14ac:dyDescent="0.3">
      <c r="A100" s="4" t="s">
        <v>489</v>
      </c>
      <c r="B100" s="2" t="s">
        <v>293</v>
      </c>
      <c r="C100" s="2" t="s">
        <v>827</v>
      </c>
      <c r="D100" s="2" t="s">
        <v>828</v>
      </c>
      <c r="E100" s="2" t="s">
        <v>829</v>
      </c>
      <c r="F100" s="2" t="s">
        <v>470</v>
      </c>
      <c r="G100" s="2" t="s">
        <v>490</v>
      </c>
      <c r="H100" s="2" t="s">
        <v>160</v>
      </c>
      <c r="I100" s="2" t="s">
        <v>161</v>
      </c>
      <c r="J100" s="2" t="s">
        <v>161</v>
      </c>
      <c r="K100" s="2" t="s">
        <v>18</v>
      </c>
      <c r="L100" s="2" t="s">
        <v>539</v>
      </c>
      <c r="M100" s="2"/>
      <c r="N100" s="2"/>
      <c r="O100" s="2" t="s">
        <v>540</v>
      </c>
      <c r="P100" s="2" t="s">
        <v>692</v>
      </c>
      <c r="Q100" s="2"/>
      <c r="R100" s="2" t="s">
        <v>840</v>
      </c>
      <c r="S100" s="2" t="s">
        <v>33</v>
      </c>
      <c r="T100" s="2" t="s">
        <v>33</v>
      </c>
      <c r="U100" s="2"/>
      <c r="V100" s="2" t="s">
        <v>831</v>
      </c>
      <c r="W100" s="2"/>
      <c r="X100" s="2" t="s">
        <v>293</v>
      </c>
      <c r="Y100" s="2" t="s">
        <v>386</v>
      </c>
      <c r="Z100" s="2"/>
      <c r="AA100" s="2" t="s">
        <v>10</v>
      </c>
      <c r="AB100" s="5" t="s">
        <v>19</v>
      </c>
    </row>
    <row r="101" spans="1:28" ht="55.2" x14ac:dyDescent="0.3">
      <c r="A101" s="4" t="s">
        <v>489</v>
      </c>
      <c r="B101" s="2" t="s">
        <v>293</v>
      </c>
      <c r="C101" s="2" t="s">
        <v>827</v>
      </c>
      <c r="D101" s="2" t="s">
        <v>828</v>
      </c>
      <c r="E101" s="2" t="s">
        <v>829</v>
      </c>
      <c r="F101" s="2" t="s">
        <v>470</v>
      </c>
      <c r="G101" s="2" t="s">
        <v>490</v>
      </c>
      <c r="H101" s="2" t="s">
        <v>162</v>
      </c>
      <c r="I101" s="2" t="s">
        <v>163</v>
      </c>
      <c r="J101" s="2" t="s">
        <v>163</v>
      </c>
      <c r="K101" s="2" t="s">
        <v>18</v>
      </c>
      <c r="L101" s="2" t="s">
        <v>539</v>
      </c>
      <c r="M101" s="2"/>
      <c r="N101" s="2"/>
      <c r="O101" s="2" t="s">
        <v>540</v>
      </c>
      <c r="P101" s="2" t="s">
        <v>693</v>
      </c>
      <c r="Q101" s="2"/>
      <c r="R101" s="2" t="s">
        <v>840</v>
      </c>
      <c r="S101" s="2" t="s">
        <v>33</v>
      </c>
      <c r="T101" s="2" t="s">
        <v>33</v>
      </c>
      <c r="U101" s="2"/>
      <c r="V101" s="2" t="s">
        <v>831</v>
      </c>
      <c r="W101" s="2"/>
      <c r="X101" s="2" t="s">
        <v>293</v>
      </c>
      <c r="Y101" s="2" t="s">
        <v>386</v>
      </c>
      <c r="Z101" s="2"/>
      <c r="AA101" s="2" t="s">
        <v>10</v>
      </c>
      <c r="AB101" s="5" t="s">
        <v>19</v>
      </c>
    </row>
    <row r="102" spans="1:28" ht="138" x14ac:dyDescent="0.3">
      <c r="A102" s="4" t="s">
        <v>489</v>
      </c>
      <c r="B102" s="2" t="s">
        <v>293</v>
      </c>
      <c r="C102" s="2" t="s">
        <v>827</v>
      </c>
      <c r="D102" s="2" t="s">
        <v>828</v>
      </c>
      <c r="E102" s="2" t="s">
        <v>829</v>
      </c>
      <c r="F102" s="2" t="s">
        <v>470</v>
      </c>
      <c r="G102" s="2" t="s">
        <v>481</v>
      </c>
      <c r="H102" s="2" t="s">
        <v>169</v>
      </c>
      <c r="I102" s="2" t="s">
        <v>170</v>
      </c>
      <c r="J102" s="2" t="s">
        <v>170</v>
      </c>
      <c r="K102" s="2" t="s">
        <v>363</v>
      </c>
      <c r="L102" s="2" t="s">
        <v>850</v>
      </c>
      <c r="M102" s="2" t="s">
        <v>35</v>
      </c>
      <c r="N102" s="2" t="s">
        <v>614</v>
      </c>
      <c r="O102" s="2" t="s">
        <v>318</v>
      </c>
      <c r="P102" s="2"/>
      <c r="Q102" s="2"/>
      <c r="R102" s="2" t="s">
        <v>851</v>
      </c>
      <c r="S102" s="2" t="s">
        <v>33</v>
      </c>
      <c r="T102" s="2" t="s">
        <v>33</v>
      </c>
      <c r="U102" s="2"/>
      <c r="V102" s="2" t="s">
        <v>831</v>
      </c>
      <c r="W102" s="2"/>
      <c r="X102" s="2" t="s">
        <v>293</v>
      </c>
      <c r="Y102" s="2" t="s">
        <v>386</v>
      </c>
      <c r="Z102" s="2"/>
      <c r="AA102" s="2" t="s">
        <v>27</v>
      </c>
      <c r="AB102" s="5" t="s">
        <v>33</v>
      </c>
    </row>
    <row r="103" spans="1:28" ht="69" x14ac:dyDescent="0.3">
      <c r="A103" s="4" t="s">
        <v>489</v>
      </c>
      <c r="B103" s="2" t="s">
        <v>293</v>
      </c>
      <c r="C103" s="2" t="s">
        <v>827</v>
      </c>
      <c r="D103" s="2" t="s">
        <v>828</v>
      </c>
      <c r="E103" s="2" t="s">
        <v>829</v>
      </c>
      <c r="F103" s="2" t="s">
        <v>470</v>
      </c>
      <c r="G103" s="2" t="s">
        <v>481</v>
      </c>
      <c r="H103" s="2" t="s">
        <v>316</v>
      </c>
      <c r="I103" s="2" t="s">
        <v>317</v>
      </c>
      <c r="J103" s="2" t="s">
        <v>317</v>
      </c>
      <c r="K103" s="2" t="s">
        <v>18</v>
      </c>
      <c r="L103" s="2" t="s">
        <v>539</v>
      </c>
      <c r="M103" s="2"/>
      <c r="N103" s="2"/>
      <c r="O103" s="2" t="s">
        <v>852</v>
      </c>
      <c r="P103" s="2" t="s">
        <v>694</v>
      </c>
      <c r="Q103" s="2"/>
      <c r="R103" s="2" t="s">
        <v>853</v>
      </c>
      <c r="S103" s="2" t="s">
        <v>33</v>
      </c>
      <c r="T103" s="2" t="s">
        <v>33</v>
      </c>
      <c r="U103" s="2"/>
      <c r="V103" s="2" t="s">
        <v>831</v>
      </c>
      <c r="W103" s="2"/>
      <c r="X103" s="2" t="s">
        <v>293</v>
      </c>
      <c r="Y103" s="2" t="s">
        <v>386</v>
      </c>
      <c r="Z103" s="2"/>
      <c r="AA103" s="2" t="s">
        <v>27</v>
      </c>
      <c r="AB103" s="5" t="s">
        <v>19</v>
      </c>
    </row>
    <row r="104" spans="1:28" ht="207" x14ac:dyDescent="0.3">
      <c r="A104" s="4" t="s">
        <v>489</v>
      </c>
      <c r="B104" s="2" t="s">
        <v>293</v>
      </c>
      <c r="C104" s="2" t="s">
        <v>827</v>
      </c>
      <c r="D104" s="2" t="s">
        <v>828</v>
      </c>
      <c r="E104" s="2" t="s">
        <v>829</v>
      </c>
      <c r="F104" s="2" t="s">
        <v>470</v>
      </c>
      <c r="G104" s="2" t="s">
        <v>481</v>
      </c>
      <c r="H104" s="2" t="s">
        <v>319</v>
      </c>
      <c r="I104" s="2" t="s">
        <v>320</v>
      </c>
      <c r="J104" s="2" t="s">
        <v>320</v>
      </c>
      <c r="K104" s="2" t="s">
        <v>18</v>
      </c>
      <c r="L104" s="2" t="s">
        <v>539</v>
      </c>
      <c r="M104" s="2"/>
      <c r="N104" s="2" t="s">
        <v>697</v>
      </c>
      <c r="O104" s="2" t="s">
        <v>540</v>
      </c>
      <c r="P104" s="2" t="s">
        <v>697</v>
      </c>
      <c r="Q104" s="2"/>
      <c r="R104" s="2" t="s">
        <v>854</v>
      </c>
      <c r="S104" s="2" t="s">
        <v>33</v>
      </c>
      <c r="T104" s="2" t="s">
        <v>33</v>
      </c>
      <c r="U104" s="2"/>
      <c r="V104" s="2" t="s">
        <v>831</v>
      </c>
      <c r="W104" s="2"/>
      <c r="X104" s="2" t="s">
        <v>293</v>
      </c>
      <c r="Y104" s="2" t="s">
        <v>386</v>
      </c>
      <c r="Z104" s="2"/>
      <c r="AA104" s="2" t="s">
        <v>10</v>
      </c>
      <c r="AB104" s="5" t="s">
        <v>19</v>
      </c>
    </row>
    <row r="105" spans="1:28" ht="55.2" x14ac:dyDescent="0.3">
      <c r="A105" s="4" t="s">
        <v>489</v>
      </c>
      <c r="B105" s="2" t="s">
        <v>293</v>
      </c>
      <c r="C105" s="2" t="s">
        <v>827</v>
      </c>
      <c r="D105" s="2" t="s">
        <v>828</v>
      </c>
      <c r="E105" s="2" t="s">
        <v>829</v>
      </c>
      <c r="F105" s="2" t="s">
        <v>470</v>
      </c>
      <c r="G105" s="2" t="s">
        <v>481</v>
      </c>
      <c r="H105" s="2" t="s">
        <v>321</v>
      </c>
      <c r="I105" s="2" t="s">
        <v>184</v>
      </c>
      <c r="J105" s="2" t="s">
        <v>184</v>
      </c>
      <c r="K105" s="2" t="s">
        <v>18</v>
      </c>
      <c r="L105" s="2" t="s">
        <v>617</v>
      </c>
      <c r="M105" s="2"/>
      <c r="N105" s="2" t="s">
        <v>698</v>
      </c>
      <c r="O105" s="2" t="s">
        <v>540</v>
      </c>
      <c r="P105" s="2"/>
      <c r="Q105" s="2"/>
      <c r="R105" s="2" t="s">
        <v>855</v>
      </c>
      <c r="S105" s="2" t="s">
        <v>33</v>
      </c>
      <c r="T105" s="2" t="s">
        <v>623</v>
      </c>
      <c r="U105" s="2"/>
      <c r="V105" s="2" t="s">
        <v>831</v>
      </c>
      <c r="W105" s="2"/>
      <c r="X105" s="2" t="s">
        <v>293</v>
      </c>
      <c r="Y105" s="2" t="s">
        <v>386</v>
      </c>
      <c r="Z105" s="2"/>
      <c r="AA105" s="2" t="s">
        <v>10</v>
      </c>
      <c r="AB105" s="5" t="s">
        <v>19</v>
      </c>
    </row>
    <row r="106" spans="1:28" ht="55.2" x14ac:dyDescent="0.3">
      <c r="A106" s="4" t="s">
        <v>489</v>
      </c>
      <c r="B106" s="2" t="s">
        <v>293</v>
      </c>
      <c r="C106" s="2" t="s">
        <v>827</v>
      </c>
      <c r="D106" s="2" t="s">
        <v>828</v>
      </c>
      <c r="E106" s="2" t="s">
        <v>829</v>
      </c>
      <c r="F106" s="2" t="s">
        <v>470</v>
      </c>
      <c r="G106" s="2" t="s">
        <v>490</v>
      </c>
      <c r="H106" s="2" t="s">
        <v>321</v>
      </c>
      <c r="I106" s="2" t="s">
        <v>184</v>
      </c>
      <c r="J106" s="2" t="s">
        <v>184</v>
      </c>
      <c r="K106" s="2" t="s">
        <v>18</v>
      </c>
      <c r="L106" s="2" t="s">
        <v>617</v>
      </c>
      <c r="M106" s="2"/>
      <c r="N106" s="2" t="s">
        <v>698</v>
      </c>
      <c r="O106" s="2" t="s">
        <v>540</v>
      </c>
      <c r="P106" s="2"/>
      <c r="Q106" s="2"/>
      <c r="R106" s="2" t="s">
        <v>856</v>
      </c>
      <c r="S106" s="2" t="s">
        <v>33</v>
      </c>
      <c r="T106" s="2" t="s">
        <v>623</v>
      </c>
      <c r="U106" s="2"/>
      <c r="V106" s="2" t="s">
        <v>831</v>
      </c>
      <c r="W106" s="2"/>
      <c r="X106" s="2" t="s">
        <v>293</v>
      </c>
      <c r="Y106" s="2" t="s">
        <v>386</v>
      </c>
      <c r="Z106" s="2"/>
      <c r="AA106" s="2" t="s">
        <v>10</v>
      </c>
      <c r="AB106" s="5" t="s">
        <v>19</v>
      </c>
    </row>
    <row r="107" spans="1:28" ht="55.2" x14ac:dyDescent="0.3">
      <c r="A107" s="4" t="s">
        <v>489</v>
      </c>
      <c r="B107" s="2" t="s">
        <v>293</v>
      </c>
      <c r="C107" s="2" t="s">
        <v>827</v>
      </c>
      <c r="D107" s="2" t="s">
        <v>828</v>
      </c>
      <c r="E107" s="2" t="s">
        <v>829</v>
      </c>
      <c r="F107" s="2" t="s">
        <v>470</v>
      </c>
      <c r="G107" s="2" t="s">
        <v>481</v>
      </c>
      <c r="H107" s="2" t="s">
        <v>322</v>
      </c>
      <c r="I107" s="2" t="s">
        <v>323</v>
      </c>
      <c r="J107" s="2" t="s">
        <v>323</v>
      </c>
      <c r="K107" s="2" t="s">
        <v>18</v>
      </c>
      <c r="L107" s="2" t="s">
        <v>539</v>
      </c>
      <c r="M107" s="2"/>
      <c r="N107" s="2" t="s">
        <v>700</v>
      </c>
      <c r="O107" s="2" t="s">
        <v>540</v>
      </c>
      <c r="P107" s="2" t="s">
        <v>700</v>
      </c>
      <c r="Q107" s="2"/>
      <c r="R107" s="2" t="s">
        <v>857</v>
      </c>
      <c r="S107" s="2" t="s">
        <v>33</v>
      </c>
      <c r="T107" s="2" t="s">
        <v>33</v>
      </c>
      <c r="U107" s="2"/>
      <c r="V107" s="2" t="s">
        <v>831</v>
      </c>
      <c r="W107" s="2"/>
      <c r="X107" s="2" t="s">
        <v>293</v>
      </c>
      <c r="Y107" s="2" t="s">
        <v>386</v>
      </c>
      <c r="Z107" s="2"/>
      <c r="AA107" s="2" t="s">
        <v>10</v>
      </c>
      <c r="AB107" s="5" t="s">
        <v>19</v>
      </c>
    </row>
    <row r="108" spans="1:28" ht="55.2" x14ac:dyDescent="0.3">
      <c r="A108" s="4" t="s">
        <v>489</v>
      </c>
      <c r="B108" s="2" t="s">
        <v>293</v>
      </c>
      <c r="C108" s="2" t="s">
        <v>827</v>
      </c>
      <c r="D108" s="2" t="s">
        <v>828</v>
      </c>
      <c r="E108" s="2" t="s">
        <v>829</v>
      </c>
      <c r="F108" s="2" t="s">
        <v>470</v>
      </c>
      <c r="G108" s="2" t="s">
        <v>481</v>
      </c>
      <c r="H108" s="2" t="s">
        <v>324</v>
      </c>
      <c r="I108" s="2" t="s">
        <v>325</v>
      </c>
      <c r="J108" s="2" t="s">
        <v>325</v>
      </c>
      <c r="K108" s="2" t="s">
        <v>18</v>
      </c>
      <c r="L108" s="2" t="s">
        <v>539</v>
      </c>
      <c r="M108" s="2"/>
      <c r="N108" s="2" t="s">
        <v>702</v>
      </c>
      <c r="O108" s="2" t="s">
        <v>540</v>
      </c>
      <c r="P108" s="2" t="s">
        <v>702</v>
      </c>
      <c r="Q108" s="2"/>
      <c r="R108" s="2" t="s">
        <v>857</v>
      </c>
      <c r="S108" s="2" t="s">
        <v>33</v>
      </c>
      <c r="T108" s="2" t="s">
        <v>33</v>
      </c>
      <c r="U108" s="2"/>
      <c r="V108" s="2" t="s">
        <v>831</v>
      </c>
      <c r="W108" s="2"/>
      <c r="X108" s="2" t="s">
        <v>293</v>
      </c>
      <c r="Y108" s="2" t="s">
        <v>386</v>
      </c>
      <c r="Z108" s="2"/>
      <c r="AA108" s="2" t="s">
        <v>10</v>
      </c>
      <c r="AB108" s="5" t="s">
        <v>19</v>
      </c>
    </row>
    <row r="109" spans="1:28" ht="55.2" x14ac:dyDescent="0.3">
      <c r="A109" s="4" t="s">
        <v>489</v>
      </c>
      <c r="B109" s="2" t="s">
        <v>293</v>
      </c>
      <c r="C109" s="2" t="s">
        <v>827</v>
      </c>
      <c r="D109" s="2" t="s">
        <v>828</v>
      </c>
      <c r="E109" s="2" t="s">
        <v>829</v>
      </c>
      <c r="F109" s="2" t="s">
        <v>470</v>
      </c>
      <c r="G109" s="2" t="s">
        <v>481</v>
      </c>
      <c r="H109" s="2" t="s">
        <v>43</v>
      </c>
      <c r="I109" s="2" t="s">
        <v>164</v>
      </c>
      <c r="J109" s="2" t="s">
        <v>164</v>
      </c>
      <c r="K109" s="2" t="s">
        <v>18</v>
      </c>
      <c r="L109" s="2" t="s">
        <v>539</v>
      </c>
      <c r="M109" s="2"/>
      <c r="N109" s="2" t="s">
        <v>703</v>
      </c>
      <c r="O109" s="2" t="s">
        <v>540</v>
      </c>
      <c r="P109" s="2" t="s">
        <v>703</v>
      </c>
      <c r="Q109" s="2"/>
      <c r="R109" s="2"/>
      <c r="S109" s="2" t="s">
        <v>33</v>
      </c>
      <c r="T109" s="2" t="s">
        <v>33</v>
      </c>
      <c r="U109" s="2"/>
      <c r="V109" s="2" t="s">
        <v>831</v>
      </c>
      <c r="W109" s="2"/>
      <c r="X109" s="2" t="s">
        <v>293</v>
      </c>
      <c r="Y109" s="2" t="s">
        <v>386</v>
      </c>
      <c r="Z109" s="2"/>
      <c r="AA109" s="2" t="s">
        <v>10</v>
      </c>
      <c r="AB109" s="5" t="s">
        <v>19</v>
      </c>
    </row>
    <row r="110" spans="1:28" ht="124.2" x14ac:dyDescent="0.3">
      <c r="A110" s="4" t="s">
        <v>489</v>
      </c>
      <c r="B110" s="2" t="s">
        <v>293</v>
      </c>
      <c r="C110" s="2" t="s">
        <v>827</v>
      </c>
      <c r="D110" s="2" t="s">
        <v>828</v>
      </c>
      <c r="E110" s="2" t="s">
        <v>829</v>
      </c>
      <c r="F110" s="2" t="s">
        <v>470</v>
      </c>
      <c r="G110" s="2" t="s">
        <v>481</v>
      </c>
      <c r="H110" s="2" t="s">
        <v>244</v>
      </c>
      <c r="I110" s="2" t="s">
        <v>245</v>
      </c>
      <c r="J110" s="2" t="s">
        <v>245</v>
      </c>
      <c r="K110" s="2" t="s">
        <v>363</v>
      </c>
      <c r="L110" s="2" t="s">
        <v>539</v>
      </c>
      <c r="M110" s="2"/>
      <c r="N110" s="2" t="s">
        <v>704</v>
      </c>
      <c r="O110" s="2" t="s">
        <v>540</v>
      </c>
      <c r="P110" s="2" t="s">
        <v>705</v>
      </c>
      <c r="Q110" s="2"/>
      <c r="R110" s="2" t="s">
        <v>858</v>
      </c>
      <c r="S110" s="2" t="s">
        <v>33</v>
      </c>
      <c r="T110" s="2" t="s">
        <v>33</v>
      </c>
      <c r="U110" s="2"/>
      <c r="V110" s="2" t="s">
        <v>831</v>
      </c>
      <c r="W110" s="2"/>
      <c r="X110" s="2" t="s">
        <v>293</v>
      </c>
      <c r="Y110" s="2" t="s">
        <v>386</v>
      </c>
      <c r="Z110" s="2"/>
      <c r="AA110" s="2" t="s">
        <v>10</v>
      </c>
      <c r="AB110" s="5" t="s">
        <v>19</v>
      </c>
    </row>
    <row r="111" spans="1:28" ht="55.2" x14ac:dyDescent="0.3">
      <c r="A111" s="4" t="s">
        <v>489</v>
      </c>
      <c r="B111" s="2" t="s">
        <v>293</v>
      </c>
      <c r="C111" s="2" t="s">
        <v>827</v>
      </c>
      <c r="D111" s="2" t="s">
        <v>828</v>
      </c>
      <c r="E111" s="2" t="s">
        <v>829</v>
      </c>
      <c r="F111" s="2" t="s">
        <v>470</v>
      </c>
      <c r="G111" s="2" t="s">
        <v>481</v>
      </c>
      <c r="H111" s="2" t="s">
        <v>247</v>
      </c>
      <c r="I111" s="2" t="s">
        <v>248</v>
      </c>
      <c r="J111" s="2" t="s">
        <v>248</v>
      </c>
      <c r="K111" s="2" t="s">
        <v>18</v>
      </c>
      <c r="L111" s="2" t="s">
        <v>539</v>
      </c>
      <c r="M111" s="2"/>
      <c r="N111" s="2"/>
      <c r="O111" s="2" t="s">
        <v>540</v>
      </c>
      <c r="P111" s="2" t="s">
        <v>657</v>
      </c>
      <c r="Q111" s="2"/>
      <c r="R111" s="2" t="s">
        <v>859</v>
      </c>
      <c r="S111" s="2" t="s">
        <v>33</v>
      </c>
      <c r="T111" s="2" t="s">
        <v>33</v>
      </c>
      <c r="U111" s="2"/>
      <c r="V111" s="2" t="s">
        <v>831</v>
      </c>
      <c r="W111" s="2"/>
      <c r="X111" s="2" t="s">
        <v>293</v>
      </c>
      <c r="Y111" s="2" t="s">
        <v>386</v>
      </c>
      <c r="Z111" s="2"/>
      <c r="AA111" s="2" t="s">
        <v>10</v>
      </c>
      <c r="AB111" s="5" t="s">
        <v>19</v>
      </c>
    </row>
    <row r="112" spans="1:28" ht="55.2" x14ac:dyDescent="0.3">
      <c r="A112" s="4" t="s">
        <v>489</v>
      </c>
      <c r="B112" s="2" t="s">
        <v>293</v>
      </c>
      <c r="C112" s="2" t="s">
        <v>827</v>
      </c>
      <c r="D112" s="2" t="s">
        <v>828</v>
      </c>
      <c r="E112" s="2" t="s">
        <v>829</v>
      </c>
      <c r="F112" s="2" t="s">
        <v>470</v>
      </c>
      <c r="G112" s="2" t="s">
        <v>490</v>
      </c>
      <c r="H112" s="2" t="s">
        <v>326</v>
      </c>
      <c r="I112" s="2" t="s">
        <v>327</v>
      </c>
      <c r="J112" s="2" t="s">
        <v>327</v>
      </c>
      <c r="K112" s="2" t="s">
        <v>18</v>
      </c>
      <c r="L112" s="2" t="s">
        <v>539</v>
      </c>
      <c r="M112" s="2"/>
      <c r="N112" s="2" t="s">
        <v>657</v>
      </c>
      <c r="O112" s="2" t="s">
        <v>318</v>
      </c>
      <c r="P112" s="2"/>
      <c r="Q112" s="2"/>
      <c r="R112" s="2"/>
      <c r="S112" s="2" t="s">
        <v>33</v>
      </c>
      <c r="T112" s="2" t="s">
        <v>33</v>
      </c>
      <c r="U112" s="2"/>
      <c r="V112" s="2" t="s">
        <v>831</v>
      </c>
      <c r="W112" s="2"/>
      <c r="X112" s="2" t="s">
        <v>293</v>
      </c>
      <c r="Y112" s="2" t="s">
        <v>386</v>
      </c>
      <c r="Z112" s="2"/>
      <c r="AA112" s="2" t="s">
        <v>27</v>
      </c>
      <c r="AB112" s="5" t="s">
        <v>19</v>
      </c>
    </row>
    <row r="113" spans="1:28" ht="82.8" x14ac:dyDescent="0.3">
      <c r="A113" s="4" t="s">
        <v>489</v>
      </c>
      <c r="B113" s="2" t="s">
        <v>293</v>
      </c>
      <c r="C113" s="2" t="s">
        <v>827</v>
      </c>
      <c r="D113" s="2" t="s">
        <v>828</v>
      </c>
      <c r="E113" s="2" t="s">
        <v>829</v>
      </c>
      <c r="F113" s="2" t="s">
        <v>470</v>
      </c>
      <c r="G113" s="2" t="s">
        <v>490</v>
      </c>
      <c r="H113" s="2" t="s">
        <v>328</v>
      </c>
      <c r="I113" s="2"/>
      <c r="J113" s="2" t="s">
        <v>329</v>
      </c>
      <c r="K113" s="2" t="s">
        <v>18</v>
      </c>
      <c r="L113" s="2" t="s">
        <v>539</v>
      </c>
      <c r="M113" s="2"/>
      <c r="N113" s="2" t="s">
        <v>706</v>
      </c>
      <c r="O113" s="2" t="s">
        <v>318</v>
      </c>
      <c r="P113" s="2"/>
      <c r="Q113" s="2"/>
      <c r="R113" s="2" t="s">
        <v>860</v>
      </c>
      <c r="S113" s="2" t="s">
        <v>19</v>
      </c>
      <c r="T113" s="2" t="s">
        <v>19</v>
      </c>
      <c r="U113" s="2"/>
      <c r="V113" s="2" t="s">
        <v>831</v>
      </c>
      <c r="W113" s="2"/>
      <c r="X113" s="2" t="s">
        <v>293</v>
      </c>
      <c r="Y113" s="2" t="s">
        <v>386</v>
      </c>
      <c r="Z113" s="2"/>
      <c r="AA113" s="2" t="s">
        <v>27</v>
      </c>
      <c r="AB113" s="5" t="s">
        <v>19</v>
      </c>
    </row>
    <row r="114" spans="1:28" ht="55.2" x14ac:dyDescent="0.3">
      <c r="A114" s="4" t="s">
        <v>489</v>
      </c>
      <c r="B114" s="2" t="s">
        <v>293</v>
      </c>
      <c r="C114" s="2" t="s">
        <v>827</v>
      </c>
      <c r="D114" s="2" t="s">
        <v>828</v>
      </c>
      <c r="E114" s="2" t="s">
        <v>829</v>
      </c>
      <c r="F114" s="2" t="s">
        <v>470</v>
      </c>
      <c r="G114" s="2" t="s">
        <v>481</v>
      </c>
      <c r="H114" s="2" t="s">
        <v>330</v>
      </c>
      <c r="I114" s="2" t="s">
        <v>331</v>
      </c>
      <c r="J114" s="2" t="s">
        <v>331</v>
      </c>
      <c r="K114" s="2" t="s">
        <v>18</v>
      </c>
      <c r="L114" s="2" t="s">
        <v>539</v>
      </c>
      <c r="M114" s="2"/>
      <c r="N114" s="2"/>
      <c r="O114" s="2" t="s">
        <v>318</v>
      </c>
      <c r="P114" s="2"/>
      <c r="Q114" s="2"/>
      <c r="R114" s="2" t="s">
        <v>861</v>
      </c>
      <c r="S114" s="2" t="s">
        <v>33</v>
      </c>
      <c r="T114" s="2" t="s">
        <v>33</v>
      </c>
      <c r="U114" s="2"/>
      <c r="V114" s="2" t="s">
        <v>831</v>
      </c>
      <c r="W114" s="2"/>
      <c r="X114" s="2" t="s">
        <v>293</v>
      </c>
      <c r="Y114" s="2" t="s">
        <v>386</v>
      </c>
      <c r="Z114" s="2"/>
      <c r="AA114" s="2" t="s">
        <v>27</v>
      </c>
      <c r="AB114" s="5" t="s">
        <v>19</v>
      </c>
    </row>
    <row r="115" spans="1:28" ht="55.2" x14ac:dyDescent="0.3">
      <c r="A115" s="4" t="s">
        <v>489</v>
      </c>
      <c r="B115" s="2" t="s">
        <v>293</v>
      </c>
      <c r="C115" s="2" t="s">
        <v>827</v>
      </c>
      <c r="D115" s="2" t="s">
        <v>828</v>
      </c>
      <c r="E115" s="2" t="s">
        <v>829</v>
      </c>
      <c r="F115" s="2" t="s">
        <v>470</v>
      </c>
      <c r="G115" s="2" t="s">
        <v>490</v>
      </c>
      <c r="H115" s="2" t="s">
        <v>330</v>
      </c>
      <c r="I115" s="2" t="s">
        <v>331</v>
      </c>
      <c r="J115" s="2" t="s">
        <v>331</v>
      </c>
      <c r="K115" s="2" t="s">
        <v>18</v>
      </c>
      <c r="L115" s="2" t="s">
        <v>539</v>
      </c>
      <c r="M115" s="2"/>
      <c r="N115" s="2"/>
      <c r="O115" s="2" t="s">
        <v>318</v>
      </c>
      <c r="P115" s="2"/>
      <c r="Q115" s="2"/>
      <c r="R115" s="2" t="s">
        <v>862</v>
      </c>
      <c r="S115" s="2" t="s">
        <v>19</v>
      </c>
      <c r="T115" s="2" t="s">
        <v>19</v>
      </c>
      <c r="U115" s="2"/>
      <c r="V115" s="2" t="s">
        <v>831</v>
      </c>
      <c r="W115" s="2"/>
      <c r="X115" s="2" t="s">
        <v>293</v>
      </c>
      <c r="Y115" s="2" t="s">
        <v>386</v>
      </c>
      <c r="Z115" s="2"/>
      <c r="AA115" s="2" t="s">
        <v>27</v>
      </c>
      <c r="AB115" s="5" t="s">
        <v>19</v>
      </c>
    </row>
    <row r="116" spans="1:28" ht="262.2" x14ac:dyDescent="0.3">
      <c r="A116" s="4" t="s">
        <v>489</v>
      </c>
      <c r="B116" s="2" t="s">
        <v>293</v>
      </c>
      <c r="C116" s="2" t="s">
        <v>863</v>
      </c>
      <c r="D116" s="2" t="s">
        <v>864</v>
      </c>
      <c r="E116" s="2" t="s">
        <v>829</v>
      </c>
      <c r="F116" s="2" t="s">
        <v>470</v>
      </c>
      <c r="G116" s="2" t="s">
        <v>490</v>
      </c>
      <c r="H116" s="2" t="s">
        <v>332</v>
      </c>
      <c r="I116" s="2"/>
      <c r="J116" s="2" t="s">
        <v>334</v>
      </c>
      <c r="K116" s="2" t="s">
        <v>363</v>
      </c>
      <c r="L116" s="2" t="s">
        <v>539</v>
      </c>
      <c r="M116" s="2" t="s">
        <v>32</v>
      </c>
      <c r="N116" s="2" t="s">
        <v>559</v>
      </c>
      <c r="O116" s="2" t="s">
        <v>540</v>
      </c>
      <c r="P116" s="2"/>
      <c r="Q116" s="2"/>
      <c r="R116" s="2" t="s">
        <v>865</v>
      </c>
      <c r="S116" s="2" t="s">
        <v>19</v>
      </c>
      <c r="T116" s="2" t="s">
        <v>19</v>
      </c>
      <c r="U116" s="2"/>
      <c r="V116" s="2" t="s">
        <v>866</v>
      </c>
      <c r="W116" s="2"/>
      <c r="X116" s="2" t="s">
        <v>293</v>
      </c>
      <c r="Y116" s="2" t="s">
        <v>386</v>
      </c>
      <c r="Z116" s="2"/>
      <c r="AA116" s="2" t="s">
        <v>10</v>
      </c>
      <c r="AB116" s="5" t="s">
        <v>33</v>
      </c>
    </row>
    <row r="117" spans="1:28" ht="55.2" x14ac:dyDescent="0.3">
      <c r="A117" s="4" t="s">
        <v>489</v>
      </c>
      <c r="B117" s="2" t="s">
        <v>293</v>
      </c>
      <c r="C117" s="2" t="s">
        <v>709</v>
      </c>
      <c r="D117" s="2" t="s">
        <v>710</v>
      </c>
      <c r="E117" s="2" t="s">
        <v>829</v>
      </c>
      <c r="F117" s="2" t="s">
        <v>42</v>
      </c>
      <c r="G117" s="2" t="s">
        <v>490</v>
      </c>
      <c r="H117" s="2" t="s">
        <v>506</v>
      </c>
      <c r="I117" s="2"/>
      <c r="J117" s="2" t="s">
        <v>337</v>
      </c>
      <c r="K117" s="2" t="s">
        <v>363</v>
      </c>
      <c r="L117" s="2" t="s">
        <v>539</v>
      </c>
      <c r="M117" s="2" t="s">
        <v>32</v>
      </c>
      <c r="N117" s="2" t="s">
        <v>711</v>
      </c>
      <c r="O117" s="2" t="s">
        <v>540</v>
      </c>
      <c r="P117" s="2"/>
      <c r="Q117" s="2"/>
      <c r="R117" s="2"/>
      <c r="S117" s="2" t="s">
        <v>19</v>
      </c>
      <c r="T117" s="2" t="s">
        <v>19</v>
      </c>
      <c r="U117" s="2"/>
      <c r="V117" s="2" t="s">
        <v>866</v>
      </c>
      <c r="W117" s="2"/>
      <c r="X117" s="2" t="s">
        <v>293</v>
      </c>
      <c r="Y117" s="2" t="s">
        <v>386</v>
      </c>
      <c r="Z117" s="2"/>
      <c r="AA117" s="2" t="s">
        <v>10</v>
      </c>
      <c r="AB117" s="5" t="s">
        <v>33</v>
      </c>
    </row>
    <row r="118" spans="1:28" ht="55.2" x14ac:dyDescent="0.3">
      <c r="A118" s="4" t="s">
        <v>489</v>
      </c>
      <c r="B118" s="2" t="s">
        <v>293</v>
      </c>
      <c r="C118" s="2" t="s">
        <v>709</v>
      </c>
      <c r="D118" s="2" t="s">
        <v>710</v>
      </c>
      <c r="E118" s="2" t="s">
        <v>829</v>
      </c>
      <c r="F118" s="2" t="s">
        <v>42</v>
      </c>
      <c r="G118" s="2" t="s">
        <v>490</v>
      </c>
      <c r="H118" s="2" t="s">
        <v>507</v>
      </c>
      <c r="I118" s="2"/>
      <c r="J118" s="2" t="s">
        <v>339</v>
      </c>
      <c r="K118" s="2" t="s">
        <v>18</v>
      </c>
      <c r="L118" s="2" t="s">
        <v>539</v>
      </c>
      <c r="M118" s="2"/>
      <c r="N118" s="2"/>
      <c r="O118" s="2" t="s">
        <v>540</v>
      </c>
      <c r="P118" s="2"/>
      <c r="Q118" s="2"/>
      <c r="R118" s="2"/>
      <c r="S118" s="2" t="s">
        <v>19</v>
      </c>
      <c r="T118" s="2" t="s">
        <v>19</v>
      </c>
      <c r="U118" s="2"/>
      <c r="V118" s="2" t="s">
        <v>866</v>
      </c>
      <c r="W118" s="2"/>
      <c r="X118" s="2" t="s">
        <v>293</v>
      </c>
      <c r="Y118" s="2" t="s">
        <v>386</v>
      </c>
      <c r="Z118" s="2"/>
      <c r="AA118" s="2" t="s">
        <v>10</v>
      </c>
      <c r="AB118" s="5" t="s">
        <v>19</v>
      </c>
    </row>
    <row r="119" spans="1:28" ht="55.2" x14ac:dyDescent="0.3">
      <c r="A119" s="4" t="s">
        <v>489</v>
      </c>
      <c r="B119" s="2" t="s">
        <v>293</v>
      </c>
      <c r="C119" s="2" t="s">
        <v>867</v>
      </c>
      <c r="D119" s="2" t="s">
        <v>868</v>
      </c>
      <c r="E119" s="2" t="s">
        <v>829</v>
      </c>
      <c r="F119" s="2" t="s">
        <v>470</v>
      </c>
      <c r="G119" s="2" t="s">
        <v>490</v>
      </c>
      <c r="H119" s="2" t="s">
        <v>508</v>
      </c>
      <c r="I119" s="2"/>
      <c r="J119" s="2" t="s">
        <v>509</v>
      </c>
      <c r="K119" s="2" t="s">
        <v>363</v>
      </c>
      <c r="L119" s="2" t="s">
        <v>539</v>
      </c>
      <c r="M119" s="2" t="s">
        <v>32</v>
      </c>
      <c r="N119" s="2" t="s">
        <v>559</v>
      </c>
      <c r="O119" s="2" t="s">
        <v>540</v>
      </c>
      <c r="P119" s="2"/>
      <c r="Q119" s="2"/>
      <c r="R119" s="2"/>
      <c r="S119" s="2" t="s">
        <v>19</v>
      </c>
      <c r="T119" s="2" t="s">
        <v>19</v>
      </c>
      <c r="U119" s="2"/>
      <c r="V119" s="2" t="s">
        <v>866</v>
      </c>
      <c r="W119" s="2"/>
      <c r="X119" s="2" t="s">
        <v>293</v>
      </c>
      <c r="Y119" s="2" t="s">
        <v>386</v>
      </c>
      <c r="Z119" s="2"/>
      <c r="AA119" s="2" t="s">
        <v>10</v>
      </c>
      <c r="AB119" s="5" t="s">
        <v>33</v>
      </c>
    </row>
    <row r="120" spans="1:28" ht="262.2" x14ac:dyDescent="0.3">
      <c r="A120" s="4" t="s">
        <v>489</v>
      </c>
      <c r="B120" s="2" t="s">
        <v>293</v>
      </c>
      <c r="C120" s="2" t="s">
        <v>709</v>
      </c>
      <c r="D120" s="2" t="s">
        <v>510</v>
      </c>
      <c r="E120" s="2"/>
      <c r="F120" s="2" t="s">
        <v>869</v>
      </c>
      <c r="G120" s="2" t="s">
        <v>490</v>
      </c>
      <c r="H120" s="2" t="s">
        <v>510</v>
      </c>
      <c r="I120" s="2"/>
      <c r="J120" s="2" t="s">
        <v>511</v>
      </c>
      <c r="K120" s="2" t="s">
        <v>363</v>
      </c>
      <c r="L120" s="2" t="s">
        <v>539</v>
      </c>
      <c r="M120" s="2" t="s">
        <v>32</v>
      </c>
      <c r="N120" s="2" t="s">
        <v>870</v>
      </c>
      <c r="O120" s="2" t="s">
        <v>540</v>
      </c>
      <c r="P120" s="2"/>
      <c r="Q120" s="2"/>
      <c r="R120" s="2" t="s">
        <v>871</v>
      </c>
      <c r="S120" s="2" t="s">
        <v>19</v>
      </c>
      <c r="T120" s="2" t="s">
        <v>19</v>
      </c>
      <c r="U120" s="2"/>
      <c r="V120" s="2" t="s">
        <v>866</v>
      </c>
      <c r="W120" s="2"/>
      <c r="X120" s="2" t="s">
        <v>293</v>
      </c>
      <c r="Y120" s="2" t="s">
        <v>386</v>
      </c>
      <c r="Z120" s="2"/>
      <c r="AA120" s="2" t="s">
        <v>10</v>
      </c>
      <c r="AB120" s="5" t="s">
        <v>33</v>
      </c>
    </row>
    <row r="121" spans="1:28" ht="55.2" x14ac:dyDescent="0.3">
      <c r="A121" s="4" t="s">
        <v>489</v>
      </c>
      <c r="B121" s="2" t="s">
        <v>293</v>
      </c>
      <c r="C121" s="2" t="s">
        <v>709</v>
      </c>
      <c r="D121" s="2" t="s">
        <v>510</v>
      </c>
      <c r="E121" s="2"/>
      <c r="F121" s="2" t="s">
        <v>869</v>
      </c>
      <c r="G121" s="2" t="s">
        <v>490</v>
      </c>
      <c r="H121" s="2" t="s">
        <v>512</v>
      </c>
      <c r="I121" s="2"/>
      <c r="J121" s="2" t="s">
        <v>513</v>
      </c>
      <c r="K121" s="2" t="s">
        <v>18</v>
      </c>
      <c r="L121" s="2" t="s">
        <v>539</v>
      </c>
      <c r="M121" s="2"/>
      <c r="N121" s="2"/>
      <c r="O121" s="2" t="s">
        <v>540</v>
      </c>
      <c r="P121" s="2"/>
      <c r="Q121" s="2"/>
      <c r="R121" s="2"/>
      <c r="S121" s="2" t="s">
        <v>19</v>
      </c>
      <c r="T121" s="2" t="s">
        <v>19</v>
      </c>
      <c r="U121" s="2"/>
      <c r="V121" s="2" t="s">
        <v>866</v>
      </c>
      <c r="W121" s="2"/>
      <c r="X121" s="2" t="s">
        <v>293</v>
      </c>
      <c r="Y121" s="2" t="s">
        <v>386</v>
      </c>
      <c r="Z121" s="2"/>
      <c r="AA121" s="2" t="s">
        <v>10</v>
      </c>
      <c r="AB121" s="5" t="s">
        <v>19</v>
      </c>
    </row>
    <row r="122" spans="1:28" ht="55.2" x14ac:dyDescent="0.3">
      <c r="A122" s="4" t="s">
        <v>489</v>
      </c>
      <c r="B122" s="2" t="s">
        <v>293</v>
      </c>
      <c r="C122" s="2" t="s">
        <v>709</v>
      </c>
      <c r="D122" s="2" t="s">
        <v>717</v>
      </c>
      <c r="E122" s="2"/>
      <c r="F122" s="2" t="s">
        <v>42</v>
      </c>
      <c r="G122" s="2" t="s">
        <v>490</v>
      </c>
      <c r="H122" s="2" t="s">
        <v>514</v>
      </c>
      <c r="I122" s="2"/>
      <c r="J122" s="2" t="s">
        <v>348</v>
      </c>
      <c r="K122" s="2" t="s">
        <v>363</v>
      </c>
      <c r="L122" s="2" t="s">
        <v>539</v>
      </c>
      <c r="M122" s="2" t="s">
        <v>32</v>
      </c>
      <c r="N122" s="2" t="s">
        <v>711</v>
      </c>
      <c r="O122" s="2" t="s">
        <v>540</v>
      </c>
      <c r="P122" s="2"/>
      <c r="Q122" s="2"/>
      <c r="R122" s="2"/>
      <c r="S122" s="2" t="s">
        <v>19</v>
      </c>
      <c r="T122" s="2" t="s">
        <v>19</v>
      </c>
      <c r="U122" s="2"/>
      <c r="V122" s="2" t="s">
        <v>866</v>
      </c>
      <c r="W122" s="2"/>
      <c r="X122" s="2" t="s">
        <v>293</v>
      </c>
      <c r="Y122" s="2" t="s">
        <v>386</v>
      </c>
      <c r="Z122" s="2"/>
      <c r="AA122" s="2" t="s">
        <v>10</v>
      </c>
      <c r="AB122" s="5" t="s">
        <v>33</v>
      </c>
    </row>
    <row r="123" spans="1:28" ht="262.2" x14ac:dyDescent="0.3">
      <c r="A123" s="4" t="s">
        <v>489</v>
      </c>
      <c r="B123" s="2" t="s">
        <v>293</v>
      </c>
      <c r="C123" s="2" t="s">
        <v>719</v>
      </c>
      <c r="D123" s="2" t="s">
        <v>719</v>
      </c>
      <c r="E123" s="2"/>
      <c r="F123" s="2" t="s">
        <v>470</v>
      </c>
      <c r="G123" s="2" t="s">
        <v>490</v>
      </c>
      <c r="H123" s="2" t="s">
        <v>349</v>
      </c>
      <c r="I123" s="2" t="s">
        <v>350</v>
      </c>
      <c r="J123" s="2" t="s">
        <v>350</v>
      </c>
      <c r="K123" s="2" t="s">
        <v>515</v>
      </c>
      <c r="L123" s="2" t="s">
        <v>539</v>
      </c>
      <c r="M123" s="2" t="s">
        <v>32</v>
      </c>
      <c r="N123" s="2" t="s">
        <v>720</v>
      </c>
      <c r="O123" s="2" t="s">
        <v>540</v>
      </c>
      <c r="P123" s="2"/>
      <c r="Q123" s="2"/>
      <c r="R123" s="2" t="s">
        <v>872</v>
      </c>
      <c r="S123" s="2" t="s">
        <v>33</v>
      </c>
      <c r="T123" s="2" t="s">
        <v>33</v>
      </c>
      <c r="U123" s="2"/>
      <c r="V123" s="2" t="s">
        <v>866</v>
      </c>
      <c r="W123" s="2"/>
      <c r="X123" s="2" t="s">
        <v>293</v>
      </c>
      <c r="Y123" s="2" t="s">
        <v>386</v>
      </c>
      <c r="Z123" s="2"/>
      <c r="AA123" s="2" t="s">
        <v>10</v>
      </c>
      <c r="AB123" s="5" t="s">
        <v>33</v>
      </c>
    </row>
    <row r="124" spans="1:28" ht="55.2" x14ac:dyDescent="0.3">
      <c r="A124" s="4" t="s">
        <v>489</v>
      </c>
      <c r="B124" s="2" t="s">
        <v>293</v>
      </c>
      <c r="C124" s="2" t="s">
        <v>719</v>
      </c>
      <c r="D124" s="2" t="s">
        <v>719</v>
      </c>
      <c r="E124" s="2"/>
      <c r="F124" s="2" t="s">
        <v>470</v>
      </c>
      <c r="G124" s="2" t="s">
        <v>490</v>
      </c>
      <c r="H124" s="2" t="s">
        <v>352</v>
      </c>
      <c r="I124" s="2" t="s">
        <v>353</v>
      </c>
      <c r="J124" s="2" t="s">
        <v>353</v>
      </c>
      <c r="K124" s="2" t="s">
        <v>18</v>
      </c>
      <c r="L124" s="2" t="s">
        <v>539</v>
      </c>
      <c r="M124" s="2"/>
      <c r="N124" s="2"/>
      <c r="O124" s="2" t="s">
        <v>540</v>
      </c>
      <c r="P124" s="2"/>
      <c r="Q124" s="2"/>
      <c r="R124" s="2"/>
      <c r="S124" s="2" t="s">
        <v>33</v>
      </c>
      <c r="T124" s="2" t="s">
        <v>33</v>
      </c>
      <c r="U124" s="2"/>
      <c r="V124" s="2" t="s">
        <v>866</v>
      </c>
      <c r="W124" s="2"/>
      <c r="X124" s="2" t="s">
        <v>293</v>
      </c>
      <c r="Y124" s="2" t="s">
        <v>386</v>
      </c>
      <c r="Z124" s="2"/>
      <c r="AA124" s="2" t="s">
        <v>10</v>
      </c>
      <c r="AB124" s="5" t="s">
        <v>19</v>
      </c>
    </row>
    <row r="125" spans="1:28" ht="55.2" x14ac:dyDescent="0.3">
      <c r="A125" s="4" t="s">
        <v>516</v>
      </c>
      <c r="B125" s="2" t="s">
        <v>360</v>
      </c>
      <c r="C125" s="2" t="s">
        <v>873</v>
      </c>
      <c r="D125" s="2" t="s">
        <v>873</v>
      </c>
      <c r="E125" s="2"/>
      <c r="F125" s="2" t="s">
        <v>38</v>
      </c>
      <c r="G125" s="2" t="s">
        <v>481</v>
      </c>
      <c r="H125" s="2" t="s">
        <v>517</v>
      </c>
      <c r="I125" s="2"/>
      <c r="J125" s="2" t="s">
        <v>367</v>
      </c>
      <c r="K125" s="2" t="s">
        <v>515</v>
      </c>
      <c r="L125" s="2" t="s">
        <v>539</v>
      </c>
      <c r="M125" s="2" t="s">
        <v>32</v>
      </c>
      <c r="N125" s="2" t="s">
        <v>572</v>
      </c>
      <c r="O125" s="2" t="s">
        <v>540</v>
      </c>
      <c r="P125" s="2"/>
      <c r="Q125" s="2"/>
      <c r="R125" s="2" t="s">
        <v>874</v>
      </c>
      <c r="S125" s="2"/>
      <c r="T125" s="2"/>
      <c r="U125" s="2"/>
      <c r="V125" s="2"/>
      <c r="W125" s="2"/>
      <c r="X125" s="2" t="s">
        <v>360</v>
      </c>
      <c r="Y125" s="2" t="s">
        <v>386</v>
      </c>
      <c r="Z125" s="2"/>
      <c r="AA125" s="2" t="s">
        <v>10</v>
      </c>
      <c r="AB125" s="5" t="s">
        <v>33</v>
      </c>
    </row>
    <row r="126" spans="1:28" ht="55.2" x14ac:dyDescent="0.3">
      <c r="A126" s="4" t="s">
        <v>516</v>
      </c>
      <c r="B126" s="2" t="s">
        <v>360</v>
      </c>
      <c r="C126" s="2" t="s">
        <v>873</v>
      </c>
      <c r="D126" s="2" t="s">
        <v>873</v>
      </c>
      <c r="E126" s="2"/>
      <c r="F126" s="2" t="s">
        <v>38</v>
      </c>
      <c r="G126" s="2" t="s">
        <v>481</v>
      </c>
      <c r="H126" s="2" t="s">
        <v>518</v>
      </c>
      <c r="I126" s="2"/>
      <c r="J126" s="2" t="s">
        <v>369</v>
      </c>
      <c r="K126" s="2" t="s">
        <v>18</v>
      </c>
      <c r="L126" s="2" t="s">
        <v>539</v>
      </c>
      <c r="M126" s="2"/>
      <c r="N126" s="2"/>
      <c r="O126" s="2" t="s">
        <v>540</v>
      </c>
      <c r="P126" s="2"/>
      <c r="Q126" s="2"/>
      <c r="R126" s="2" t="s">
        <v>874</v>
      </c>
      <c r="S126" s="2"/>
      <c r="T126" s="2"/>
      <c r="U126" s="2"/>
      <c r="V126" s="2"/>
      <c r="W126" s="2"/>
      <c r="X126" s="2" t="s">
        <v>360</v>
      </c>
      <c r="Y126" s="2" t="s">
        <v>386</v>
      </c>
      <c r="Z126" s="2"/>
      <c r="AA126" s="2" t="s">
        <v>10</v>
      </c>
      <c r="AB126" s="5" t="s">
        <v>19</v>
      </c>
    </row>
    <row r="127" spans="1:28" ht="96.6" x14ac:dyDescent="0.3">
      <c r="A127" s="4" t="s">
        <v>516</v>
      </c>
      <c r="B127" s="2" t="s">
        <v>360</v>
      </c>
      <c r="C127" s="2" t="s">
        <v>875</v>
      </c>
      <c r="D127" s="2" t="s">
        <v>876</v>
      </c>
      <c r="E127" s="2"/>
      <c r="F127" s="2" t="s">
        <v>470</v>
      </c>
      <c r="G127" s="2" t="s">
        <v>481</v>
      </c>
      <c r="H127" s="2" t="s">
        <v>519</v>
      </c>
      <c r="I127" s="2"/>
      <c r="J127" s="2" t="s">
        <v>520</v>
      </c>
      <c r="K127" s="2" t="s">
        <v>515</v>
      </c>
      <c r="L127" s="2" t="s">
        <v>539</v>
      </c>
      <c r="M127" s="2" t="s">
        <v>32</v>
      </c>
      <c r="N127" s="2" t="s">
        <v>720</v>
      </c>
      <c r="O127" s="2" t="s">
        <v>540</v>
      </c>
      <c r="P127" s="2"/>
      <c r="Q127" s="2"/>
      <c r="R127" s="2" t="s">
        <v>877</v>
      </c>
      <c r="S127" s="2" t="s">
        <v>19</v>
      </c>
      <c r="T127" s="2" t="s">
        <v>19</v>
      </c>
      <c r="U127" s="2"/>
      <c r="V127" s="2" t="s">
        <v>797</v>
      </c>
      <c r="W127" s="2"/>
      <c r="X127" s="2" t="s">
        <v>360</v>
      </c>
      <c r="Y127" s="2" t="s">
        <v>386</v>
      </c>
      <c r="Z127" s="2"/>
      <c r="AA127" s="2" t="s">
        <v>10</v>
      </c>
      <c r="AB127" s="5" t="s">
        <v>33</v>
      </c>
    </row>
    <row r="128" spans="1:28" ht="234.6" x14ac:dyDescent="0.3">
      <c r="A128" s="9" t="s">
        <v>516</v>
      </c>
      <c r="B128" s="10" t="s">
        <v>360</v>
      </c>
      <c r="C128" s="10" t="s">
        <v>875</v>
      </c>
      <c r="D128" s="10" t="s">
        <v>876</v>
      </c>
      <c r="E128" s="10"/>
      <c r="F128" s="10" t="s">
        <v>470</v>
      </c>
      <c r="G128" s="10" t="s">
        <v>521</v>
      </c>
      <c r="H128" s="10" t="s">
        <v>522</v>
      </c>
      <c r="I128" s="10" t="s">
        <v>350</v>
      </c>
      <c r="J128" s="10" t="s">
        <v>350</v>
      </c>
      <c r="K128" s="10" t="s">
        <v>515</v>
      </c>
      <c r="L128" s="10" t="s">
        <v>539</v>
      </c>
      <c r="M128" s="10" t="s">
        <v>32</v>
      </c>
      <c r="N128" s="10" t="s">
        <v>720</v>
      </c>
      <c r="O128" s="10" t="s">
        <v>540</v>
      </c>
      <c r="P128" s="10"/>
      <c r="Q128" s="10"/>
      <c r="R128" s="10" t="s">
        <v>878</v>
      </c>
      <c r="S128" s="10" t="s">
        <v>33</v>
      </c>
      <c r="T128" s="10" t="s">
        <v>33</v>
      </c>
      <c r="U128" s="10"/>
      <c r="V128" s="10" t="s">
        <v>797</v>
      </c>
      <c r="W128" s="10"/>
      <c r="X128" s="10" t="s">
        <v>360</v>
      </c>
      <c r="Y128" s="10" t="s">
        <v>386</v>
      </c>
      <c r="Z128" s="10"/>
      <c r="AA128" s="10" t="s">
        <v>10</v>
      </c>
      <c r="AB128" s="11" t="s">
        <v>33</v>
      </c>
    </row>
  </sheetData>
  <conditionalFormatting sqref="G2:G128">
    <cfRule type="cellIs" dxfId="1" priority="2" operator="equal">
      <formula>""</formula>
    </cfRule>
  </conditionalFormatting>
  <conditionalFormatting sqref="W2:W128">
    <cfRule type="cellIs" dxfId="0" priority="1" operator="equal">
      <formula>"YES"</formula>
    </cfRule>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F05E3-16DC-436A-9CD4-2FFF79C54EC3}">
  <dimension ref="A1:X161"/>
  <sheetViews>
    <sheetView topLeftCell="A104" workbookViewId="0">
      <selection activeCell="Y1" sqref="Y1"/>
    </sheetView>
  </sheetViews>
  <sheetFormatPr defaultRowHeight="14.4" x14ac:dyDescent="0.3"/>
  <cols>
    <col min="1" max="1" width="17.44140625" customWidth="1"/>
    <col min="2" max="2" width="15.21875" customWidth="1"/>
    <col min="3" max="3" width="19.21875" customWidth="1"/>
    <col min="4" max="4" width="14.21875" customWidth="1"/>
    <col min="5" max="5" width="24.109375" customWidth="1"/>
    <col min="7" max="7" width="17.6640625" customWidth="1"/>
    <col min="8" max="8" width="28.88671875" customWidth="1"/>
    <col min="9" max="9" width="33.44140625" customWidth="1"/>
    <col min="10" max="10" width="12.109375" customWidth="1"/>
    <col min="11" max="11" width="9.88671875" customWidth="1"/>
    <col min="12" max="12" width="17.77734375" customWidth="1"/>
    <col min="13" max="13" width="11" customWidth="1"/>
    <col min="15" max="15" width="12" customWidth="1"/>
    <col min="16" max="16" width="14.77734375" customWidth="1"/>
    <col min="18" max="18" width="23.77734375" customWidth="1"/>
    <col min="19" max="19" width="22.77734375" customWidth="1"/>
    <col min="20" max="20" width="24.21875" customWidth="1"/>
    <col min="21" max="21" width="19.109375" customWidth="1"/>
    <col min="22" max="22" width="29.5546875" customWidth="1"/>
    <col min="23" max="23" width="21.44140625" customWidth="1"/>
  </cols>
  <sheetData>
    <row r="1" spans="1:24" x14ac:dyDescent="0.3">
      <c r="A1" t="s">
        <v>536</v>
      </c>
      <c r="B1" t="s">
        <v>523</v>
      </c>
      <c r="C1" t="s">
        <v>524</v>
      </c>
      <c r="D1" t="s">
        <v>525</v>
      </c>
      <c r="E1" t="s">
        <v>526</v>
      </c>
      <c r="F1" t="s">
        <v>5972</v>
      </c>
      <c r="G1" t="s">
        <v>6097</v>
      </c>
      <c r="H1" t="s">
        <v>532</v>
      </c>
      <c r="I1" t="s">
        <v>533</v>
      </c>
      <c r="J1" t="s">
        <v>534</v>
      </c>
      <c r="K1" t="s">
        <v>5973</v>
      </c>
      <c r="L1" t="s">
        <v>5974</v>
      </c>
      <c r="M1" t="s">
        <v>5967</v>
      </c>
      <c r="N1" t="s">
        <v>5975</v>
      </c>
      <c r="O1" t="s">
        <v>3</v>
      </c>
      <c r="P1" t="s">
        <v>527</v>
      </c>
      <c r="Q1" t="s">
        <v>12</v>
      </c>
      <c r="R1" t="s">
        <v>528</v>
      </c>
      <c r="S1" t="s">
        <v>5968</v>
      </c>
      <c r="T1" t="s">
        <v>529</v>
      </c>
      <c r="U1" t="s">
        <v>530</v>
      </c>
      <c r="V1" t="s">
        <v>5969</v>
      </c>
      <c r="W1" t="s">
        <v>5970</v>
      </c>
      <c r="X1" t="s">
        <v>535</v>
      </c>
    </row>
    <row r="2" spans="1:24" x14ac:dyDescent="0.3">
      <c r="A2" t="s">
        <v>738</v>
      </c>
      <c r="B2" t="s">
        <v>734</v>
      </c>
      <c r="C2" t="s">
        <v>5929</v>
      </c>
      <c r="E2" t="s">
        <v>736</v>
      </c>
      <c r="G2" t="str">
        <f>_xlfn.TEXTJOIN("|",FALSE,Goldcopy_cons[[#This Row],[Entity]],Goldcopy_cons[[#This Row],[DEV SB ID]])</f>
        <v>|PW_SHORT_NAME</v>
      </c>
      <c r="H2" t="s">
        <v>737</v>
      </c>
      <c r="I2" t="s">
        <v>33</v>
      </c>
      <c r="J2" t="s">
        <v>33</v>
      </c>
      <c r="K2" t="s">
        <v>5976</v>
      </c>
      <c r="L2" t="s">
        <v>387</v>
      </c>
      <c r="M2" t="s">
        <v>387</v>
      </c>
      <c r="N2" t="s">
        <v>387</v>
      </c>
      <c r="O2" t="s">
        <v>18</v>
      </c>
      <c r="P2" t="s">
        <v>539</v>
      </c>
      <c r="T2" t="s">
        <v>540</v>
      </c>
      <c r="U2" t="s">
        <v>19</v>
      </c>
    </row>
    <row r="3" spans="1:24" x14ac:dyDescent="0.3">
      <c r="A3" t="s">
        <v>738</v>
      </c>
      <c r="B3" t="s">
        <v>734</v>
      </c>
      <c r="C3" t="s">
        <v>5929</v>
      </c>
      <c r="E3" t="s">
        <v>736</v>
      </c>
      <c r="G3" t="str">
        <f>_xlfn.TEXTJOIN("|",FALSE,Goldcopy_cons[[#This Row],[Entity]],Goldcopy_cons[[#This Row],[DEV SB ID]])</f>
        <v>|DESCR</v>
      </c>
      <c r="I3" t="s">
        <v>33</v>
      </c>
      <c r="J3" t="s">
        <v>33</v>
      </c>
      <c r="K3" t="s">
        <v>5977</v>
      </c>
      <c r="L3" t="s">
        <v>124</v>
      </c>
      <c r="M3" t="s">
        <v>124</v>
      </c>
      <c r="N3" t="s">
        <v>124</v>
      </c>
      <c r="O3" t="s">
        <v>18</v>
      </c>
      <c r="P3" t="s">
        <v>539</v>
      </c>
      <c r="S3" t="s">
        <v>5978</v>
      </c>
      <c r="T3" t="s">
        <v>540</v>
      </c>
      <c r="U3" t="s">
        <v>19</v>
      </c>
    </row>
    <row r="4" spans="1:24" x14ac:dyDescent="0.3">
      <c r="B4" t="s">
        <v>734</v>
      </c>
      <c r="C4" t="s">
        <v>5929</v>
      </c>
      <c r="E4" t="s">
        <v>736</v>
      </c>
      <c r="G4" t="str">
        <f>_xlfn.TEXTJOIN("|",FALSE,Goldcopy_cons[[#This Row],[Entity]],Goldcopy_cons[[#This Row],[DEV SB ID]])</f>
        <v>|PARENT_DESCR</v>
      </c>
      <c r="I4" t="s">
        <v>33</v>
      </c>
      <c r="J4" t="s">
        <v>33</v>
      </c>
      <c r="K4" t="s">
        <v>131</v>
      </c>
      <c r="L4" t="s">
        <v>132</v>
      </c>
      <c r="M4" t="s">
        <v>132</v>
      </c>
      <c r="N4" t="s">
        <v>132</v>
      </c>
      <c r="O4" t="s">
        <v>133</v>
      </c>
      <c r="P4" t="s">
        <v>539</v>
      </c>
      <c r="R4" t="s">
        <v>739</v>
      </c>
      <c r="S4" t="s">
        <v>540</v>
      </c>
      <c r="T4" t="s">
        <v>19</v>
      </c>
    </row>
    <row r="5" spans="1:24" x14ac:dyDescent="0.3">
      <c r="A5" t="s">
        <v>744</v>
      </c>
      <c r="C5" t="s">
        <v>5929</v>
      </c>
      <c r="E5" t="s">
        <v>736</v>
      </c>
      <c r="G5" t="str">
        <f>_xlfn.TEXTJOIN("|",FALSE,Goldcopy_cons[[#This Row],[Entity]],Goldcopy_cons[[#This Row],[DEV SB ID]])</f>
        <v>|Wbs22</v>
      </c>
      <c r="H5" t="s">
        <v>743</v>
      </c>
      <c r="I5" t="s">
        <v>33</v>
      </c>
      <c r="J5" t="s">
        <v>33</v>
      </c>
      <c r="K5" t="s">
        <v>134</v>
      </c>
      <c r="L5" t="s">
        <v>135</v>
      </c>
      <c r="M5" t="s">
        <v>135</v>
      </c>
      <c r="N5" t="s">
        <v>135</v>
      </c>
      <c r="O5" t="s">
        <v>388</v>
      </c>
      <c r="P5" t="s">
        <v>741</v>
      </c>
      <c r="Q5" t="s">
        <v>32</v>
      </c>
      <c r="R5" t="s">
        <v>742</v>
      </c>
      <c r="T5" t="s">
        <v>540</v>
      </c>
      <c r="U5" t="s">
        <v>19</v>
      </c>
    </row>
    <row r="6" spans="1:24" x14ac:dyDescent="0.3">
      <c r="A6" t="s">
        <v>738</v>
      </c>
      <c r="B6" t="s">
        <v>734</v>
      </c>
      <c r="C6" t="s">
        <v>735</v>
      </c>
      <c r="E6" t="s">
        <v>736</v>
      </c>
      <c r="G6" t="str">
        <f>_xlfn.TEXTJOIN("|",FALSE,Goldcopy_cons[[#This Row],[Entity]],Goldcopy_cons[[#This Row],[DEV SB ID]])</f>
        <v>|</v>
      </c>
      <c r="H6" t="s">
        <v>654</v>
      </c>
      <c r="I6" t="s">
        <v>33</v>
      </c>
      <c r="J6" t="s">
        <v>33</v>
      </c>
      <c r="K6" t="s">
        <v>3018</v>
      </c>
      <c r="L6" t="s">
        <v>3027</v>
      </c>
      <c r="M6" t="s">
        <v>3027</v>
      </c>
      <c r="O6" t="s">
        <v>133</v>
      </c>
      <c r="P6" t="s">
        <v>539</v>
      </c>
      <c r="R6" t="s">
        <v>5979</v>
      </c>
      <c r="T6" t="s">
        <v>540</v>
      </c>
      <c r="U6" t="s">
        <v>19</v>
      </c>
    </row>
    <row r="7" spans="1:24" x14ac:dyDescent="0.3">
      <c r="A7" t="s">
        <v>738</v>
      </c>
      <c r="B7" t="s">
        <v>734</v>
      </c>
      <c r="C7" t="s">
        <v>735</v>
      </c>
      <c r="E7" t="s">
        <v>736</v>
      </c>
      <c r="G7" t="str">
        <f>_xlfn.TEXTJOIN("|",FALSE,Goldcopy_cons[[#This Row],[Entity]],Goldcopy_cons[[#This Row],[DEV SB ID]])</f>
        <v>|</v>
      </c>
      <c r="H7" t="s">
        <v>5980</v>
      </c>
      <c r="I7" t="s">
        <v>33</v>
      </c>
      <c r="J7" t="s">
        <v>33</v>
      </c>
      <c r="K7" t="s">
        <v>5981</v>
      </c>
      <c r="L7" t="s">
        <v>3310</v>
      </c>
      <c r="M7" t="s">
        <v>3310</v>
      </c>
      <c r="R7" t="s">
        <v>5982</v>
      </c>
      <c r="T7" t="s">
        <v>540</v>
      </c>
      <c r="U7" t="s">
        <v>19</v>
      </c>
    </row>
    <row r="8" spans="1:24" x14ac:dyDescent="0.3">
      <c r="B8" t="s">
        <v>734</v>
      </c>
      <c r="C8" t="s">
        <v>5929</v>
      </c>
      <c r="E8" t="s">
        <v>736</v>
      </c>
      <c r="G8" t="str">
        <f>_xlfn.TEXTJOIN("|",FALSE,Goldcopy_cons[[#This Row],[Entity]],Goldcopy_cons[[#This Row],[DEV SB ID]])</f>
        <v>|Wbs174</v>
      </c>
      <c r="I8" t="s">
        <v>19</v>
      </c>
      <c r="J8" t="s">
        <v>19</v>
      </c>
      <c r="K8" t="s">
        <v>137</v>
      </c>
      <c r="N8" t="s">
        <v>138</v>
      </c>
      <c r="O8" t="s">
        <v>57</v>
      </c>
      <c r="P8" t="s">
        <v>539</v>
      </c>
      <c r="Q8" t="s">
        <v>32</v>
      </c>
      <c r="R8" t="s">
        <v>5983</v>
      </c>
    </row>
    <row r="9" spans="1:24" x14ac:dyDescent="0.3">
      <c r="A9" t="s">
        <v>738</v>
      </c>
      <c r="B9" t="s">
        <v>734</v>
      </c>
      <c r="C9" t="s">
        <v>735</v>
      </c>
      <c r="E9" t="s">
        <v>736</v>
      </c>
      <c r="G9" t="str">
        <f>_xlfn.TEXTJOIN("|",FALSE,Goldcopy_cons[[#This Row],[Entity]],Goldcopy_cons[[#This Row],[DEV SB ID]])</f>
        <v>|Wbs146</v>
      </c>
      <c r="H9" t="s">
        <v>745</v>
      </c>
      <c r="I9" t="s">
        <v>19</v>
      </c>
      <c r="J9" t="s">
        <v>19</v>
      </c>
      <c r="K9" t="s">
        <v>389</v>
      </c>
      <c r="N9" t="s">
        <v>356</v>
      </c>
      <c r="O9" t="s">
        <v>363</v>
      </c>
      <c r="P9" t="s">
        <v>539</v>
      </c>
      <c r="Q9" t="s">
        <v>32</v>
      </c>
      <c r="R9" t="s">
        <v>559</v>
      </c>
      <c r="S9" t="s">
        <v>5984</v>
      </c>
      <c r="T9" t="s">
        <v>540</v>
      </c>
      <c r="U9" t="s">
        <v>19</v>
      </c>
    </row>
    <row r="10" spans="1:24" x14ac:dyDescent="0.3">
      <c r="A10" t="s">
        <v>738</v>
      </c>
      <c r="B10" t="s">
        <v>734</v>
      </c>
      <c r="C10" t="s">
        <v>5929</v>
      </c>
      <c r="E10" t="s">
        <v>736</v>
      </c>
      <c r="G10" t="str">
        <f>_xlfn.TEXTJOIN("|",FALSE,Goldcopy_cons[[#This Row],[Entity]],Goldcopy_cons[[#This Row],[DEV SB ID]])</f>
        <v>|Wbs154</v>
      </c>
      <c r="H10" t="s">
        <v>748</v>
      </c>
      <c r="I10" t="s">
        <v>33</v>
      </c>
      <c r="J10" t="s">
        <v>597</v>
      </c>
      <c r="K10" t="s">
        <v>142</v>
      </c>
      <c r="L10" t="s">
        <v>143</v>
      </c>
      <c r="M10" t="s">
        <v>143</v>
      </c>
      <c r="N10" t="s">
        <v>144</v>
      </c>
      <c r="O10" t="s">
        <v>363</v>
      </c>
      <c r="P10" t="s">
        <v>539</v>
      </c>
      <c r="Q10" t="s">
        <v>32</v>
      </c>
      <c r="R10" t="s">
        <v>596</v>
      </c>
      <c r="S10" t="s">
        <v>5985</v>
      </c>
      <c r="T10" t="s">
        <v>747</v>
      </c>
      <c r="U10" t="s">
        <v>33</v>
      </c>
    </row>
    <row r="11" spans="1:24" x14ac:dyDescent="0.3">
      <c r="A11" t="s">
        <v>738</v>
      </c>
      <c r="B11" t="s">
        <v>734</v>
      </c>
      <c r="C11" t="s">
        <v>5929</v>
      </c>
      <c r="E11" t="s">
        <v>736</v>
      </c>
      <c r="G11" t="str">
        <f>_xlfn.TEXTJOIN("|",FALSE,Goldcopy_cons[[#This Row],[Entity]],Goldcopy_cons[[#This Row],[DEV SB ID]])</f>
        <v>|Wbs66</v>
      </c>
      <c r="H11" t="s">
        <v>749</v>
      </c>
      <c r="I11" t="s">
        <v>19</v>
      </c>
      <c r="J11" t="s">
        <v>19</v>
      </c>
      <c r="K11" t="s">
        <v>390</v>
      </c>
      <c r="N11" t="s">
        <v>141</v>
      </c>
      <c r="O11" t="s">
        <v>363</v>
      </c>
      <c r="P11" t="s">
        <v>539</v>
      </c>
      <c r="Q11" t="s">
        <v>32</v>
      </c>
      <c r="R11" t="s">
        <v>559</v>
      </c>
      <c r="S11" t="s">
        <v>5986</v>
      </c>
      <c r="T11" t="s">
        <v>540</v>
      </c>
      <c r="U11" t="s">
        <v>19</v>
      </c>
    </row>
    <row r="12" spans="1:24" x14ac:dyDescent="0.3">
      <c r="A12" t="s">
        <v>738</v>
      </c>
      <c r="B12" t="s">
        <v>734</v>
      </c>
      <c r="C12" t="s">
        <v>735</v>
      </c>
      <c r="E12" t="s">
        <v>736</v>
      </c>
      <c r="G12" t="str">
        <f>_xlfn.TEXTJOIN("|",FALSE,Goldcopy_cons[[#This Row],[Entity]],Goldcopy_cons[[#This Row],[DEV SB ID]])</f>
        <v>|</v>
      </c>
      <c r="H12" t="s">
        <v>5987</v>
      </c>
      <c r="I12" t="s">
        <v>19</v>
      </c>
      <c r="J12" t="s">
        <v>19</v>
      </c>
      <c r="K12" t="s">
        <v>5825</v>
      </c>
      <c r="O12" t="s">
        <v>363</v>
      </c>
      <c r="P12" t="s">
        <v>539</v>
      </c>
      <c r="Q12" t="s">
        <v>32</v>
      </c>
      <c r="R12" t="s">
        <v>559</v>
      </c>
      <c r="S12" t="s">
        <v>5988</v>
      </c>
    </row>
    <row r="13" spans="1:24" x14ac:dyDescent="0.3">
      <c r="A13" t="s">
        <v>738</v>
      </c>
      <c r="B13" t="s">
        <v>734</v>
      </c>
      <c r="C13" t="s">
        <v>735</v>
      </c>
      <c r="E13" t="s">
        <v>736</v>
      </c>
      <c r="G13" t="str">
        <f>_xlfn.TEXTJOIN("|",FALSE,Goldcopy_cons[[#This Row],[Entity]],Goldcopy_cons[[#This Row],[DEV SB ID]])</f>
        <v>|Wbs147</v>
      </c>
      <c r="H13" t="s">
        <v>750</v>
      </c>
      <c r="I13" t="s">
        <v>19</v>
      </c>
      <c r="J13" t="s">
        <v>19</v>
      </c>
      <c r="K13" t="s">
        <v>392</v>
      </c>
      <c r="N13" t="s">
        <v>393</v>
      </c>
      <c r="O13" t="s">
        <v>363</v>
      </c>
      <c r="P13" t="s">
        <v>539</v>
      </c>
      <c r="Q13" t="s">
        <v>32</v>
      </c>
      <c r="R13" t="s">
        <v>559</v>
      </c>
      <c r="S13" t="s">
        <v>5989</v>
      </c>
      <c r="T13" t="s">
        <v>540</v>
      </c>
      <c r="U13" t="s">
        <v>19</v>
      </c>
    </row>
    <row r="14" spans="1:24" x14ac:dyDescent="0.3">
      <c r="A14" t="s">
        <v>738</v>
      </c>
      <c r="B14" t="s">
        <v>734</v>
      </c>
      <c r="C14" t="s">
        <v>5930</v>
      </c>
      <c r="E14" t="s">
        <v>736</v>
      </c>
      <c r="G14" t="str">
        <f>_xlfn.TEXTJOIN("|",FALSE,Goldcopy_cons[[#This Row],[Entity]],Goldcopy_cons[[#This Row],[DEV SB ID]])</f>
        <v>|Wbs148</v>
      </c>
      <c r="H14" t="s">
        <v>752</v>
      </c>
      <c r="I14" t="s">
        <v>19</v>
      </c>
      <c r="J14" t="s">
        <v>19</v>
      </c>
      <c r="K14" t="s">
        <v>394</v>
      </c>
      <c r="N14" t="s">
        <v>395</v>
      </c>
      <c r="R14" t="s">
        <v>751</v>
      </c>
      <c r="S14" t="s">
        <v>5990</v>
      </c>
      <c r="T14" t="s">
        <v>540</v>
      </c>
      <c r="U14" t="s">
        <v>33</v>
      </c>
    </row>
    <row r="15" spans="1:24" x14ac:dyDescent="0.3">
      <c r="A15" t="s">
        <v>738</v>
      </c>
      <c r="B15" t="s">
        <v>734</v>
      </c>
      <c r="C15" t="s">
        <v>5930</v>
      </c>
      <c r="E15" t="s">
        <v>736</v>
      </c>
      <c r="G15" t="str">
        <f>_xlfn.TEXTJOIN("|",FALSE,Goldcopy_cons[[#This Row],[Entity]],Goldcopy_cons[[#This Row],[DEV SB ID]])</f>
        <v>|Wbs149</v>
      </c>
      <c r="I15" t="s">
        <v>33</v>
      </c>
      <c r="J15" t="s">
        <v>597</v>
      </c>
      <c r="K15" t="s">
        <v>396</v>
      </c>
      <c r="L15" t="s">
        <v>397</v>
      </c>
      <c r="M15" t="s">
        <v>397</v>
      </c>
      <c r="N15" t="s">
        <v>398</v>
      </c>
      <c r="O15" t="s">
        <v>363</v>
      </c>
      <c r="P15" t="s">
        <v>539</v>
      </c>
      <c r="Q15" t="s">
        <v>32</v>
      </c>
      <c r="R15" t="s">
        <v>753</v>
      </c>
      <c r="S15" t="s">
        <v>5991</v>
      </c>
      <c r="T15" t="s">
        <v>540</v>
      </c>
      <c r="U15" t="s">
        <v>33</v>
      </c>
      <c r="V15" t="s">
        <v>5992</v>
      </c>
    </row>
    <row r="16" spans="1:24" x14ac:dyDescent="0.3">
      <c r="A16" t="s">
        <v>738</v>
      </c>
      <c r="B16" t="s">
        <v>734</v>
      </c>
      <c r="C16" t="s">
        <v>735</v>
      </c>
      <c r="E16" t="s">
        <v>736</v>
      </c>
      <c r="G16" t="str">
        <f>_xlfn.TEXTJOIN("|",FALSE,Goldcopy_cons[[#This Row],[Entity]],Goldcopy_cons[[#This Row],[DEV SB ID]])</f>
        <v>|</v>
      </c>
      <c r="I16" t="s">
        <v>19</v>
      </c>
      <c r="J16" t="s">
        <v>19</v>
      </c>
      <c r="K16" t="s">
        <v>5993</v>
      </c>
      <c r="O16" t="s">
        <v>363</v>
      </c>
      <c r="P16" t="s">
        <v>539</v>
      </c>
      <c r="Q16" t="s">
        <v>32</v>
      </c>
      <c r="R16" t="s">
        <v>5994</v>
      </c>
      <c r="S16" t="s">
        <v>5995</v>
      </c>
      <c r="T16" t="s">
        <v>318</v>
      </c>
      <c r="U16" t="s">
        <v>19</v>
      </c>
    </row>
    <row r="17" spans="1:21" x14ac:dyDescent="0.3">
      <c r="A17" t="s">
        <v>738</v>
      </c>
      <c r="B17" t="s">
        <v>734</v>
      </c>
      <c r="C17" t="s">
        <v>5996</v>
      </c>
      <c r="E17" t="s">
        <v>736</v>
      </c>
      <c r="G17" t="str">
        <f>_xlfn.TEXTJOIN("|",FALSE,Goldcopy_cons[[#This Row],[Entity]],Goldcopy_cons[[#This Row],[DEV SB ID]])</f>
        <v>|</v>
      </c>
      <c r="I17" t="s">
        <v>19</v>
      </c>
      <c r="J17" t="s">
        <v>19</v>
      </c>
      <c r="K17" t="s">
        <v>5997</v>
      </c>
      <c r="O17" t="s">
        <v>363</v>
      </c>
      <c r="P17" t="s">
        <v>539</v>
      </c>
      <c r="Q17" t="s">
        <v>32</v>
      </c>
      <c r="R17" t="s">
        <v>5998</v>
      </c>
      <c r="S17" t="s">
        <v>5999</v>
      </c>
      <c r="U17" t="s">
        <v>33</v>
      </c>
    </row>
    <row r="18" spans="1:21" x14ac:dyDescent="0.3">
      <c r="A18" t="s">
        <v>738</v>
      </c>
      <c r="B18" t="s">
        <v>734</v>
      </c>
      <c r="C18" t="s">
        <v>5930</v>
      </c>
      <c r="E18" t="s">
        <v>736</v>
      </c>
      <c r="G18" t="str">
        <f>_xlfn.TEXTJOIN("|",FALSE,Goldcopy_cons[[#This Row],[Entity]],Goldcopy_cons[[#This Row],[DEV SB ID]])</f>
        <v>|Wbs144</v>
      </c>
      <c r="I18" t="s">
        <v>19</v>
      </c>
      <c r="J18" t="s">
        <v>19</v>
      </c>
      <c r="K18" t="s">
        <v>399</v>
      </c>
      <c r="N18" t="s">
        <v>281</v>
      </c>
      <c r="O18" t="s">
        <v>363</v>
      </c>
      <c r="P18" t="s">
        <v>539</v>
      </c>
      <c r="Q18" t="s">
        <v>32</v>
      </c>
      <c r="R18" t="s">
        <v>755</v>
      </c>
      <c r="S18" t="s">
        <v>6000</v>
      </c>
      <c r="T18" t="s">
        <v>540</v>
      </c>
      <c r="U18" t="s">
        <v>33</v>
      </c>
    </row>
    <row r="19" spans="1:21" x14ac:dyDescent="0.3">
      <c r="A19" t="s">
        <v>738</v>
      </c>
      <c r="B19" t="s">
        <v>734</v>
      </c>
      <c r="C19" t="s">
        <v>491</v>
      </c>
      <c r="E19" t="s">
        <v>736</v>
      </c>
      <c r="G19" t="str">
        <f>_xlfn.TEXTJOIN("|",FALSE,Goldcopy_cons[[#This Row],[Entity]],Goldcopy_cons[[#This Row],[DEV SB ID]])</f>
        <v>|</v>
      </c>
      <c r="H19" t="s">
        <v>6001</v>
      </c>
      <c r="I19" t="s">
        <v>19</v>
      </c>
      <c r="J19" t="s">
        <v>19</v>
      </c>
      <c r="K19" t="s">
        <v>6002</v>
      </c>
      <c r="O19" t="s">
        <v>363</v>
      </c>
      <c r="P19" t="s">
        <v>539</v>
      </c>
      <c r="Q19" t="s">
        <v>32</v>
      </c>
      <c r="R19" t="s">
        <v>755</v>
      </c>
      <c r="S19" t="s">
        <v>6003</v>
      </c>
      <c r="T19" t="s">
        <v>540</v>
      </c>
      <c r="U19" t="s">
        <v>33</v>
      </c>
    </row>
    <row r="20" spans="1:21" x14ac:dyDescent="0.3">
      <c r="B20" t="s">
        <v>734</v>
      </c>
      <c r="C20" t="s">
        <v>5930</v>
      </c>
      <c r="E20" t="s">
        <v>736</v>
      </c>
      <c r="G20" t="str">
        <f>_xlfn.TEXTJOIN("|",FALSE,Goldcopy_cons[[#This Row],[Entity]],Goldcopy_cons[[#This Row],[DEV SB ID]])</f>
        <v>|Wbs145</v>
      </c>
      <c r="H20" t="s">
        <v>758</v>
      </c>
      <c r="I20" t="s">
        <v>19</v>
      </c>
      <c r="J20" t="s">
        <v>19</v>
      </c>
      <c r="K20" t="s">
        <v>400</v>
      </c>
      <c r="N20" t="s">
        <v>286</v>
      </c>
      <c r="Q20" t="s">
        <v>32</v>
      </c>
      <c r="R20" t="s">
        <v>756</v>
      </c>
      <c r="T20" t="s">
        <v>757</v>
      </c>
      <c r="U20" t="s">
        <v>33</v>
      </c>
    </row>
    <row r="21" spans="1:21" x14ac:dyDescent="0.3">
      <c r="A21" t="s">
        <v>738</v>
      </c>
      <c r="B21" t="s">
        <v>734</v>
      </c>
      <c r="C21" t="s">
        <v>759</v>
      </c>
      <c r="E21" t="s">
        <v>736</v>
      </c>
      <c r="G21" t="str">
        <f>_xlfn.TEXTJOIN("|",FALSE,Goldcopy_cons[[#This Row],[Entity]],Goldcopy_cons[[#This Row],[DEV SB ID]])</f>
        <v>|Wbs150</v>
      </c>
      <c r="I21" t="s">
        <v>33</v>
      </c>
      <c r="J21" t="s">
        <v>33</v>
      </c>
      <c r="K21" t="s">
        <v>401</v>
      </c>
      <c r="L21" t="s">
        <v>402</v>
      </c>
      <c r="M21" t="s">
        <v>402</v>
      </c>
      <c r="N21" t="s">
        <v>403</v>
      </c>
      <c r="O21" t="s">
        <v>363</v>
      </c>
      <c r="Q21" t="s">
        <v>32</v>
      </c>
      <c r="R21" t="s">
        <v>760</v>
      </c>
      <c r="S21" t="s">
        <v>6004</v>
      </c>
      <c r="T21" t="s">
        <v>757</v>
      </c>
      <c r="U21" t="s">
        <v>33</v>
      </c>
    </row>
    <row r="22" spans="1:21" x14ac:dyDescent="0.3">
      <c r="A22" t="s">
        <v>738</v>
      </c>
      <c r="B22" t="s">
        <v>734</v>
      </c>
      <c r="C22" t="s">
        <v>759</v>
      </c>
      <c r="E22" t="s">
        <v>736</v>
      </c>
      <c r="G22" t="str">
        <f>_xlfn.TEXTJOIN("|",FALSE,Goldcopy_cons[[#This Row],[Entity]],Goldcopy_cons[[#This Row],[DEV SB ID]])</f>
        <v>|Wbs151</v>
      </c>
      <c r="H22" t="s">
        <v>762</v>
      </c>
      <c r="I22" t="s">
        <v>33</v>
      </c>
      <c r="J22" t="s">
        <v>33</v>
      </c>
      <c r="K22" t="s">
        <v>404</v>
      </c>
      <c r="L22" t="s">
        <v>405</v>
      </c>
      <c r="M22" t="s">
        <v>405</v>
      </c>
      <c r="N22" t="s">
        <v>406</v>
      </c>
      <c r="O22" t="s">
        <v>363</v>
      </c>
      <c r="P22" t="s">
        <v>539</v>
      </c>
      <c r="Q22" t="s">
        <v>32</v>
      </c>
      <c r="R22" t="s">
        <v>761</v>
      </c>
      <c r="S22" t="s">
        <v>6005</v>
      </c>
      <c r="T22" t="s">
        <v>757</v>
      </c>
      <c r="U22" t="s">
        <v>33</v>
      </c>
    </row>
    <row r="23" spans="1:21" x14ac:dyDescent="0.3">
      <c r="A23" t="s">
        <v>738</v>
      </c>
      <c r="B23" t="s">
        <v>734</v>
      </c>
      <c r="C23" t="s">
        <v>759</v>
      </c>
      <c r="E23" t="s">
        <v>736</v>
      </c>
      <c r="G23" t="str">
        <f>_xlfn.TEXTJOIN("|",FALSE,Goldcopy_cons[[#This Row],[Entity]],Goldcopy_cons[[#This Row],[DEV SB ID]])</f>
        <v>|fdx_risk_compwork_wr</v>
      </c>
      <c r="I23" t="s">
        <v>33</v>
      </c>
      <c r="J23" t="s">
        <v>33</v>
      </c>
      <c r="K23" t="s">
        <v>407</v>
      </c>
      <c r="L23" t="s">
        <v>408</v>
      </c>
      <c r="M23" t="s">
        <v>408</v>
      </c>
      <c r="N23" t="s">
        <v>409</v>
      </c>
      <c r="O23" t="s">
        <v>18</v>
      </c>
      <c r="P23" t="s">
        <v>539</v>
      </c>
      <c r="S23" t="s">
        <v>6006</v>
      </c>
      <c r="T23" t="s">
        <v>757</v>
      </c>
      <c r="U23" t="s">
        <v>33</v>
      </c>
    </row>
    <row r="24" spans="1:21" x14ac:dyDescent="0.3">
      <c r="A24" t="s">
        <v>738</v>
      </c>
      <c r="B24" t="s">
        <v>734</v>
      </c>
      <c r="C24" t="s">
        <v>759</v>
      </c>
      <c r="E24" t="s">
        <v>736</v>
      </c>
      <c r="G24" t="str">
        <f>_xlfn.TEXTJOIN("|",FALSE,Goldcopy_cons[[#This Row],[Entity]],Goldcopy_cons[[#This Row],[DEV SB ID]])</f>
        <v>|fdx_law_regimp_wr</v>
      </c>
      <c r="I24" t="s">
        <v>33</v>
      </c>
      <c r="J24" t="s">
        <v>33</v>
      </c>
      <c r="K24" t="s">
        <v>410</v>
      </c>
      <c r="L24" t="s">
        <v>411</v>
      </c>
      <c r="M24" t="s">
        <v>411</v>
      </c>
      <c r="N24" t="s">
        <v>412</v>
      </c>
      <c r="O24" t="s">
        <v>18</v>
      </c>
      <c r="P24" t="s">
        <v>539</v>
      </c>
      <c r="S24" t="s">
        <v>6007</v>
      </c>
      <c r="T24" t="s">
        <v>757</v>
      </c>
      <c r="U24" t="s">
        <v>33</v>
      </c>
    </row>
    <row r="25" spans="1:21" x14ac:dyDescent="0.3">
      <c r="A25" t="s">
        <v>738</v>
      </c>
      <c r="B25" t="s">
        <v>734</v>
      </c>
      <c r="C25" t="s">
        <v>759</v>
      </c>
      <c r="E25" t="s">
        <v>736</v>
      </c>
      <c r="G25" t="str">
        <f>_xlfn.TEXTJOIN("|",FALSE,Goldcopy_cons[[#This Row],[Entity]],Goldcopy_cons[[#This Row],[DEV SB ID]])</f>
        <v>|fdx_law_attr_sme_wrk</v>
      </c>
      <c r="I25" t="s">
        <v>33</v>
      </c>
      <c r="J25" t="s">
        <v>33</v>
      </c>
      <c r="K25" t="s">
        <v>413</v>
      </c>
      <c r="L25" t="s">
        <v>414</v>
      </c>
      <c r="M25" t="s">
        <v>414</v>
      </c>
      <c r="N25" t="s">
        <v>415</v>
      </c>
      <c r="O25" t="s">
        <v>18</v>
      </c>
      <c r="P25" t="s">
        <v>539</v>
      </c>
      <c r="R25" t="s">
        <v>763</v>
      </c>
      <c r="S25" t="s">
        <v>6008</v>
      </c>
      <c r="T25" t="s">
        <v>757</v>
      </c>
      <c r="U25" t="s">
        <v>33</v>
      </c>
    </row>
    <row r="26" spans="1:21" x14ac:dyDescent="0.3">
      <c r="A26" t="s">
        <v>738</v>
      </c>
      <c r="B26" t="s">
        <v>734</v>
      </c>
      <c r="C26" t="s">
        <v>759</v>
      </c>
      <c r="E26" t="s">
        <v>736</v>
      </c>
      <c r="G26" t="str">
        <f>_xlfn.TEXTJOIN("|",FALSE,Goldcopy_cons[[#This Row],[Entity]],Goldcopy_cons[[#This Row],[DEV SB ID]])</f>
        <v>|Wbs152</v>
      </c>
      <c r="I26" t="s">
        <v>33</v>
      </c>
      <c r="J26" t="s">
        <v>33</v>
      </c>
      <c r="K26" t="s">
        <v>416</v>
      </c>
      <c r="L26" t="s">
        <v>417</v>
      </c>
      <c r="M26" t="s">
        <v>417</v>
      </c>
      <c r="N26" t="s">
        <v>418</v>
      </c>
      <c r="O26" t="s">
        <v>363</v>
      </c>
      <c r="P26" t="s">
        <v>539</v>
      </c>
      <c r="Q26" t="s">
        <v>32</v>
      </c>
      <c r="R26" t="s">
        <v>764</v>
      </c>
      <c r="S26" t="s">
        <v>6009</v>
      </c>
      <c r="T26" t="s">
        <v>757</v>
      </c>
      <c r="U26" t="s">
        <v>33</v>
      </c>
    </row>
    <row r="27" spans="1:21" x14ac:dyDescent="0.3">
      <c r="A27" t="s">
        <v>738</v>
      </c>
      <c r="B27" t="s">
        <v>734</v>
      </c>
      <c r="C27" t="s">
        <v>759</v>
      </c>
      <c r="E27" t="s">
        <v>736</v>
      </c>
      <c r="G27" t="str">
        <f>_xlfn.TEXTJOIN("|",FALSE,Goldcopy_cons[[#This Row],[Entity]],Goldcopy_cons[[#This Row],[DEV SB ID]])</f>
        <v>|fdx_manual_wrk_wrk</v>
      </c>
      <c r="I27" t="s">
        <v>33</v>
      </c>
      <c r="J27" t="s">
        <v>33</v>
      </c>
      <c r="K27" t="s">
        <v>419</v>
      </c>
      <c r="L27" t="s">
        <v>420</v>
      </c>
      <c r="M27" t="s">
        <v>420</v>
      </c>
      <c r="N27" t="s">
        <v>421</v>
      </c>
      <c r="O27" t="s">
        <v>18</v>
      </c>
      <c r="P27" t="s">
        <v>539</v>
      </c>
      <c r="T27" t="s">
        <v>757</v>
      </c>
      <c r="U27" t="s">
        <v>33</v>
      </c>
    </row>
    <row r="28" spans="1:21" x14ac:dyDescent="0.3">
      <c r="A28" t="s">
        <v>738</v>
      </c>
      <c r="B28" t="s">
        <v>734</v>
      </c>
      <c r="C28" t="s">
        <v>759</v>
      </c>
      <c r="E28" t="s">
        <v>736</v>
      </c>
      <c r="G28" t="str">
        <f>_xlfn.TEXTJOIN("|",FALSE,Goldcopy_cons[[#This Row],[Entity]],Goldcopy_cons[[#This Row],[DEV SB ID]])</f>
        <v>|Wbs153</v>
      </c>
      <c r="I28" t="s">
        <v>33</v>
      </c>
      <c r="J28" t="s">
        <v>33</v>
      </c>
      <c r="K28" t="s">
        <v>422</v>
      </c>
      <c r="L28" t="s">
        <v>423</v>
      </c>
      <c r="M28" t="s">
        <v>423</v>
      </c>
      <c r="N28" t="s">
        <v>424</v>
      </c>
      <c r="O28" t="s">
        <v>363</v>
      </c>
      <c r="P28" t="s">
        <v>539</v>
      </c>
      <c r="Q28" t="s">
        <v>32</v>
      </c>
      <c r="R28" t="s">
        <v>765</v>
      </c>
      <c r="S28" t="s">
        <v>6010</v>
      </c>
      <c r="T28" t="s">
        <v>540</v>
      </c>
      <c r="U28" t="s">
        <v>33</v>
      </c>
    </row>
    <row r="29" spans="1:21" x14ac:dyDescent="0.3">
      <c r="A29" t="s">
        <v>738</v>
      </c>
      <c r="B29" t="s">
        <v>734</v>
      </c>
      <c r="C29" t="s">
        <v>759</v>
      </c>
      <c r="E29" t="s">
        <v>736</v>
      </c>
      <c r="G29" t="str">
        <f>_xlfn.TEXTJOIN("|",FALSE,Goldcopy_cons[[#This Row],[Entity]],Goldcopy_cons[[#This Row],[DEV SB ID]])</f>
        <v>|fdx_it_cmplet_date</v>
      </c>
      <c r="H29" t="s">
        <v>766</v>
      </c>
      <c r="I29" t="s">
        <v>33</v>
      </c>
      <c r="J29" t="s">
        <v>33</v>
      </c>
      <c r="K29" t="s">
        <v>425</v>
      </c>
      <c r="L29" t="s">
        <v>426</v>
      </c>
      <c r="M29" t="s">
        <v>426</v>
      </c>
      <c r="N29" t="s">
        <v>427</v>
      </c>
      <c r="O29" t="s">
        <v>18</v>
      </c>
      <c r="P29" t="s">
        <v>588</v>
      </c>
      <c r="S29" t="s">
        <v>6011</v>
      </c>
      <c r="T29" t="s">
        <v>318</v>
      </c>
      <c r="U29" t="s">
        <v>33</v>
      </c>
    </row>
    <row r="30" spans="1:21" x14ac:dyDescent="0.3">
      <c r="A30" t="s">
        <v>738</v>
      </c>
      <c r="B30" t="s">
        <v>734</v>
      </c>
      <c r="C30" t="s">
        <v>767</v>
      </c>
      <c r="E30" t="s">
        <v>768</v>
      </c>
      <c r="G30" t="str">
        <f>_xlfn.TEXTJOIN("|",FALSE,Goldcopy_cons[[#This Row],[Entity]],Goldcopy_cons[[#This Row],[DEV SB ID]])</f>
        <v>|WR2</v>
      </c>
      <c r="H30" t="s">
        <v>770</v>
      </c>
      <c r="I30" t="s">
        <v>771</v>
      </c>
      <c r="J30" t="s">
        <v>772</v>
      </c>
      <c r="K30" t="s">
        <v>428</v>
      </c>
      <c r="L30" t="s">
        <v>430</v>
      </c>
      <c r="M30" t="s">
        <v>430</v>
      </c>
      <c r="N30" t="s">
        <v>430</v>
      </c>
      <c r="O30" t="s">
        <v>363</v>
      </c>
      <c r="P30" t="s">
        <v>539</v>
      </c>
      <c r="Q30" t="s">
        <v>32</v>
      </c>
      <c r="R30" t="s">
        <v>769</v>
      </c>
      <c r="S30" t="s">
        <v>6012</v>
      </c>
      <c r="T30" t="s">
        <v>429</v>
      </c>
      <c r="U30" t="s">
        <v>19</v>
      </c>
    </row>
    <row r="31" spans="1:21" x14ac:dyDescent="0.3">
      <c r="A31" t="s">
        <v>738</v>
      </c>
      <c r="B31" t="s">
        <v>734</v>
      </c>
      <c r="C31" t="s">
        <v>5932</v>
      </c>
      <c r="E31" t="s">
        <v>736</v>
      </c>
      <c r="G31" t="str">
        <f>_xlfn.TEXTJOIN("|",FALSE,Goldcopy_cons[[#This Row],[Entity]],Goldcopy_cons[[#This Row],[DEV SB ID]])</f>
        <v>|fdx_biz_prob_solve</v>
      </c>
      <c r="I31" t="s">
        <v>19</v>
      </c>
      <c r="J31" t="s">
        <v>19</v>
      </c>
      <c r="K31" t="s">
        <v>431</v>
      </c>
      <c r="N31" t="s">
        <v>432</v>
      </c>
      <c r="O31" t="s">
        <v>18</v>
      </c>
      <c r="P31" t="s">
        <v>539</v>
      </c>
      <c r="S31" t="s">
        <v>6013</v>
      </c>
      <c r="T31" t="s">
        <v>540</v>
      </c>
      <c r="U31" t="s">
        <v>33</v>
      </c>
    </row>
    <row r="32" spans="1:21" x14ac:dyDescent="0.3">
      <c r="A32" t="s">
        <v>738</v>
      </c>
      <c r="B32" t="s">
        <v>734</v>
      </c>
      <c r="C32" t="s">
        <v>5932</v>
      </c>
      <c r="E32" t="s">
        <v>736</v>
      </c>
      <c r="G32" t="str">
        <f>_xlfn.TEXTJOIN("|",FALSE,Goldcopy_cons[[#This Row],[Entity]],Goldcopy_cons[[#This Row],[DEV SB ID]])</f>
        <v>|fdx_why_needed</v>
      </c>
      <c r="I32" t="s">
        <v>19</v>
      </c>
      <c r="J32" t="s">
        <v>19</v>
      </c>
      <c r="K32" t="s">
        <v>433</v>
      </c>
      <c r="N32" t="s">
        <v>434</v>
      </c>
      <c r="O32" t="s">
        <v>18</v>
      </c>
      <c r="P32" t="s">
        <v>539</v>
      </c>
      <c r="S32" t="s">
        <v>6014</v>
      </c>
      <c r="T32" t="s">
        <v>540</v>
      </c>
      <c r="U32" t="s">
        <v>33</v>
      </c>
    </row>
    <row r="33" spans="1:21" x14ac:dyDescent="0.3">
      <c r="A33" t="s">
        <v>738</v>
      </c>
      <c r="B33" t="s">
        <v>734</v>
      </c>
      <c r="C33" t="s">
        <v>5932</v>
      </c>
      <c r="E33" t="s">
        <v>736</v>
      </c>
      <c r="G33" t="str">
        <f>_xlfn.TEXTJOIN("|",FALSE,Goldcopy_cons[[#This Row],[Entity]],Goldcopy_cons[[#This Row],[DEV SB ID]])</f>
        <v>|fdx_risk_if_not_done</v>
      </c>
      <c r="I33" t="s">
        <v>19</v>
      </c>
      <c r="J33" t="s">
        <v>19</v>
      </c>
      <c r="K33" t="s">
        <v>435</v>
      </c>
      <c r="N33" t="s">
        <v>436</v>
      </c>
      <c r="O33" t="s">
        <v>18</v>
      </c>
      <c r="P33" t="s">
        <v>539</v>
      </c>
      <c r="S33" t="s">
        <v>6015</v>
      </c>
      <c r="T33" t="s">
        <v>540</v>
      </c>
      <c r="U33" t="s">
        <v>33</v>
      </c>
    </row>
    <row r="34" spans="1:21" x14ac:dyDescent="0.3">
      <c r="A34" t="s">
        <v>738</v>
      </c>
      <c r="B34" t="s">
        <v>734</v>
      </c>
      <c r="C34" t="s">
        <v>5932</v>
      </c>
      <c r="E34" t="s">
        <v>736</v>
      </c>
      <c r="G34" t="str">
        <f>_xlfn.TEXTJOIN("|",FALSE,Goldcopy_cons[[#This Row],[Entity]],Goldcopy_cons[[#This Row],[DEV SB ID]])</f>
        <v>|fdx_ability_to_work</v>
      </c>
      <c r="H34" t="s">
        <v>773</v>
      </c>
      <c r="I34" t="s">
        <v>33</v>
      </c>
      <c r="J34" t="s">
        <v>33</v>
      </c>
      <c r="K34" t="s">
        <v>437</v>
      </c>
      <c r="L34" t="s">
        <v>438</v>
      </c>
      <c r="M34" t="s">
        <v>438</v>
      </c>
      <c r="N34" t="s">
        <v>320</v>
      </c>
      <c r="O34" t="s">
        <v>18</v>
      </c>
      <c r="P34" t="s">
        <v>539</v>
      </c>
      <c r="S34" t="s">
        <v>6016</v>
      </c>
      <c r="T34" t="s">
        <v>540</v>
      </c>
      <c r="U34" t="s">
        <v>33</v>
      </c>
    </row>
    <row r="35" spans="1:21" x14ac:dyDescent="0.3">
      <c r="A35" t="s">
        <v>738</v>
      </c>
      <c r="B35" t="s">
        <v>734</v>
      </c>
      <c r="C35" t="s">
        <v>5932</v>
      </c>
      <c r="E35" t="s">
        <v>736</v>
      </c>
      <c r="G35" t="str">
        <f>_xlfn.TEXTJOIN("|",FALSE,Goldcopy_cons[[#This Row],[Entity]],Goldcopy_cons[[#This Row],[DEV SB ID]])</f>
        <v>|fdx_biz_out_work</v>
      </c>
      <c r="I35" t="s">
        <v>33</v>
      </c>
      <c r="J35" t="s">
        <v>33</v>
      </c>
      <c r="K35" t="s">
        <v>43</v>
      </c>
      <c r="L35" t="s">
        <v>439</v>
      </c>
      <c r="M35" t="s">
        <v>439</v>
      </c>
      <c r="N35" t="s">
        <v>164</v>
      </c>
      <c r="O35" t="s">
        <v>18</v>
      </c>
      <c r="P35" t="s">
        <v>539</v>
      </c>
      <c r="S35" t="s">
        <v>6017</v>
      </c>
      <c r="T35" t="s">
        <v>540</v>
      </c>
      <c r="U35" t="s">
        <v>33</v>
      </c>
    </row>
    <row r="36" spans="1:21" x14ac:dyDescent="0.3">
      <c r="A36" t="s">
        <v>738</v>
      </c>
      <c r="B36" t="s">
        <v>734</v>
      </c>
      <c r="C36" t="s">
        <v>5932</v>
      </c>
      <c r="E36" t="s">
        <v>736</v>
      </c>
      <c r="G36" t="str">
        <f>_xlfn.TEXTJOIN("|",FALSE,Goldcopy_cons[[#This Row],[Entity]],Goldcopy_cons[[#This Row],[DEV SB ID]])</f>
        <v>|Str62</v>
      </c>
      <c r="H36" t="s">
        <v>774</v>
      </c>
      <c r="I36" t="s">
        <v>33</v>
      </c>
      <c r="J36" t="s">
        <v>33</v>
      </c>
      <c r="K36" t="s">
        <v>440</v>
      </c>
      <c r="L36" t="s">
        <v>172</v>
      </c>
      <c r="M36" t="s">
        <v>172</v>
      </c>
      <c r="N36" t="s">
        <v>172</v>
      </c>
      <c r="O36" t="s">
        <v>363</v>
      </c>
      <c r="P36" t="s">
        <v>539</v>
      </c>
      <c r="Q36" t="s">
        <v>32</v>
      </c>
      <c r="R36" t="s">
        <v>616</v>
      </c>
      <c r="S36" t="s">
        <v>841</v>
      </c>
      <c r="T36" t="s">
        <v>540</v>
      </c>
      <c r="U36" t="s">
        <v>33</v>
      </c>
    </row>
    <row r="37" spans="1:21" x14ac:dyDescent="0.3">
      <c r="A37" t="s">
        <v>738</v>
      </c>
      <c r="B37" t="s">
        <v>734</v>
      </c>
      <c r="C37" t="s">
        <v>5932</v>
      </c>
      <c r="E37" t="s">
        <v>736</v>
      </c>
      <c r="G37" t="str">
        <f>_xlfn.TEXTJOIN("|",FALSE,Goldcopy_cons[[#This Row],[Entity]],Goldcopy_cons[[#This Row],[DEV SB ID]])</f>
        <v>|WR36</v>
      </c>
      <c r="H37" t="s">
        <v>6018</v>
      </c>
      <c r="I37" t="s">
        <v>33</v>
      </c>
      <c r="J37" t="s">
        <v>33</v>
      </c>
      <c r="K37" t="s">
        <v>2238</v>
      </c>
      <c r="L37" t="s">
        <v>2239</v>
      </c>
      <c r="M37" t="s">
        <v>2239</v>
      </c>
      <c r="N37" t="s">
        <v>2239</v>
      </c>
      <c r="O37" t="s">
        <v>363</v>
      </c>
      <c r="P37" t="s">
        <v>539</v>
      </c>
      <c r="Q37" t="s">
        <v>32</v>
      </c>
      <c r="R37" t="s">
        <v>6019</v>
      </c>
      <c r="S37" t="s">
        <v>6020</v>
      </c>
      <c r="T37" t="s">
        <v>540</v>
      </c>
      <c r="U37" t="s">
        <v>33</v>
      </c>
    </row>
    <row r="38" spans="1:21" x14ac:dyDescent="0.3">
      <c r="A38" t="s">
        <v>738</v>
      </c>
      <c r="B38" t="s">
        <v>734</v>
      </c>
      <c r="C38" t="s">
        <v>5932</v>
      </c>
      <c r="E38" t="s">
        <v>736</v>
      </c>
      <c r="G38" t="str">
        <f>_xlfn.TEXTJOIN("|",FALSE,Goldcopy_cons[[#This Row],[Entity]],Goldcopy_cons[[#This Row],[DEV SB ID]])</f>
        <v>|fdx_exp_est_val_rng</v>
      </c>
      <c r="H38" t="s">
        <v>6021</v>
      </c>
      <c r="I38" t="s">
        <v>19</v>
      </c>
      <c r="J38" t="s">
        <v>19</v>
      </c>
      <c r="K38" t="s">
        <v>5865</v>
      </c>
      <c r="N38" t="s">
        <v>1496</v>
      </c>
      <c r="O38" t="s">
        <v>18</v>
      </c>
      <c r="P38" t="s">
        <v>539</v>
      </c>
      <c r="T38" t="s">
        <v>540</v>
      </c>
      <c r="U38" t="s">
        <v>33</v>
      </c>
    </row>
    <row r="39" spans="1:21" x14ac:dyDescent="0.3">
      <c r="A39" t="s">
        <v>738</v>
      </c>
      <c r="B39" t="s">
        <v>734</v>
      </c>
      <c r="C39" t="s">
        <v>5932</v>
      </c>
      <c r="E39" t="s">
        <v>736</v>
      </c>
      <c r="G39" t="str">
        <f>_xlfn.TEXTJOIN("|",FALSE,Goldcopy_cons[[#This Row],[Entity]],Goldcopy_cons[[#This Row],[DEV SB ID]])</f>
        <v>|Str119</v>
      </c>
      <c r="H39" t="s">
        <v>6021</v>
      </c>
      <c r="I39" t="s">
        <v>33</v>
      </c>
      <c r="J39" t="s">
        <v>33</v>
      </c>
      <c r="K39" t="s">
        <v>55</v>
      </c>
      <c r="L39" t="s">
        <v>56</v>
      </c>
      <c r="M39" t="s">
        <v>56</v>
      </c>
      <c r="N39" t="s">
        <v>56</v>
      </c>
      <c r="O39" t="s">
        <v>363</v>
      </c>
      <c r="P39" t="s">
        <v>539</v>
      </c>
      <c r="Q39" t="s">
        <v>32</v>
      </c>
      <c r="R39" t="s">
        <v>6022</v>
      </c>
      <c r="S39" t="s">
        <v>6023</v>
      </c>
      <c r="T39" t="s">
        <v>540</v>
      </c>
      <c r="U39" t="s">
        <v>33</v>
      </c>
    </row>
    <row r="40" spans="1:21" x14ac:dyDescent="0.3">
      <c r="A40" t="s">
        <v>738</v>
      </c>
      <c r="B40" t="s">
        <v>734</v>
      </c>
      <c r="C40" t="s">
        <v>5932</v>
      </c>
      <c r="E40" t="s">
        <v>736</v>
      </c>
      <c r="G40" t="str">
        <f>_xlfn.TEXTJOIN("|",FALSE,Goldcopy_cons[[#This Row],[Entity]],Goldcopy_cons[[#This Row],[DEV SB ID]])</f>
        <v>|Str128</v>
      </c>
      <c r="H40" t="s">
        <v>776</v>
      </c>
      <c r="I40" t="s">
        <v>33</v>
      </c>
      <c r="J40" t="s">
        <v>33</v>
      </c>
      <c r="K40" t="s">
        <v>441</v>
      </c>
      <c r="L40" t="s">
        <v>211</v>
      </c>
      <c r="M40" t="s">
        <v>211</v>
      </c>
      <c r="N40" t="s">
        <v>211</v>
      </c>
      <c r="O40" t="s">
        <v>363</v>
      </c>
      <c r="P40" t="s">
        <v>539</v>
      </c>
      <c r="Q40" t="s">
        <v>32</v>
      </c>
      <c r="R40" t="s">
        <v>775</v>
      </c>
      <c r="S40" t="s">
        <v>6024</v>
      </c>
      <c r="T40" t="s">
        <v>540</v>
      </c>
      <c r="U40" t="s">
        <v>33</v>
      </c>
    </row>
    <row r="41" spans="1:21" x14ac:dyDescent="0.3">
      <c r="A41" t="s">
        <v>738</v>
      </c>
      <c r="B41" t="s">
        <v>734</v>
      </c>
      <c r="C41" t="s">
        <v>5932</v>
      </c>
      <c r="E41" t="s">
        <v>736</v>
      </c>
      <c r="G41" t="str">
        <f>_xlfn.TEXTJOIN("|",FALSE,Goldcopy_cons[[#This Row],[Entity]],Goldcopy_cons[[#This Row],[DEV SB ID]])</f>
        <v>|Wbs155</v>
      </c>
      <c r="H41" t="s">
        <v>778</v>
      </c>
      <c r="I41" t="s">
        <v>19</v>
      </c>
      <c r="J41" t="s">
        <v>19</v>
      </c>
      <c r="K41" t="s">
        <v>442</v>
      </c>
      <c r="N41" t="s">
        <v>443</v>
      </c>
      <c r="O41" t="s">
        <v>363</v>
      </c>
      <c r="P41" t="s">
        <v>539</v>
      </c>
      <c r="Q41" t="s">
        <v>32</v>
      </c>
      <c r="R41" t="s">
        <v>777</v>
      </c>
      <c r="S41" t="s">
        <v>6025</v>
      </c>
      <c r="T41" t="s">
        <v>540</v>
      </c>
      <c r="U41" t="s">
        <v>33</v>
      </c>
    </row>
    <row r="42" spans="1:21" x14ac:dyDescent="0.3">
      <c r="A42" t="s">
        <v>738</v>
      </c>
      <c r="B42" t="s">
        <v>734</v>
      </c>
      <c r="C42" t="s">
        <v>5932</v>
      </c>
      <c r="E42" t="s">
        <v>736</v>
      </c>
      <c r="G42" t="str">
        <f>_xlfn.TEXTJOIN("|",FALSE,Goldcopy_cons[[#This Row],[Entity]],Goldcopy_cons[[#This Row],[DEV SB ID]])</f>
        <v>|Wbs156</v>
      </c>
      <c r="H42" t="s">
        <v>779</v>
      </c>
      <c r="I42" t="s">
        <v>33</v>
      </c>
      <c r="J42" t="s">
        <v>780</v>
      </c>
      <c r="K42" t="s">
        <v>444</v>
      </c>
      <c r="L42" t="s">
        <v>445</v>
      </c>
      <c r="M42" t="s">
        <v>445</v>
      </c>
      <c r="N42" t="s">
        <v>446</v>
      </c>
      <c r="O42" t="s">
        <v>363</v>
      </c>
      <c r="P42" t="s">
        <v>539</v>
      </c>
      <c r="Q42" t="s">
        <v>35</v>
      </c>
      <c r="R42" t="s">
        <v>777</v>
      </c>
      <c r="S42" t="s">
        <v>6026</v>
      </c>
      <c r="T42" t="s">
        <v>318</v>
      </c>
      <c r="U42" t="s">
        <v>33</v>
      </c>
    </row>
    <row r="43" spans="1:21" x14ac:dyDescent="0.3">
      <c r="B43" t="s">
        <v>734</v>
      </c>
      <c r="C43" t="s">
        <v>5932</v>
      </c>
      <c r="E43" t="s">
        <v>736</v>
      </c>
      <c r="G43" t="str">
        <f>_xlfn.TEXTJOIN("|",FALSE,Goldcopy_cons[[#This Row],[Entity]],Goldcopy_cons[[#This Row],[DEV SB ID]])</f>
        <v>|Wbs169</v>
      </c>
      <c r="H43" t="s">
        <v>779</v>
      </c>
      <c r="K43" t="s">
        <v>447</v>
      </c>
      <c r="N43" t="s">
        <v>448</v>
      </c>
      <c r="O43" t="s">
        <v>363</v>
      </c>
      <c r="P43" t="s">
        <v>539</v>
      </c>
      <c r="Q43" t="s">
        <v>32</v>
      </c>
      <c r="R43" t="s">
        <v>781</v>
      </c>
      <c r="T43" t="s">
        <v>540</v>
      </c>
    </row>
    <row r="44" spans="1:21" x14ac:dyDescent="0.3">
      <c r="A44" t="s">
        <v>738</v>
      </c>
      <c r="B44" t="s">
        <v>734</v>
      </c>
      <c r="C44" t="s">
        <v>5932</v>
      </c>
      <c r="E44" t="s">
        <v>736</v>
      </c>
      <c r="G44" t="str">
        <f>_xlfn.TEXTJOIN("|",FALSE,Goldcopy_cons[[#This Row],[Entity]],Goldcopy_cons[[#This Row],[DEV SB ID]])</f>
        <v>|WR46</v>
      </c>
      <c r="H44" t="s">
        <v>783</v>
      </c>
      <c r="I44" t="s">
        <v>33</v>
      </c>
      <c r="J44" t="s">
        <v>33</v>
      </c>
      <c r="K44" t="s">
        <v>449</v>
      </c>
      <c r="L44" t="s">
        <v>450</v>
      </c>
      <c r="M44" t="s">
        <v>450</v>
      </c>
      <c r="N44" t="s">
        <v>450</v>
      </c>
      <c r="O44" t="s">
        <v>363</v>
      </c>
      <c r="P44" t="s">
        <v>539</v>
      </c>
      <c r="Q44" t="s">
        <v>32</v>
      </c>
      <c r="R44" t="s">
        <v>782</v>
      </c>
      <c r="S44" t="s">
        <v>6027</v>
      </c>
      <c r="T44" t="s">
        <v>540</v>
      </c>
      <c r="U44" t="s">
        <v>19</v>
      </c>
    </row>
    <row r="45" spans="1:21" x14ac:dyDescent="0.3">
      <c r="A45" t="s">
        <v>738</v>
      </c>
      <c r="B45" t="s">
        <v>784</v>
      </c>
      <c r="C45" t="s">
        <v>785</v>
      </c>
      <c r="E45" t="s">
        <v>786</v>
      </c>
      <c r="G45" t="str">
        <f>_xlfn.TEXTJOIN("|",FALSE,Goldcopy_cons[[#This Row],[Entity]],Goldcopy_cons[[#This Row],[DEV SB ID]])</f>
        <v>|WR2</v>
      </c>
      <c r="H45" t="s">
        <v>787</v>
      </c>
      <c r="I45" t="s">
        <v>771</v>
      </c>
      <c r="J45" t="s">
        <v>772</v>
      </c>
      <c r="K45" t="s">
        <v>428</v>
      </c>
      <c r="L45" t="s">
        <v>430</v>
      </c>
      <c r="M45" t="s">
        <v>430</v>
      </c>
      <c r="N45" t="s">
        <v>430</v>
      </c>
      <c r="O45" t="s">
        <v>363</v>
      </c>
      <c r="P45" t="s">
        <v>539</v>
      </c>
      <c r="Q45" t="s">
        <v>32</v>
      </c>
      <c r="R45" t="s">
        <v>769</v>
      </c>
      <c r="S45" t="s">
        <v>6012</v>
      </c>
      <c r="T45" t="s">
        <v>540</v>
      </c>
    </row>
    <row r="46" spans="1:21" x14ac:dyDescent="0.3">
      <c r="A46" t="s">
        <v>738</v>
      </c>
      <c r="B46" t="s">
        <v>784</v>
      </c>
      <c r="C46" t="s">
        <v>785</v>
      </c>
      <c r="E46" t="s">
        <v>786</v>
      </c>
      <c r="G46" t="str">
        <f>_xlfn.TEXTJOIN("|",FALSE,Goldcopy_cons[[#This Row],[Entity]],Goldcopy_cons[[#This Row],[DEV SB ID]])</f>
        <v>|Wbs160</v>
      </c>
      <c r="H46" t="s">
        <v>788</v>
      </c>
      <c r="I46" t="s">
        <v>19</v>
      </c>
      <c r="J46" t="s">
        <v>19</v>
      </c>
      <c r="K46" t="s">
        <v>451</v>
      </c>
      <c r="N46" t="s">
        <v>452</v>
      </c>
      <c r="O46" t="s">
        <v>363</v>
      </c>
      <c r="P46" t="s">
        <v>539</v>
      </c>
      <c r="Q46" t="s">
        <v>32</v>
      </c>
      <c r="R46" t="s">
        <v>559</v>
      </c>
      <c r="S46" t="s">
        <v>6028</v>
      </c>
      <c r="T46" t="s">
        <v>540</v>
      </c>
    </row>
    <row r="47" spans="1:21" x14ac:dyDescent="0.3">
      <c r="A47" t="s">
        <v>738</v>
      </c>
      <c r="B47" t="s">
        <v>784</v>
      </c>
      <c r="C47" t="s">
        <v>785</v>
      </c>
      <c r="E47" t="s">
        <v>786</v>
      </c>
      <c r="G47" t="str">
        <f>_xlfn.TEXTJOIN("|",FALSE,Goldcopy_cons[[#This Row],[Entity]],Goldcopy_cons[[#This Row],[DEV SB ID]])</f>
        <v>|Wbs161</v>
      </c>
      <c r="H47" t="s">
        <v>790</v>
      </c>
      <c r="I47" t="s">
        <v>19</v>
      </c>
      <c r="J47" t="s">
        <v>19</v>
      </c>
      <c r="K47" t="s">
        <v>453</v>
      </c>
      <c r="N47" t="s">
        <v>454</v>
      </c>
      <c r="O47" t="s">
        <v>363</v>
      </c>
      <c r="P47" t="s">
        <v>539</v>
      </c>
      <c r="Q47" t="s">
        <v>32</v>
      </c>
      <c r="R47" t="s">
        <v>789</v>
      </c>
      <c r="S47" t="s">
        <v>6029</v>
      </c>
      <c r="T47" t="s">
        <v>540</v>
      </c>
    </row>
    <row r="48" spans="1:21" x14ac:dyDescent="0.3">
      <c r="A48" t="s">
        <v>738</v>
      </c>
      <c r="B48" t="s">
        <v>784</v>
      </c>
      <c r="C48" t="s">
        <v>785</v>
      </c>
      <c r="E48" t="s">
        <v>786</v>
      </c>
      <c r="G48" t="str">
        <f>_xlfn.TEXTJOIN("|",FALSE,Goldcopy_cons[[#This Row],[Entity]],Goldcopy_cons[[#This Row],[DEV SB ID]])</f>
        <v>|Wbs162</v>
      </c>
      <c r="I48" t="s">
        <v>19</v>
      </c>
      <c r="J48" t="s">
        <v>19</v>
      </c>
      <c r="K48" t="s">
        <v>455</v>
      </c>
      <c r="N48" t="s">
        <v>456</v>
      </c>
      <c r="O48" t="s">
        <v>363</v>
      </c>
      <c r="P48" t="s">
        <v>539</v>
      </c>
      <c r="Q48" t="s">
        <v>32</v>
      </c>
      <c r="R48" t="s">
        <v>791</v>
      </c>
      <c r="S48" t="s">
        <v>6030</v>
      </c>
      <c r="T48" t="s">
        <v>540</v>
      </c>
    </row>
    <row r="49" spans="1:24" x14ac:dyDescent="0.3">
      <c r="A49" t="s">
        <v>797</v>
      </c>
      <c r="B49" t="s">
        <v>792</v>
      </c>
      <c r="C49" t="s">
        <v>785</v>
      </c>
      <c r="E49" t="s">
        <v>786</v>
      </c>
      <c r="G49" t="str">
        <f>_xlfn.TEXTJOIN("|",FALSE,Goldcopy_cons[[#This Row],[Entity]],Goldcopy_cons[[#This Row],[DEV SB ID]])</f>
        <v>|WR50</v>
      </c>
      <c r="H49" t="s">
        <v>796</v>
      </c>
      <c r="I49" t="s">
        <v>33</v>
      </c>
      <c r="J49" t="s">
        <v>33</v>
      </c>
      <c r="K49" t="s">
        <v>457</v>
      </c>
      <c r="L49" t="s">
        <v>458</v>
      </c>
      <c r="M49" t="s">
        <v>458</v>
      </c>
      <c r="N49" t="s">
        <v>458</v>
      </c>
      <c r="O49" t="s">
        <v>363</v>
      </c>
      <c r="P49" t="s">
        <v>539</v>
      </c>
      <c r="Q49" t="s">
        <v>32</v>
      </c>
      <c r="R49" t="s">
        <v>794</v>
      </c>
      <c r="S49" t="s">
        <v>6031</v>
      </c>
      <c r="T49" t="s">
        <v>540</v>
      </c>
      <c r="U49" t="s">
        <v>795</v>
      </c>
      <c r="V49" t="s">
        <v>33</v>
      </c>
      <c r="W49" t="s">
        <v>470</v>
      </c>
      <c r="X49" t="s">
        <v>19</v>
      </c>
    </row>
    <row r="50" spans="1:24" x14ac:dyDescent="0.3">
      <c r="A50" t="s">
        <v>738</v>
      </c>
      <c r="B50" t="s">
        <v>784</v>
      </c>
      <c r="C50" t="s">
        <v>785</v>
      </c>
      <c r="E50" t="s">
        <v>786</v>
      </c>
      <c r="G50" t="str">
        <f>_xlfn.TEXTJOIN("|",FALSE,Goldcopy_cons[[#This Row],[Entity]],Goldcopy_cons[[#This Row],[DEV SB ID]])</f>
        <v>|Wbs86</v>
      </c>
      <c r="I50" t="s">
        <v>19</v>
      </c>
      <c r="J50" t="s">
        <v>19</v>
      </c>
      <c r="K50" t="s">
        <v>459</v>
      </c>
      <c r="N50" t="s">
        <v>460</v>
      </c>
      <c r="O50" t="s">
        <v>363</v>
      </c>
      <c r="P50" t="s">
        <v>539</v>
      </c>
      <c r="Q50" t="s">
        <v>32</v>
      </c>
      <c r="R50" t="s">
        <v>798</v>
      </c>
      <c r="S50" t="s">
        <v>6032</v>
      </c>
      <c r="T50" t="s">
        <v>540</v>
      </c>
      <c r="U50" t="s">
        <v>19</v>
      </c>
    </row>
    <row r="51" spans="1:24" x14ac:dyDescent="0.3">
      <c r="A51" t="s">
        <v>738</v>
      </c>
      <c r="B51" t="s">
        <v>784</v>
      </c>
      <c r="C51" t="s">
        <v>785</v>
      </c>
      <c r="E51" t="s">
        <v>786</v>
      </c>
      <c r="G51" t="str">
        <f>_xlfn.TEXTJOIN("|",FALSE,Goldcopy_cons[[#This Row],[Entity]],Goldcopy_cons[[#This Row],[DEV SB ID]])</f>
        <v>|Wbs163</v>
      </c>
      <c r="H51" t="s">
        <v>800</v>
      </c>
      <c r="I51" t="s">
        <v>33</v>
      </c>
      <c r="J51" t="s">
        <v>597</v>
      </c>
      <c r="K51" t="s">
        <v>461</v>
      </c>
      <c r="L51" t="s">
        <v>462</v>
      </c>
      <c r="M51" t="s">
        <v>462</v>
      </c>
      <c r="N51" t="s">
        <v>463</v>
      </c>
      <c r="O51" t="s">
        <v>363</v>
      </c>
      <c r="P51" t="s">
        <v>539</v>
      </c>
      <c r="Q51" t="s">
        <v>32</v>
      </c>
      <c r="R51" t="s">
        <v>799</v>
      </c>
      <c r="T51" t="s">
        <v>540</v>
      </c>
      <c r="U51" t="s">
        <v>19</v>
      </c>
    </row>
    <row r="52" spans="1:24" x14ac:dyDescent="0.3">
      <c r="A52" t="s">
        <v>738</v>
      </c>
      <c r="B52" t="s">
        <v>784</v>
      </c>
      <c r="C52" t="s">
        <v>785</v>
      </c>
      <c r="E52" t="s">
        <v>786</v>
      </c>
      <c r="G52" t="str">
        <f>_xlfn.TEXTJOIN("|",FALSE,Goldcopy_cons[[#This Row],[Entity]],Goldcopy_cons[[#This Row],[DEV SB ID]])</f>
        <v>|fdx_ready_sl1_work</v>
      </c>
      <c r="I52" t="s">
        <v>33</v>
      </c>
      <c r="J52" t="s">
        <v>33</v>
      </c>
      <c r="K52" t="s">
        <v>464</v>
      </c>
      <c r="L52" t="s">
        <v>465</v>
      </c>
      <c r="M52" t="s">
        <v>465</v>
      </c>
      <c r="N52" t="s">
        <v>466</v>
      </c>
      <c r="O52" t="s">
        <v>18</v>
      </c>
      <c r="P52" t="s">
        <v>539</v>
      </c>
      <c r="T52" t="s">
        <v>540</v>
      </c>
    </row>
    <row r="53" spans="1:24" x14ac:dyDescent="0.3">
      <c r="A53" t="s">
        <v>738</v>
      </c>
      <c r="B53" t="s">
        <v>784</v>
      </c>
      <c r="C53" t="s">
        <v>785</v>
      </c>
      <c r="E53" t="s">
        <v>786</v>
      </c>
      <c r="G53" t="str">
        <f>_xlfn.TEXTJOIN("|",FALSE,Goldcopy_cons[[#This Row],[Entity]],Goldcopy_cons[[#This Row],[DEV SB ID]])</f>
        <v>|191005</v>
      </c>
      <c r="H53" t="s">
        <v>801</v>
      </c>
      <c r="I53" t="s">
        <v>19</v>
      </c>
      <c r="J53" t="s">
        <v>19</v>
      </c>
      <c r="K53" t="s">
        <v>467</v>
      </c>
      <c r="M53">
        <v>179115</v>
      </c>
      <c r="N53" s="34">
        <v>191005</v>
      </c>
      <c r="O53" t="s">
        <v>469</v>
      </c>
      <c r="T53" t="s">
        <v>540</v>
      </c>
      <c r="U53" t="s">
        <v>19</v>
      </c>
      <c r="V53" t="s">
        <v>5931</v>
      </c>
      <c r="W53" t="s">
        <v>33</v>
      </c>
    </row>
    <row r="54" spans="1:24" x14ac:dyDescent="0.3">
      <c r="A54" t="s">
        <v>738</v>
      </c>
      <c r="B54" t="s">
        <v>784</v>
      </c>
      <c r="C54" t="s">
        <v>785</v>
      </c>
      <c r="E54" t="s">
        <v>786</v>
      </c>
      <c r="G54" t="str">
        <f>_xlfn.TEXTJOIN("|",FALSE,Goldcopy_cons[[#This Row],[Entity]],Goldcopy_cons[[#This Row],[DEV SB ID]])</f>
        <v>|96199</v>
      </c>
      <c r="H54" t="s">
        <v>801</v>
      </c>
      <c r="I54" t="s">
        <v>19</v>
      </c>
      <c r="J54" t="s">
        <v>19</v>
      </c>
      <c r="K54" t="s">
        <v>467</v>
      </c>
      <c r="M54">
        <v>96199</v>
      </c>
      <c r="N54">
        <v>96199</v>
      </c>
      <c r="O54" t="s">
        <v>469</v>
      </c>
      <c r="T54" t="s">
        <v>540</v>
      </c>
      <c r="U54" t="s">
        <v>19</v>
      </c>
      <c r="V54" t="s">
        <v>5931</v>
      </c>
      <c r="W54" t="s">
        <v>33</v>
      </c>
    </row>
    <row r="55" spans="1:24" x14ac:dyDescent="0.3">
      <c r="A55" t="s">
        <v>744</v>
      </c>
      <c r="B55" t="s">
        <v>808</v>
      </c>
      <c r="C55" t="s">
        <v>5933</v>
      </c>
      <c r="E55" t="s">
        <v>809</v>
      </c>
      <c r="G55" t="str">
        <f>_xlfn.TEXTJOIN("|",FALSE,Goldcopy_cons[[#This Row],[Entity]],Goldcopy_cons[[#This Row],[DEV SB ID]])</f>
        <v>|</v>
      </c>
      <c r="H55" t="s">
        <v>6033</v>
      </c>
    </row>
    <row r="56" spans="1:24" x14ac:dyDescent="0.3">
      <c r="A56" t="s">
        <v>744</v>
      </c>
      <c r="B56" t="s">
        <v>808</v>
      </c>
      <c r="C56" t="s">
        <v>5933</v>
      </c>
      <c r="E56" t="s">
        <v>809</v>
      </c>
      <c r="G56" t="str">
        <f>_xlfn.TEXTJOIN("|",FALSE,Goldcopy_cons[[#This Row],[Entity]],Goldcopy_cons[[#This Row],[DEV SB ID]])</f>
        <v>|Wbs164</v>
      </c>
      <c r="H56" t="s">
        <v>811</v>
      </c>
      <c r="I56" t="s">
        <v>812</v>
      </c>
      <c r="J56" t="s">
        <v>812</v>
      </c>
      <c r="K56" t="s">
        <v>472</v>
      </c>
      <c r="L56" t="s">
        <v>473</v>
      </c>
      <c r="M56" t="s">
        <v>473</v>
      </c>
      <c r="N56" t="s">
        <v>474</v>
      </c>
      <c r="O56" t="s">
        <v>363</v>
      </c>
      <c r="P56" t="s">
        <v>539</v>
      </c>
      <c r="Q56" t="s">
        <v>32</v>
      </c>
      <c r="R56" t="s">
        <v>810</v>
      </c>
      <c r="T56" t="s">
        <v>540</v>
      </c>
      <c r="U56" t="s">
        <v>19</v>
      </c>
    </row>
    <row r="57" spans="1:24" x14ac:dyDescent="0.3">
      <c r="A57" t="s">
        <v>744</v>
      </c>
      <c r="B57" t="s">
        <v>808</v>
      </c>
      <c r="C57" t="s">
        <v>5933</v>
      </c>
      <c r="E57" t="s">
        <v>809</v>
      </c>
      <c r="G57" t="str">
        <f>_xlfn.TEXTJOIN("|",FALSE,Goldcopy_cons[[#This Row],[Entity]],Goldcopy_cons[[#This Row],[DEV SB ID]])</f>
        <v>|fdx_req_apv_dec_note</v>
      </c>
      <c r="I57" t="s">
        <v>812</v>
      </c>
      <c r="J57" t="s">
        <v>812</v>
      </c>
      <c r="K57" t="s">
        <v>475</v>
      </c>
      <c r="L57" t="s">
        <v>476</v>
      </c>
      <c r="N57" t="s">
        <v>477</v>
      </c>
      <c r="O57" t="s">
        <v>18</v>
      </c>
      <c r="P57" t="s">
        <v>539</v>
      </c>
      <c r="T57" t="s">
        <v>540</v>
      </c>
      <c r="U57" t="s">
        <v>33</v>
      </c>
    </row>
    <row r="58" spans="1:24" x14ac:dyDescent="0.3">
      <c r="A58" t="s">
        <v>744</v>
      </c>
      <c r="C58" t="s">
        <v>5934</v>
      </c>
      <c r="E58" t="s">
        <v>786</v>
      </c>
      <c r="G58" t="str">
        <f>_xlfn.TEXTJOIN("|",FALSE,Goldcopy_cons[[#This Row],[Entity]],Goldcopy_cons[[#This Row],[DEV SB ID]])</f>
        <v>|191248</v>
      </c>
      <c r="I58" t="s">
        <v>19</v>
      </c>
      <c r="J58" t="s">
        <v>33</v>
      </c>
      <c r="K58" t="s">
        <v>470</v>
      </c>
      <c r="M58">
        <v>178353</v>
      </c>
      <c r="N58">
        <v>191248</v>
      </c>
      <c r="O58" t="s">
        <v>18</v>
      </c>
      <c r="P58" t="s">
        <v>539</v>
      </c>
      <c r="Q58" t="s">
        <v>32</v>
      </c>
      <c r="R58" t="s">
        <v>803</v>
      </c>
      <c r="T58" t="s">
        <v>540</v>
      </c>
      <c r="U58" t="s">
        <v>33</v>
      </c>
    </row>
    <row r="59" spans="1:24" x14ac:dyDescent="0.3">
      <c r="A59" t="s">
        <v>744</v>
      </c>
      <c r="C59" t="s">
        <v>546</v>
      </c>
      <c r="E59" t="s">
        <v>802</v>
      </c>
      <c r="G59" t="str">
        <f>_xlfn.TEXTJOIN("|",FALSE,Goldcopy_cons[[#This Row],[Entity]],Goldcopy_cons[[#This Row],[DEV SB ID]])</f>
        <v>|</v>
      </c>
      <c r="I59" t="s">
        <v>19</v>
      </c>
      <c r="J59" t="s">
        <v>19</v>
      </c>
      <c r="K59" t="s">
        <v>5961</v>
      </c>
      <c r="O59" t="s">
        <v>18</v>
      </c>
      <c r="P59" t="s">
        <v>539</v>
      </c>
      <c r="Q59" t="s">
        <v>35</v>
      </c>
      <c r="R59" t="s">
        <v>798</v>
      </c>
      <c r="S59" t="s">
        <v>6032</v>
      </c>
      <c r="T59" t="s">
        <v>540</v>
      </c>
      <c r="U59" t="s">
        <v>19</v>
      </c>
    </row>
    <row r="60" spans="1:24" x14ac:dyDescent="0.3">
      <c r="A60" t="s">
        <v>744</v>
      </c>
      <c r="C60" t="s">
        <v>546</v>
      </c>
      <c r="E60" t="s">
        <v>809</v>
      </c>
      <c r="G60" t="str">
        <f>_xlfn.TEXTJOIN("|",FALSE,Goldcopy_cons[[#This Row],[Entity]],Goldcopy_cons[[#This Row],[DEV SB ID]])</f>
        <v>|190985</v>
      </c>
      <c r="I60" t="s">
        <v>19</v>
      </c>
      <c r="J60" t="s">
        <v>33</v>
      </c>
      <c r="K60" t="s">
        <v>36</v>
      </c>
      <c r="M60">
        <v>178311</v>
      </c>
      <c r="N60">
        <v>190985</v>
      </c>
      <c r="O60" t="s">
        <v>18</v>
      </c>
      <c r="P60" t="s">
        <v>539</v>
      </c>
      <c r="Q60" t="s">
        <v>32</v>
      </c>
      <c r="R60" t="s">
        <v>6034</v>
      </c>
      <c r="S60" t="s">
        <v>6035</v>
      </c>
      <c r="T60" t="s">
        <v>540</v>
      </c>
      <c r="U60" t="s">
        <v>33</v>
      </c>
    </row>
    <row r="61" spans="1:24" x14ac:dyDescent="0.3">
      <c r="A61" t="s">
        <v>744</v>
      </c>
      <c r="C61" t="s">
        <v>5934</v>
      </c>
      <c r="E61" t="s">
        <v>802</v>
      </c>
      <c r="G61" t="str">
        <f>_xlfn.TEXTJOIN("|",FALSE,Goldcopy_cons[[#This Row],[Entity]],Goldcopy_cons[[#This Row],[DEV SB ID]])</f>
        <v>|191004</v>
      </c>
      <c r="I61" t="s">
        <v>19</v>
      </c>
      <c r="J61" t="s">
        <v>33</v>
      </c>
      <c r="K61" t="s">
        <v>147</v>
      </c>
      <c r="M61">
        <v>178521</v>
      </c>
      <c r="N61">
        <v>191004</v>
      </c>
      <c r="O61" t="s">
        <v>18</v>
      </c>
      <c r="P61" t="s">
        <v>539</v>
      </c>
      <c r="Q61" t="s">
        <v>32</v>
      </c>
      <c r="R61" t="s">
        <v>804</v>
      </c>
      <c r="S61" t="s">
        <v>6036</v>
      </c>
      <c r="T61" t="s">
        <v>540</v>
      </c>
      <c r="U61" t="s">
        <v>33</v>
      </c>
    </row>
    <row r="62" spans="1:24" x14ac:dyDescent="0.3">
      <c r="A62" t="s">
        <v>744</v>
      </c>
      <c r="C62" t="s">
        <v>5934</v>
      </c>
      <c r="E62" t="s">
        <v>802</v>
      </c>
      <c r="G62" t="str">
        <f>_xlfn.TEXTJOIN("|",FALSE,Goldcopy_cons[[#This Row],[Entity]],Goldcopy_cons[[#This Row],[DEV SB ID]])</f>
        <v>|190987</v>
      </c>
      <c r="H62" t="s">
        <v>806</v>
      </c>
      <c r="I62" t="s">
        <v>19</v>
      </c>
      <c r="J62" t="s">
        <v>33</v>
      </c>
      <c r="K62" t="s">
        <v>38</v>
      </c>
      <c r="M62">
        <v>178340</v>
      </c>
      <c r="N62">
        <v>190987</v>
      </c>
      <c r="O62" t="s">
        <v>18</v>
      </c>
      <c r="P62" t="s">
        <v>539</v>
      </c>
      <c r="Q62" t="s">
        <v>32</v>
      </c>
      <c r="R62" t="s">
        <v>805</v>
      </c>
      <c r="S62" t="s">
        <v>6037</v>
      </c>
      <c r="T62" t="s">
        <v>540</v>
      </c>
      <c r="U62" t="s">
        <v>33</v>
      </c>
    </row>
    <row r="63" spans="1:24" x14ac:dyDescent="0.3">
      <c r="A63" t="s">
        <v>744</v>
      </c>
      <c r="C63" t="s">
        <v>5934</v>
      </c>
      <c r="E63" t="s">
        <v>802</v>
      </c>
      <c r="G63" t="str">
        <f>_xlfn.TEXTJOIN("|",FALSE,Goldcopy_cons[[#This Row],[Entity]],Goldcopy_cons[[#This Row],[DEV SB ID]])</f>
        <v>|190988</v>
      </c>
      <c r="I63" t="s">
        <v>19</v>
      </c>
      <c r="J63" t="s">
        <v>33</v>
      </c>
      <c r="K63" t="s">
        <v>471</v>
      </c>
      <c r="M63">
        <v>178310</v>
      </c>
      <c r="N63">
        <v>190988</v>
      </c>
      <c r="O63" t="s">
        <v>18</v>
      </c>
      <c r="P63" t="s">
        <v>539</v>
      </c>
      <c r="Q63" t="s">
        <v>32</v>
      </c>
      <c r="R63" t="s">
        <v>807</v>
      </c>
      <c r="T63" t="s">
        <v>540</v>
      </c>
      <c r="U63" t="s">
        <v>33</v>
      </c>
    </row>
    <row r="64" spans="1:24" x14ac:dyDescent="0.3">
      <c r="A64" t="s">
        <v>744</v>
      </c>
      <c r="C64" t="s">
        <v>6038</v>
      </c>
      <c r="E64" t="s">
        <v>809</v>
      </c>
      <c r="G64" t="str">
        <f>_xlfn.TEXTJOIN("|",FALSE,Goldcopy_cons[[#This Row],[Entity]],Goldcopy_cons[[#This Row],[DEV SB ID]])</f>
        <v>|</v>
      </c>
      <c r="H64" t="s">
        <v>6039</v>
      </c>
    </row>
    <row r="65" spans="1:21" x14ac:dyDescent="0.3">
      <c r="A65" t="s">
        <v>744</v>
      </c>
      <c r="C65" t="s">
        <v>740</v>
      </c>
      <c r="E65" t="s">
        <v>809</v>
      </c>
      <c r="G65" t="str">
        <f>_xlfn.TEXTJOIN("|",FALSE,Goldcopy_cons[[#This Row],[Entity]],Goldcopy_cons[[#This Row],[DEV SB ID]])</f>
        <v>|Wbs157</v>
      </c>
      <c r="H65" t="s">
        <v>814</v>
      </c>
      <c r="I65" t="s">
        <v>19</v>
      </c>
      <c r="J65" t="s">
        <v>19</v>
      </c>
      <c r="K65" t="s">
        <v>478</v>
      </c>
      <c r="N65" t="s">
        <v>479</v>
      </c>
      <c r="O65" t="s">
        <v>363</v>
      </c>
      <c r="P65" t="s">
        <v>539</v>
      </c>
      <c r="Q65" t="s">
        <v>32</v>
      </c>
      <c r="R65" t="s">
        <v>813</v>
      </c>
      <c r="S65" t="s">
        <v>6040</v>
      </c>
      <c r="T65" t="s">
        <v>540</v>
      </c>
      <c r="U65" t="s">
        <v>19</v>
      </c>
    </row>
    <row r="66" spans="1:21" x14ac:dyDescent="0.3">
      <c r="A66" t="s">
        <v>744</v>
      </c>
      <c r="C66" t="s">
        <v>1900</v>
      </c>
      <c r="E66" t="s">
        <v>809</v>
      </c>
      <c r="G66" t="str">
        <f>_xlfn.TEXTJOIN("|",FALSE,Goldcopy_cons[[#This Row],[Entity]],Goldcopy_cons[[#This Row],[DEV SB ID]])</f>
        <v>|</v>
      </c>
      <c r="H66" t="s">
        <v>6041</v>
      </c>
      <c r="I66" t="s">
        <v>607</v>
      </c>
      <c r="J66" t="s">
        <v>607</v>
      </c>
    </row>
    <row r="67" spans="1:21" x14ac:dyDescent="0.3">
      <c r="A67" t="s">
        <v>818</v>
      </c>
      <c r="B67" t="s">
        <v>815</v>
      </c>
      <c r="C67" t="s">
        <v>816</v>
      </c>
      <c r="E67" t="s">
        <v>39</v>
      </c>
      <c r="F67" t="s">
        <v>481</v>
      </c>
      <c r="G67" t="str">
        <f>_xlfn.TEXTJOIN("|",FALSE,Goldcopy_cons[[#This Row],[Entity]],Goldcopy_cons[[#This Row],[DEV SB ID]])</f>
        <v>Demand Bundle|Str109</v>
      </c>
      <c r="H67" t="s">
        <v>817</v>
      </c>
      <c r="I67" t="s">
        <v>33</v>
      </c>
      <c r="J67" t="s">
        <v>33</v>
      </c>
      <c r="K67" t="s">
        <v>173</v>
      </c>
      <c r="L67" t="s">
        <v>174</v>
      </c>
      <c r="M67" t="s">
        <v>174</v>
      </c>
      <c r="N67" t="s">
        <v>174</v>
      </c>
      <c r="O67" t="s">
        <v>57</v>
      </c>
      <c r="P67" t="s">
        <v>539</v>
      </c>
      <c r="Q67" t="s">
        <v>32</v>
      </c>
      <c r="R67" t="s">
        <v>559</v>
      </c>
      <c r="T67" t="s">
        <v>540</v>
      </c>
    </row>
    <row r="68" spans="1:21" x14ac:dyDescent="0.3">
      <c r="A68" t="s">
        <v>818</v>
      </c>
      <c r="B68" t="s">
        <v>815</v>
      </c>
      <c r="C68" t="s">
        <v>816</v>
      </c>
      <c r="E68" t="s">
        <v>39</v>
      </c>
      <c r="F68" t="s">
        <v>481</v>
      </c>
      <c r="G68" t="str">
        <f>_xlfn.TEXTJOIN("|",FALSE,Goldcopy_cons[[#This Row],[Entity]],Goldcopy_cons[[#This Row],[DEV SB ID]])</f>
        <v>Demand Bundle|Str111</v>
      </c>
      <c r="H68" t="s">
        <v>817</v>
      </c>
      <c r="I68" t="s">
        <v>33</v>
      </c>
      <c r="J68" t="s">
        <v>33</v>
      </c>
      <c r="K68" t="s">
        <v>175</v>
      </c>
      <c r="L68" t="s">
        <v>176</v>
      </c>
      <c r="M68" t="s">
        <v>176</v>
      </c>
      <c r="N68" t="s">
        <v>176</v>
      </c>
      <c r="O68" t="s">
        <v>57</v>
      </c>
      <c r="P68" t="s">
        <v>539</v>
      </c>
      <c r="Q68" t="s">
        <v>32</v>
      </c>
      <c r="R68" t="s">
        <v>559</v>
      </c>
      <c r="T68" t="s">
        <v>540</v>
      </c>
    </row>
    <row r="69" spans="1:21" x14ac:dyDescent="0.3">
      <c r="A69" t="s">
        <v>818</v>
      </c>
      <c r="B69" t="s">
        <v>815</v>
      </c>
      <c r="C69" t="s">
        <v>816</v>
      </c>
      <c r="E69" t="s">
        <v>39</v>
      </c>
      <c r="F69" t="s">
        <v>481</v>
      </c>
      <c r="G69" t="str">
        <f>_xlfn.TEXTJOIN("|",FALSE,Goldcopy_cons[[#This Row],[Entity]],Goldcopy_cons[[#This Row],[DEV SB ID]])</f>
        <v>Demand Bundle|Str110</v>
      </c>
      <c r="H69" t="s">
        <v>817</v>
      </c>
      <c r="I69" t="s">
        <v>33</v>
      </c>
      <c r="J69" t="s">
        <v>33</v>
      </c>
      <c r="K69" t="s">
        <v>177</v>
      </c>
      <c r="L69" t="s">
        <v>178</v>
      </c>
      <c r="M69" t="s">
        <v>178</v>
      </c>
      <c r="N69" t="s">
        <v>178</v>
      </c>
      <c r="O69" t="s">
        <v>57</v>
      </c>
      <c r="P69" t="s">
        <v>539</v>
      </c>
      <c r="Q69" t="s">
        <v>32</v>
      </c>
      <c r="R69" t="s">
        <v>559</v>
      </c>
      <c r="T69" t="s">
        <v>540</v>
      </c>
    </row>
    <row r="70" spans="1:21" x14ac:dyDescent="0.3">
      <c r="A70" t="s">
        <v>818</v>
      </c>
      <c r="B70" t="s">
        <v>815</v>
      </c>
      <c r="C70" t="s">
        <v>816</v>
      </c>
      <c r="E70" t="s">
        <v>39</v>
      </c>
      <c r="F70" t="s">
        <v>481</v>
      </c>
      <c r="G70" t="str">
        <f>_xlfn.TEXTJOIN("|",FALSE,Goldcopy_cons[[#This Row],[Entity]],Goldcopy_cons[[#This Row],[DEV SB ID]])</f>
        <v>Demand Bundle|Str113</v>
      </c>
      <c r="H70" t="s">
        <v>817</v>
      </c>
      <c r="I70" t="s">
        <v>33</v>
      </c>
      <c r="J70" t="s">
        <v>33</v>
      </c>
      <c r="K70" t="s">
        <v>179</v>
      </c>
      <c r="L70" t="s">
        <v>180</v>
      </c>
      <c r="M70" t="s">
        <v>180</v>
      </c>
      <c r="N70" t="s">
        <v>180</v>
      </c>
      <c r="O70" t="s">
        <v>57</v>
      </c>
      <c r="P70" t="s">
        <v>539</v>
      </c>
      <c r="Q70" t="s">
        <v>32</v>
      </c>
      <c r="R70" t="s">
        <v>559</v>
      </c>
      <c r="T70" t="s">
        <v>540</v>
      </c>
    </row>
    <row r="71" spans="1:21" x14ac:dyDescent="0.3">
      <c r="A71" t="s">
        <v>818</v>
      </c>
      <c r="B71" t="s">
        <v>815</v>
      </c>
      <c r="C71" t="s">
        <v>816</v>
      </c>
      <c r="E71" t="s">
        <v>39</v>
      </c>
      <c r="F71" t="s">
        <v>481</v>
      </c>
      <c r="G71" t="str">
        <f>_xlfn.TEXTJOIN("|",FALSE,Goldcopy_cons[[#This Row],[Entity]],Goldcopy_cons[[#This Row],[DEV SB ID]])</f>
        <v>Demand Bundle|Str62</v>
      </c>
      <c r="H71" t="s">
        <v>817</v>
      </c>
      <c r="I71" t="s">
        <v>33</v>
      </c>
      <c r="J71" t="s">
        <v>33</v>
      </c>
      <c r="K71" t="s">
        <v>171</v>
      </c>
      <c r="L71" t="s">
        <v>172</v>
      </c>
      <c r="M71" t="s">
        <v>172</v>
      </c>
      <c r="N71" t="s">
        <v>172</v>
      </c>
      <c r="O71" t="s">
        <v>57</v>
      </c>
      <c r="P71" t="s">
        <v>539</v>
      </c>
      <c r="Q71" t="s">
        <v>32</v>
      </c>
      <c r="R71" t="s">
        <v>616</v>
      </c>
      <c r="S71" t="s">
        <v>6042</v>
      </c>
      <c r="T71" t="s">
        <v>540</v>
      </c>
    </row>
    <row r="72" spans="1:21" x14ac:dyDescent="0.3">
      <c r="A72" t="s">
        <v>818</v>
      </c>
      <c r="B72" t="s">
        <v>815</v>
      </c>
      <c r="C72" t="s">
        <v>816</v>
      </c>
      <c r="E72" t="s">
        <v>39</v>
      </c>
      <c r="F72" t="s">
        <v>481</v>
      </c>
      <c r="G72" t="str">
        <f>_xlfn.TEXTJOIN("|",FALSE,Goldcopy_cons[[#This Row],[Entity]],Goldcopy_cons[[#This Row],[DEV SB ID]])</f>
        <v>Demand Bundle|Str36</v>
      </c>
      <c r="H72" t="s">
        <v>817</v>
      </c>
      <c r="I72" t="s">
        <v>33</v>
      </c>
      <c r="J72" t="s">
        <v>33</v>
      </c>
      <c r="K72" t="s">
        <v>165</v>
      </c>
      <c r="L72" t="s">
        <v>166</v>
      </c>
      <c r="M72" t="s">
        <v>166</v>
      </c>
      <c r="N72" t="s">
        <v>166</v>
      </c>
      <c r="O72" t="s">
        <v>57</v>
      </c>
      <c r="P72" t="s">
        <v>539</v>
      </c>
      <c r="Q72" t="s">
        <v>32</v>
      </c>
      <c r="R72" t="s">
        <v>612</v>
      </c>
      <c r="S72" t="s">
        <v>6043</v>
      </c>
      <c r="T72" t="s">
        <v>540</v>
      </c>
    </row>
    <row r="73" spans="1:21" x14ac:dyDescent="0.3">
      <c r="A73" t="s">
        <v>822</v>
      </c>
      <c r="B73" t="s">
        <v>819</v>
      </c>
      <c r="C73" t="s">
        <v>820</v>
      </c>
      <c r="E73" t="s">
        <v>38</v>
      </c>
      <c r="F73" t="s">
        <v>481</v>
      </c>
      <c r="G73" t="str">
        <f>_xlfn.TEXTJOIN("|",FALSE,Goldcopy_cons[[#This Row],[Entity]],Goldcopy_cons[[#This Row],[DEV SB ID]])</f>
        <v>Demand Bundle|fdx_assump_work</v>
      </c>
      <c r="H73" t="s">
        <v>821</v>
      </c>
      <c r="I73" t="s">
        <v>33</v>
      </c>
      <c r="J73" t="s">
        <v>33</v>
      </c>
      <c r="K73" t="s">
        <v>53</v>
      </c>
      <c r="L73" t="s">
        <v>189</v>
      </c>
      <c r="M73" t="s">
        <v>189</v>
      </c>
      <c r="N73" t="s">
        <v>189</v>
      </c>
      <c r="O73" t="s">
        <v>18</v>
      </c>
      <c r="P73" t="s">
        <v>539</v>
      </c>
      <c r="Q73" t="s">
        <v>190</v>
      </c>
      <c r="R73" t="s">
        <v>190</v>
      </c>
      <c r="S73" t="s">
        <v>6044</v>
      </c>
      <c r="T73" t="s">
        <v>540</v>
      </c>
    </row>
    <row r="74" spans="1:21" x14ac:dyDescent="0.3">
      <c r="A74" t="s">
        <v>822</v>
      </c>
      <c r="B74" t="s">
        <v>819</v>
      </c>
      <c r="C74" t="s">
        <v>820</v>
      </c>
      <c r="E74" t="s">
        <v>38</v>
      </c>
      <c r="F74" t="s">
        <v>481</v>
      </c>
      <c r="G74" t="str">
        <f>_xlfn.TEXTJOIN("|",FALSE,Goldcopy_cons[[#This Row],[Entity]],Goldcopy_cons[[#This Row],[DEV SB ID]])</f>
        <v>Demand Bundle|Str33</v>
      </c>
      <c r="H74" t="s">
        <v>821</v>
      </c>
      <c r="I74" t="s">
        <v>33</v>
      </c>
      <c r="J74" t="s">
        <v>623</v>
      </c>
      <c r="K74" t="s">
        <v>482</v>
      </c>
      <c r="L74" t="s">
        <v>192</v>
      </c>
      <c r="M74" t="s">
        <v>192</v>
      </c>
      <c r="N74" t="s">
        <v>192</v>
      </c>
      <c r="O74" t="s">
        <v>57</v>
      </c>
      <c r="P74" t="s">
        <v>539</v>
      </c>
      <c r="Q74" t="s">
        <v>32</v>
      </c>
      <c r="R74" t="s">
        <v>621</v>
      </c>
      <c r="S74" t="s">
        <v>6045</v>
      </c>
      <c r="T74" t="s">
        <v>540</v>
      </c>
    </row>
    <row r="75" spans="1:21" x14ac:dyDescent="0.3">
      <c r="A75" t="s">
        <v>822</v>
      </c>
      <c r="B75" t="s">
        <v>819</v>
      </c>
      <c r="C75" t="s">
        <v>820</v>
      </c>
      <c r="E75" t="s">
        <v>38</v>
      </c>
      <c r="F75" t="s">
        <v>481</v>
      </c>
      <c r="G75" t="str">
        <f>_xlfn.TEXTJOIN("|",FALSE,Goldcopy_cons[[#This Row],[Entity]],Goldcopy_cons[[#This Row],[DEV SB ID]])</f>
        <v>Demand Bundle|fdx_vbnrb_cy27_hard</v>
      </c>
      <c r="H75" t="s">
        <v>821</v>
      </c>
      <c r="I75" t="s">
        <v>19</v>
      </c>
      <c r="J75" t="s">
        <v>19</v>
      </c>
      <c r="K75" t="s">
        <v>195</v>
      </c>
      <c r="N75" t="s">
        <v>196</v>
      </c>
      <c r="O75" t="s">
        <v>483</v>
      </c>
      <c r="P75" t="s">
        <v>555</v>
      </c>
      <c r="Q75" t="s">
        <v>190</v>
      </c>
      <c r="R75" t="s">
        <v>190</v>
      </c>
      <c r="S75" t="s">
        <v>6046</v>
      </c>
      <c r="T75" t="s">
        <v>540</v>
      </c>
    </row>
    <row r="76" spans="1:21" x14ac:dyDescent="0.3">
      <c r="A76" t="s">
        <v>822</v>
      </c>
      <c r="B76" t="s">
        <v>819</v>
      </c>
      <c r="C76" t="s">
        <v>820</v>
      </c>
      <c r="E76" t="s">
        <v>38</v>
      </c>
      <c r="F76" t="s">
        <v>481</v>
      </c>
      <c r="G76" t="str">
        <f>_xlfn.TEXTJOIN("|",FALSE,Goldcopy_cons[[#This Row],[Entity]],Goldcopy_cons[[#This Row],[DEV SB ID]])</f>
        <v>Demand Bundle|fdx_vbnrb_cy28_hard</v>
      </c>
      <c r="H76" t="s">
        <v>821</v>
      </c>
      <c r="I76" t="s">
        <v>19</v>
      </c>
      <c r="J76" t="s">
        <v>19</v>
      </c>
      <c r="K76" t="s">
        <v>197</v>
      </c>
      <c r="N76" t="s">
        <v>198</v>
      </c>
      <c r="O76" t="s">
        <v>483</v>
      </c>
      <c r="P76" t="s">
        <v>555</v>
      </c>
      <c r="Q76" t="s">
        <v>190</v>
      </c>
      <c r="R76" t="s">
        <v>190</v>
      </c>
      <c r="S76" t="s">
        <v>6046</v>
      </c>
      <c r="T76" t="s">
        <v>540</v>
      </c>
    </row>
    <row r="77" spans="1:21" x14ac:dyDescent="0.3">
      <c r="A77" t="s">
        <v>822</v>
      </c>
      <c r="B77" t="s">
        <v>819</v>
      </c>
      <c r="C77" t="s">
        <v>820</v>
      </c>
      <c r="E77" t="s">
        <v>38</v>
      </c>
      <c r="F77" t="s">
        <v>481</v>
      </c>
      <c r="G77" t="str">
        <f>_xlfn.TEXTJOIN("|",FALSE,Goldcopy_cons[[#This Row],[Entity]],Goldcopy_cons[[#This Row],[DEV SB ID]])</f>
        <v>Demand Bundle|fdx_vbnrb_cy29_hard</v>
      </c>
      <c r="H77" t="s">
        <v>821</v>
      </c>
      <c r="I77" t="s">
        <v>19</v>
      </c>
      <c r="J77" t="s">
        <v>19</v>
      </c>
      <c r="K77" t="s">
        <v>199</v>
      </c>
      <c r="N77" t="s">
        <v>200</v>
      </c>
      <c r="O77" t="s">
        <v>483</v>
      </c>
      <c r="P77" t="s">
        <v>555</v>
      </c>
      <c r="Q77" t="s">
        <v>190</v>
      </c>
      <c r="R77" t="s">
        <v>190</v>
      </c>
      <c r="S77" t="s">
        <v>6046</v>
      </c>
      <c r="T77" t="s">
        <v>540</v>
      </c>
    </row>
    <row r="78" spans="1:21" x14ac:dyDescent="0.3">
      <c r="A78" t="s">
        <v>822</v>
      </c>
      <c r="B78" t="s">
        <v>819</v>
      </c>
      <c r="C78" t="s">
        <v>820</v>
      </c>
      <c r="E78" t="s">
        <v>38</v>
      </c>
      <c r="F78" t="s">
        <v>481</v>
      </c>
      <c r="G78" t="str">
        <f>_xlfn.TEXTJOIN("|",FALSE,Goldcopy_cons[[#This Row],[Entity]],Goldcopy_cons[[#This Row],[DEV SB ID]])</f>
        <v>Demand Bundle|fdx_vbnrb_ty26_hard</v>
      </c>
      <c r="H78" t="s">
        <v>821</v>
      </c>
      <c r="I78" t="s">
        <v>19</v>
      </c>
      <c r="J78" t="s">
        <v>19</v>
      </c>
      <c r="K78" t="s">
        <v>201</v>
      </c>
      <c r="N78" t="s">
        <v>202</v>
      </c>
      <c r="O78" t="s">
        <v>18</v>
      </c>
      <c r="P78" t="s">
        <v>555</v>
      </c>
      <c r="Q78" t="s">
        <v>190</v>
      </c>
      <c r="R78" t="s">
        <v>190</v>
      </c>
      <c r="S78" t="s">
        <v>6047</v>
      </c>
      <c r="T78" t="s">
        <v>540</v>
      </c>
    </row>
    <row r="79" spans="1:21" x14ac:dyDescent="0.3">
      <c r="A79" t="s">
        <v>822</v>
      </c>
      <c r="B79" t="s">
        <v>819</v>
      </c>
      <c r="C79" t="s">
        <v>820</v>
      </c>
      <c r="E79" t="s">
        <v>38</v>
      </c>
      <c r="F79" t="s">
        <v>481</v>
      </c>
      <c r="G79" t="str">
        <f>_xlfn.TEXTJOIN("|",FALSE,Goldcopy_cons[[#This Row],[Entity]],Goldcopy_cons[[#This Row],[DEV SB ID]])</f>
        <v>Demand Bundle|fdx_l1_nrb_soft_wrk</v>
      </c>
      <c r="H79" t="s">
        <v>821</v>
      </c>
      <c r="I79" t="s">
        <v>33</v>
      </c>
      <c r="J79" t="s">
        <v>623</v>
      </c>
      <c r="K79" t="s">
        <v>203</v>
      </c>
      <c r="L79" t="s">
        <v>48</v>
      </c>
      <c r="M79" t="s">
        <v>48</v>
      </c>
      <c r="N79" t="s">
        <v>204</v>
      </c>
      <c r="O79" t="s">
        <v>18</v>
      </c>
      <c r="P79" t="s">
        <v>555</v>
      </c>
      <c r="Q79" t="s">
        <v>190</v>
      </c>
      <c r="R79" t="s">
        <v>823</v>
      </c>
      <c r="S79" t="s">
        <v>6048</v>
      </c>
      <c r="T79" t="s">
        <v>540</v>
      </c>
    </row>
    <row r="80" spans="1:21" x14ac:dyDescent="0.3">
      <c r="A80" t="s">
        <v>822</v>
      </c>
      <c r="B80" t="s">
        <v>819</v>
      </c>
      <c r="C80" t="s">
        <v>820</v>
      </c>
      <c r="E80" t="s">
        <v>38</v>
      </c>
      <c r="F80" t="s">
        <v>481</v>
      </c>
      <c r="G80" t="str">
        <f>_xlfn.TEXTJOIN("|",FALSE,Goldcopy_cons[[#This Row],[Entity]],Goldcopy_cons[[#This Row],[DEV SB ID]])</f>
        <v>Demand Bundle|fdx_vbnrb_total</v>
      </c>
      <c r="H80" t="s">
        <v>821</v>
      </c>
      <c r="I80" t="s">
        <v>19</v>
      </c>
      <c r="J80" t="s">
        <v>19</v>
      </c>
      <c r="K80" t="s">
        <v>205</v>
      </c>
      <c r="N80" t="s">
        <v>206</v>
      </c>
      <c r="O80" t="s">
        <v>18</v>
      </c>
      <c r="P80" t="s">
        <v>555</v>
      </c>
      <c r="Q80" t="s">
        <v>190</v>
      </c>
      <c r="S80" t="s">
        <v>6049</v>
      </c>
      <c r="T80" t="s">
        <v>540</v>
      </c>
    </row>
    <row r="81" spans="1:20" x14ac:dyDescent="0.3">
      <c r="A81" t="s">
        <v>822</v>
      </c>
      <c r="B81" t="s">
        <v>819</v>
      </c>
      <c r="C81" t="s">
        <v>820</v>
      </c>
      <c r="E81" t="s">
        <v>38</v>
      </c>
      <c r="F81" t="s">
        <v>481</v>
      </c>
      <c r="G81" t="str">
        <f>_xlfn.TEXTJOIN("|",FALSE,Goldcopy_cons[[#This Row],[Entity]],Goldcopy_cons[[#This Row],[DEV SB ID]])</f>
        <v>Demand Bundle|fdx_l1_otb_total_wrk</v>
      </c>
      <c r="H81" t="s">
        <v>821</v>
      </c>
      <c r="I81" t="s">
        <v>33</v>
      </c>
      <c r="J81" t="s">
        <v>623</v>
      </c>
      <c r="K81" t="s">
        <v>207</v>
      </c>
      <c r="L81" t="s">
        <v>52</v>
      </c>
      <c r="M81" t="s">
        <v>52</v>
      </c>
      <c r="N81" t="s">
        <v>209</v>
      </c>
      <c r="O81" t="s">
        <v>18</v>
      </c>
      <c r="P81" t="s">
        <v>555</v>
      </c>
      <c r="Q81" t="s">
        <v>190</v>
      </c>
      <c r="R81" t="s">
        <v>823</v>
      </c>
      <c r="T81" t="s">
        <v>540</v>
      </c>
    </row>
    <row r="82" spans="1:20" x14ac:dyDescent="0.3">
      <c r="A82" t="s">
        <v>822</v>
      </c>
      <c r="B82" t="s">
        <v>819</v>
      </c>
      <c r="C82" t="s">
        <v>820</v>
      </c>
      <c r="E82" t="s">
        <v>38</v>
      </c>
      <c r="F82" t="s">
        <v>481</v>
      </c>
      <c r="G82" t="str">
        <f>_xlfn.TEXTJOIN("|",FALSE,Goldcopy_cons[[#This Row],[Entity]],Goldcopy_cons[[#This Row],[DEV SB ID]])</f>
        <v>Demand Bundle|Wbs143</v>
      </c>
      <c r="H82" t="s">
        <v>821</v>
      </c>
      <c r="I82" t="s">
        <v>33</v>
      </c>
      <c r="J82" t="s">
        <v>33</v>
      </c>
      <c r="K82" t="s">
        <v>484</v>
      </c>
      <c r="L82" t="s">
        <v>75</v>
      </c>
      <c r="M82" t="s">
        <v>75</v>
      </c>
      <c r="N82" t="s">
        <v>276</v>
      </c>
      <c r="O82" t="s">
        <v>57</v>
      </c>
      <c r="P82" t="s">
        <v>539</v>
      </c>
      <c r="Q82" t="s">
        <v>35</v>
      </c>
      <c r="R82" t="s">
        <v>824</v>
      </c>
      <c r="S82" t="s">
        <v>6050</v>
      </c>
      <c r="T82" t="s">
        <v>540</v>
      </c>
    </row>
    <row r="83" spans="1:20" x14ac:dyDescent="0.3">
      <c r="A83" t="s">
        <v>822</v>
      </c>
      <c r="B83" t="s">
        <v>819</v>
      </c>
      <c r="C83" t="s">
        <v>820</v>
      </c>
      <c r="E83" t="s">
        <v>38</v>
      </c>
      <c r="F83" t="s">
        <v>481</v>
      </c>
      <c r="G83" t="str">
        <f>_xlfn.TEXTJOIN("|",FALSE,Goldcopy_cons[[#This Row],[Entity]],Goldcopy_cons[[#This Row],[DEV SB ID]])</f>
        <v>Demand Bundle|Str119</v>
      </c>
      <c r="H83" t="s">
        <v>821</v>
      </c>
      <c r="I83" t="s">
        <v>33</v>
      </c>
      <c r="J83" t="s">
        <v>33</v>
      </c>
      <c r="K83" t="s">
        <v>55</v>
      </c>
      <c r="L83" t="s">
        <v>56</v>
      </c>
      <c r="M83" t="s">
        <v>56</v>
      </c>
      <c r="N83" t="s">
        <v>56</v>
      </c>
      <c r="O83" t="s">
        <v>57</v>
      </c>
      <c r="P83" t="s">
        <v>539</v>
      </c>
      <c r="Q83" t="s">
        <v>32</v>
      </c>
      <c r="R83" t="s">
        <v>558</v>
      </c>
      <c r="S83" t="s">
        <v>6023</v>
      </c>
      <c r="T83" t="s">
        <v>540</v>
      </c>
    </row>
    <row r="84" spans="1:20" x14ac:dyDescent="0.3">
      <c r="A84" t="s">
        <v>822</v>
      </c>
      <c r="B84" t="s">
        <v>819</v>
      </c>
      <c r="C84" t="s">
        <v>820</v>
      </c>
      <c r="E84" t="s">
        <v>38</v>
      </c>
      <c r="F84" t="s">
        <v>481</v>
      </c>
      <c r="G84" t="str">
        <f>_xlfn.TEXTJOIN("|",FALSE,Goldcopy_cons[[#This Row],[Entity]],Goldcopy_cons[[#This Row],[DEV SB ID]])</f>
        <v>Demand Bundle|Str128</v>
      </c>
      <c r="H84" t="s">
        <v>821</v>
      </c>
      <c r="I84" t="s">
        <v>33</v>
      </c>
      <c r="J84" t="s">
        <v>623</v>
      </c>
      <c r="K84" t="s">
        <v>210</v>
      </c>
      <c r="L84" t="s">
        <v>211</v>
      </c>
      <c r="M84" t="s">
        <v>211</v>
      </c>
      <c r="N84" t="s">
        <v>211</v>
      </c>
      <c r="O84" t="s">
        <v>57</v>
      </c>
      <c r="P84" t="s">
        <v>539</v>
      </c>
      <c r="Q84" t="s">
        <v>32</v>
      </c>
      <c r="R84" t="s">
        <v>632</v>
      </c>
      <c r="S84" t="s">
        <v>6051</v>
      </c>
      <c r="T84" t="s">
        <v>540</v>
      </c>
    </row>
    <row r="85" spans="1:20" x14ac:dyDescent="0.3">
      <c r="A85" t="s">
        <v>822</v>
      </c>
      <c r="B85" t="s">
        <v>819</v>
      </c>
      <c r="C85" t="s">
        <v>820</v>
      </c>
      <c r="E85" t="s">
        <v>38</v>
      </c>
      <c r="F85" t="s">
        <v>481</v>
      </c>
      <c r="G85" t="str">
        <f>_xlfn.TEXTJOIN("|",FALSE,Goldcopy_cons[[#This Row],[Entity]],Goldcopy_cons[[#This Row],[DEV SB ID]])</f>
        <v>Demand Bundle|Wbs75</v>
      </c>
      <c r="H85" t="s">
        <v>821</v>
      </c>
      <c r="I85" t="s">
        <v>19</v>
      </c>
      <c r="J85" t="s">
        <v>19</v>
      </c>
      <c r="K85" t="s">
        <v>485</v>
      </c>
      <c r="N85" t="s">
        <v>214</v>
      </c>
      <c r="O85" t="s">
        <v>57</v>
      </c>
      <c r="P85" t="s">
        <v>539</v>
      </c>
      <c r="Q85" t="s">
        <v>32</v>
      </c>
      <c r="R85" t="s">
        <v>559</v>
      </c>
      <c r="T85" t="s">
        <v>540</v>
      </c>
    </row>
    <row r="86" spans="1:20" x14ac:dyDescent="0.3">
      <c r="A86" t="s">
        <v>822</v>
      </c>
      <c r="B86" t="s">
        <v>819</v>
      </c>
      <c r="C86" t="s">
        <v>820</v>
      </c>
      <c r="E86" t="s">
        <v>38</v>
      </c>
      <c r="F86" t="s">
        <v>481</v>
      </c>
      <c r="G86" t="str">
        <f>_xlfn.TEXTJOIN("|",FALSE,Goldcopy_cons[[#This Row],[Entity]],Goldcopy_cons[[#This Row],[DEV SB ID]])</f>
        <v>Demand Bundle|Wbs57</v>
      </c>
      <c r="H86" t="s">
        <v>821</v>
      </c>
      <c r="I86" t="s">
        <v>19</v>
      </c>
      <c r="J86" t="s">
        <v>19</v>
      </c>
      <c r="K86" t="s">
        <v>61</v>
      </c>
      <c r="N86" t="s">
        <v>63</v>
      </c>
      <c r="O86" t="s">
        <v>57</v>
      </c>
      <c r="P86" t="s">
        <v>539</v>
      </c>
      <c r="Q86" t="s">
        <v>32</v>
      </c>
      <c r="R86" t="s">
        <v>561</v>
      </c>
      <c r="T86" t="s">
        <v>540</v>
      </c>
    </row>
    <row r="87" spans="1:20" x14ac:dyDescent="0.3">
      <c r="A87" t="s">
        <v>822</v>
      </c>
      <c r="B87" t="s">
        <v>819</v>
      </c>
      <c r="C87" t="s">
        <v>820</v>
      </c>
      <c r="E87" t="s">
        <v>38</v>
      </c>
      <c r="F87" t="s">
        <v>481</v>
      </c>
      <c r="G87" t="str">
        <f>_xlfn.TEXTJOIN("|",FALSE,Goldcopy_cons[[#This Row],[Entity]],Goldcopy_cons[[#This Row],[DEV SB ID]])</f>
        <v>Demand Bundle|Wbs76</v>
      </c>
      <c r="H87" t="s">
        <v>821</v>
      </c>
      <c r="I87" t="s">
        <v>19</v>
      </c>
      <c r="J87" t="s">
        <v>19</v>
      </c>
      <c r="K87" t="s">
        <v>486</v>
      </c>
      <c r="N87" t="s">
        <v>217</v>
      </c>
      <c r="O87" t="s">
        <v>57</v>
      </c>
      <c r="P87" t="s">
        <v>539</v>
      </c>
      <c r="Q87" t="s">
        <v>32</v>
      </c>
      <c r="R87" t="s">
        <v>559</v>
      </c>
      <c r="T87" t="s">
        <v>540</v>
      </c>
    </row>
    <row r="88" spans="1:20" x14ac:dyDescent="0.3">
      <c r="A88" t="s">
        <v>822</v>
      </c>
      <c r="B88" t="s">
        <v>819</v>
      </c>
      <c r="C88" t="s">
        <v>820</v>
      </c>
      <c r="E88" t="s">
        <v>38</v>
      </c>
      <c r="F88" t="s">
        <v>481</v>
      </c>
      <c r="G88" t="str">
        <f>_xlfn.TEXTJOIN("|",FALSE,Goldcopy_cons[[#This Row],[Entity]],Goldcopy_cons[[#This Row],[DEV SB ID]])</f>
        <v>Demand Bundle|Wbs59</v>
      </c>
      <c r="H88" t="s">
        <v>821</v>
      </c>
      <c r="I88" t="s">
        <v>19</v>
      </c>
      <c r="J88" t="s">
        <v>19</v>
      </c>
      <c r="K88" t="s">
        <v>67</v>
      </c>
      <c r="N88" t="s">
        <v>69</v>
      </c>
      <c r="O88" t="s">
        <v>57</v>
      </c>
      <c r="P88" t="s">
        <v>539</v>
      </c>
      <c r="Q88" t="s">
        <v>32</v>
      </c>
      <c r="R88" t="s">
        <v>561</v>
      </c>
      <c r="T88" t="s">
        <v>540</v>
      </c>
    </row>
    <row r="89" spans="1:20" x14ac:dyDescent="0.3">
      <c r="A89" t="s">
        <v>675</v>
      </c>
      <c r="B89" t="s">
        <v>270</v>
      </c>
      <c r="C89" t="s">
        <v>270</v>
      </c>
      <c r="E89" t="s">
        <v>36</v>
      </c>
      <c r="F89" t="s">
        <v>481</v>
      </c>
      <c r="G89" t="str">
        <f>_xlfn.TEXTJOIN("|",FALSE,Goldcopy_cons[[#This Row],[Entity]],Goldcopy_cons[[#This Row],[DEV SB ID]])</f>
        <v>Demand Bundle|Wbs131</v>
      </c>
      <c r="H89" t="s">
        <v>826</v>
      </c>
      <c r="I89" t="s">
        <v>19</v>
      </c>
      <c r="J89" t="s">
        <v>19</v>
      </c>
      <c r="K89" t="s">
        <v>270</v>
      </c>
      <c r="N89" t="s">
        <v>272</v>
      </c>
      <c r="O89" t="s">
        <v>57</v>
      </c>
      <c r="P89" t="s">
        <v>539</v>
      </c>
      <c r="Q89" t="s">
        <v>32</v>
      </c>
      <c r="R89" t="s">
        <v>6052</v>
      </c>
      <c r="T89" t="s">
        <v>540</v>
      </c>
    </row>
    <row r="90" spans="1:20" x14ac:dyDescent="0.3">
      <c r="A90" t="s">
        <v>675</v>
      </c>
      <c r="B90" t="s">
        <v>487</v>
      </c>
      <c r="C90" t="s">
        <v>487</v>
      </c>
      <c r="E90" t="s">
        <v>148</v>
      </c>
      <c r="F90" t="s">
        <v>481</v>
      </c>
      <c r="G90" t="str">
        <f>_xlfn.TEXTJOIN("|",FALSE,Goldcopy_cons[[#This Row],[Entity]],Goldcopy_cons[[#This Row],[DEV SB ID]])</f>
        <v>Demand Bundle|Wbs138</v>
      </c>
      <c r="H90" t="s">
        <v>826</v>
      </c>
      <c r="I90" t="s">
        <v>19</v>
      </c>
      <c r="J90" t="s">
        <v>19</v>
      </c>
      <c r="K90" t="s">
        <v>487</v>
      </c>
      <c r="N90" t="s">
        <v>140</v>
      </c>
      <c r="O90" t="s">
        <v>57</v>
      </c>
      <c r="P90" t="s">
        <v>539</v>
      </c>
      <c r="Q90" t="s">
        <v>32</v>
      </c>
      <c r="R90" t="s">
        <v>825</v>
      </c>
      <c r="T90" t="s">
        <v>540</v>
      </c>
    </row>
    <row r="91" spans="1:20" x14ac:dyDescent="0.3">
      <c r="B91" t="s">
        <v>487</v>
      </c>
      <c r="C91" t="s">
        <v>487</v>
      </c>
      <c r="E91" t="s">
        <v>148</v>
      </c>
      <c r="F91" t="s">
        <v>481</v>
      </c>
      <c r="G91" t="str">
        <f>_xlfn.TEXTJOIN("|",FALSE,Goldcopy_cons[[#This Row],[Entity]],Goldcopy_cons[[#This Row],[DEV SB ID]])</f>
        <v>Demand Bundle|fdx_sl3_epg_apv_note</v>
      </c>
      <c r="I91" t="s">
        <v>19</v>
      </c>
      <c r="J91" t="s">
        <v>19</v>
      </c>
      <c r="K91" t="s">
        <v>488</v>
      </c>
      <c r="N91" t="s">
        <v>342</v>
      </c>
      <c r="O91" t="s">
        <v>18</v>
      </c>
      <c r="P91" t="s">
        <v>539</v>
      </c>
      <c r="Q91" t="s">
        <v>190</v>
      </c>
      <c r="R91" t="s">
        <v>190</v>
      </c>
      <c r="T91" t="s">
        <v>540</v>
      </c>
    </row>
    <row r="92" spans="1:20" x14ac:dyDescent="0.3">
      <c r="A92" t="s">
        <v>675</v>
      </c>
      <c r="B92" t="s">
        <v>665</v>
      </c>
      <c r="C92" t="s">
        <v>665</v>
      </c>
      <c r="E92" t="s">
        <v>38</v>
      </c>
      <c r="F92" t="s">
        <v>481</v>
      </c>
      <c r="G92" t="str">
        <f>_xlfn.TEXTJOIN("|",FALSE,Goldcopy_cons[[#This Row],[Entity]],Goldcopy_cons[[#This Row],[DEV SB ID]])</f>
        <v>Demand Bundle|Wbs133</v>
      </c>
      <c r="H92" t="s">
        <v>826</v>
      </c>
      <c r="I92" t="s">
        <v>19</v>
      </c>
      <c r="J92" t="s">
        <v>19</v>
      </c>
      <c r="K92" t="s">
        <v>280</v>
      </c>
      <c r="N92" t="s">
        <v>282</v>
      </c>
      <c r="O92" t="s">
        <v>57</v>
      </c>
      <c r="P92" t="s">
        <v>539</v>
      </c>
      <c r="Q92" t="s">
        <v>32</v>
      </c>
      <c r="R92" t="s">
        <v>825</v>
      </c>
      <c r="T92" t="s">
        <v>540</v>
      </c>
    </row>
    <row r="93" spans="1:20" x14ac:dyDescent="0.3">
      <c r="B93" t="s">
        <v>280</v>
      </c>
      <c r="C93" t="s">
        <v>665</v>
      </c>
      <c r="E93" t="s">
        <v>38</v>
      </c>
      <c r="F93" t="s">
        <v>481</v>
      </c>
      <c r="G93" t="str">
        <f>_xlfn.TEXTJOIN("|",FALSE,Goldcopy_cons[[#This Row],[Entity]],Goldcopy_cons[[#This Row],[DEV SB ID]])</f>
        <v>Demand Bundle|fdx_sl3_fin_apv_note</v>
      </c>
      <c r="I93" t="s">
        <v>19</v>
      </c>
      <c r="J93" t="s">
        <v>19</v>
      </c>
      <c r="K93" t="s">
        <v>283</v>
      </c>
      <c r="N93" t="s">
        <v>284</v>
      </c>
      <c r="O93" t="s">
        <v>18</v>
      </c>
      <c r="P93" t="s">
        <v>539</v>
      </c>
      <c r="Q93" t="s">
        <v>190</v>
      </c>
      <c r="R93" t="s">
        <v>190</v>
      </c>
      <c r="T93" t="s">
        <v>540</v>
      </c>
    </row>
    <row r="94" spans="1:20" x14ac:dyDescent="0.3">
      <c r="A94" t="s">
        <v>797</v>
      </c>
      <c r="B94" t="s">
        <v>6053</v>
      </c>
      <c r="C94" t="s">
        <v>6054</v>
      </c>
      <c r="E94" t="s">
        <v>470</v>
      </c>
      <c r="F94" t="s">
        <v>481</v>
      </c>
      <c r="G94" t="str">
        <f>_xlfn.TEXTJOIN("|",FALSE,Goldcopy_cons[[#This Row],[Entity]],Goldcopy_cons[[#This Row],[DEV SB ID]])</f>
        <v>Demand Bundle|</v>
      </c>
      <c r="H94" t="s">
        <v>6055</v>
      </c>
      <c r="I94" t="s">
        <v>33</v>
      </c>
      <c r="J94" t="s">
        <v>33</v>
      </c>
      <c r="K94" t="s">
        <v>1351</v>
      </c>
      <c r="L94" t="s">
        <v>1352</v>
      </c>
      <c r="M94" t="s">
        <v>1352</v>
      </c>
      <c r="O94" t="s">
        <v>18</v>
      </c>
      <c r="P94" t="s">
        <v>539</v>
      </c>
      <c r="S94" t="s">
        <v>6056</v>
      </c>
    </row>
    <row r="95" spans="1:20" x14ac:dyDescent="0.3">
      <c r="A95" t="s">
        <v>797</v>
      </c>
      <c r="B95" t="s">
        <v>6053</v>
      </c>
      <c r="C95" t="s">
        <v>6057</v>
      </c>
      <c r="E95" t="s">
        <v>470</v>
      </c>
      <c r="F95" t="s">
        <v>481</v>
      </c>
      <c r="G95" t="str">
        <f>_xlfn.TEXTJOIN("|",FALSE,Goldcopy_cons[[#This Row],[Entity]],Goldcopy_cons[[#This Row],[DEV SB ID]])</f>
        <v>Demand Bundle|</v>
      </c>
      <c r="H95" t="s">
        <v>6055</v>
      </c>
      <c r="I95" t="s">
        <v>33</v>
      </c>
      <c r="J95" t="s">
        <v>33</v>
      </c>
      <c r="K95" t="s">
        <v>1345</v>
      </c>
      <c r="L95" t="s">
        <v>1346</v>
      </c>
      <c r="M95" t="s">
        <v>1346</v>
      </c>
      <c r="O95" t="s">
        <v>18</v>
      </c>
      <c r="P95" t="s">
        <v>539</v>
      </c>
      <c r="S95" t="s">
        <v>6058</v>
      </c>
    </row>
    <row r="96" spans="1:20" x14ac:dyDescent="0.3">
      <c r="A96" t="s">
        <v>797</v>
      </c>
      <c r="B96" t="s">
        <v>6053</v>
      </c>
      <c r="C96" t="s">
        <v>6057</v>
      </c>
      <c r="E96" t="s">
        <v>470</v>
      </c>
      <c r="F96" t="s">
        <v>481</v>
      </c>
      <c r="G96" t="str">
        <f>_xlfn.TEXTJOIN("|",FALSE,Goldcopy_cons[[#This Row],[Entity]],Goldcopy_cons[[#This Row],[DEV SB ID]])</f>
        <v>Demand Bundle|</v>
      </c>
      <c r="H96" t="s">
        <v>6055</v>
      </c>
      <c r="I96" t="s">
        <v>33</v>
      </c>
      <c r="J96" t="s">
        <v>33</v>
      </c>
      <c r="K96" t="s">
        <v>1342</v>
      </c>
      <c r="L96" t="s">
        <v>6059</v>
      </c>
      <c r="M96" t="s">
        <v>6059</v>
      </c>
      <c r="O96" t="s">
        <v>18</v>
      </c>
      <c r="P96" t="s">
        <v>539</v>
      </c>
      <c r="S96" t="s">
        <v>6060</v>
      </c>
    </row>
    <row r="97" spans="1:23" x14ac:dyDescent="0.3">
      <c r="A97" t="s">
        <v>797</v>
      </c>
      <c r="B97" t="s">
        <v>6053</v>
      </c>
      <c r="C97" t="s">
        <v>6057</v>
      </c>
      <c r="E97" t="s">
        <v>470</v>
      </c>
      <c r="F97" t="s">
        <v>481</v>
      </c>
      <c r="G97" t="str">
        <f>_xlfn.TEXTJOIN("|",FALSE,Goldcopy_cons[[#This Row],[Entity]],Goldcopy_cons[[#This Row],[DEV SB ID]])</f>
        <v>Demand Bundle|</v>
      </c>
      <c r="H97" t="s">
        <v>6055</v>
      </c>
      <c r="I97" t="s">
        <v>33</v>
      </c>
      <c r="J97" t="s">
        <v>33</v>
      </c>
      <c r="K97" t="s">
        <v>1283</v>
      </c>
      <c r="L97" t="s">
        <v>1284</v>
      </c>
      <c r="M97" t="s">
        <v>1284</v>
      </c>
      <c r="O97" t="s">
        <v>18</v>
      </c>
      <c r="P97" t="s">
        <v>539</v>
      </c>
      <c r="S97" t="s">
        <v>6061</v>
      </c>
    </row>
    <row r="98" spans="1:23" x14ac:dyDescent="0.3">
      <c r="A98" t="s">
        <v>797</v>
      </c>
      <c r="B98" t="s">
        <v>6053</v>
      </c>
      <c r="C98" t="s">
        <v>6057</v>
      </c>
      <c r="E98" t="s">
        <v>470</v>
      </c>
      <c r="F98" t="s">
        <v>481</v>
      </c>
      <c r="G98" t="str">
        <f>_xlfn.TEXTJOIN("|",FALSE,Goldcopy_cons[[#This Row],[Entity]],Goldcopy_cons[[#This Row],[DEV SB ID]])</f>
        <v>Demand Bundle|</v>
      </c>
      <c r="H98" t="s">
        <v>6055</v>
      </c>
      <c r="I98" t="s">
        <v>33</v>
      </c>
      <c r="J98" t="s">
        <v>33</v>
      </c>
      <c r="K98" t="s">
        <v>1279</v>
      </c>
      <c r="L98" t="s">
        <v>1280</v>
      </c>
      <c r="M98" t="s">
        <v>1280</v>
      </c>
      <c r="O98" t="s">
        <v>18</v>
      </c>
      <c r="P98" t="s">
        <v>539</v>
      </c>
      <c r="S98" t="s">
        <v>6062</v>
      </c>
    </row>
    <row r="99" spans="1:23" x14ac:dyDescent="0.3">
      <c r="A99" t="s">
        <v>831</v>
      </c>
      <c r="B99" t="s">
        <v>827</v>
      </c>
      <c r="C99" t="s">
        <v>828</v>
      </c>
      <c r="D99" t="s">
        <v>829</v>
      </c>
      <c r="E99" t="s">
        <v>470</v>
      </c>
      <c r="F99" t="s">
        <v>490</v>
      </c>
      <c r="G99" t="str">
        <f>_xlfn.TEXTJOIN("|",FALSE,Goldcopy_cons[[#This Row],[Entity]],Goldcopy_cons[[#This Row],[DEV SB ID]])</f>
        <v>Epic|WR43</v>
      </c>
      <c r="H99" t="s">
        <v>830</v>
      </c>
      <c r="I99" t="s">
        <v>33</v>
      </c>
      <c r="J99" t="s">
        <v>33</v>
      </c>
      <c r="K99" t="s">
        <v>294</v>
      </c>
      <c r="L99" t="s">
        <v>295</v>
      </c>
      <c r="M99" t="s">
        <v>295</v>
      </c>
      <c r="N99" t="s">
        <v>295</v>
      </c>
      <c r="O99" t="s">
        <v>363</v>
      </c>
      <c r="P99" t="s">
        <v>539</v>
      </c>
      <c r="Q99" t="s">
        <v>32</v>
      </c>
      <c r="R99" t="s">
        <v>559</v>
      </c>
      <c r="S99" t="s">
        <v>6063</v>
      </c>
      <c r="T99" t="s">
        <v>540</v>
      </c>
      <c r="V99" t="s">
        <v>190</v>
      </c>
      <c r="W99" t="s">
        <v>190</v>
      </c>
    </row>
    <row r="100" spans="1:23" x14ac:dyDescent="0.3">
      <c r="A100" t="s">
        <v>831</v>
      </c>
      <c r="B100" t="s">
        <v>827</v>
      </c>
      <c r="C100" t="s">
        <v>828</v>
      </c>
      <c r="D100" t="s">
        <v>829</v>
      </c>
      <c r="E100" t="s">
        <v>470</v>
      </c>
      <c r="F100" t="s">
        <v>490</v>
      </c>
      <c r="G100" t="str">
        <f>_xlfn.TEXTJOIN("|",FALSE,Goldcopy_cons[[#This Row],[Entity]],Goldcopy_cons[[#This Row],[DEV SB ID]])</f>
        <v>Epic|Str109</v>
      </c>
      <c r="H100" t="s">
        <v>832</v>
      </c>
      <c r="I100" t="s">
        <v>33</v>
      </c>
      <c r="J100" t="s">
        <v>33</v>
      </c>
      <c r="K100" t="s">
        <v>173</v>
      </c>
      <c r="L100" t="s">
        <v>174</v>
      </c>
      <c r="M100" t="s">
        <v>174</v>
      </c>
      <c r="N100" t="s">
        <v>174</v>
      </c>
      <c r="O100" t="s">
        <v>363</v>
      </c>
      <c r="P100" t="s">
        <v>539</v>
      </c>
      <c r="Q100" t="s">
        <v>32</v>
      </c>
      <c r="R100" t="s">
        <v>559</v>
      </c>
      <c r="S100" t="s">
        <v>6064</v>
      </c>
      <c r="T100" t="s">
        <v>540</v>
      </c>
      <c r="V100" t="s">
        <v>190</v>
      </c>
      <c r="W100" t="s">
        <v>190</v>
      </c>
    </row>
    <row r="101" spans="1:23" x14ac:dyDescent="0.3">
      <c r="B101" t="s">
        <v>827</v>
      </c>
      <c r="C101" t="s">
        <v>828</v>
      </c>
      <c r="D101" t="s">
        <v>829</v>
      </c>
      <c r="E101" t="s">
        <v>470</v>
      </c>
      <c r="F101" t="s">
        <v>490</v>
      </c>
      <c r="G101" t="str">
        <f>_xlfn.TEXTJOIN("|",FALSE,Goldcopy_cons[[#This Row],[Entity]],Goldcopy_cons[[#This Row],[DEV SB ID]])</f>
        <v>Epic|Str111</v>
      </c>
      <c r="I101" t="s">
        <v>33</v>
      </c>
      <c r="J101" t="s">
        <v>33</v>
      </c>
      <c r="K101" t="s">
        <v>175</v>
      </c>
      <c r="L101" t="s">
        <v>176</v>
      </c>
      <c r="M101" t="s">
        <v>176</v>
      </c>
      <c r="N101" t="s">
        <v>176</v>
      </c>
      <c r="O101" t="s">
        <v>363</v>
      </c>
      <c r="P101" t="s">
        <v>539</v>
      </c>
      <c r="Q101" t="s">
        <v>32</v>
      </c>
      <c r="R101" t="s">
        <v>559</v>
      </c>
      <c r="T101" t="s">
        <v>540</v>
      </c>
    </row>
    <row r="102" spans="1:23" x14ac:dyDescent="0.3">
      <c r="B102" t="s">
        <v>827</v>
      </c>
      <c r="C102" t="s">
        <v>828</v>
      </c>
      <c r="D102" t="s">
        <v>829</v>
      </c>
      <c r="E102" t="s">
        <v>470</v>
      </c>
      <c r="F102" t="s">
        <v>490</v>
      </c>
      <c r="G102" t="str">
        <f>_xlfn.TEXTJOIN("|",FALSE,Goldcopy_cons[[#This Row],[Entity]],Goldcopy_cons[[#This Row],[DEV SB ID]])</f>
        <v>Epic|Str110</v>
      </c>
      <c r="I102" t="s">
        <v>33</v>
      </c>
      <c r="J102" t="s">
        <v>33</v>
      </c>
      <c r="K102" t="s">
        <v>177</v>
      </c>
      <c r="L102" t="s">
        <v>178</v>
      </c>
      <c r="M102" t="s">
        <v>178</v>
      </c>
      <c r="N102" t="s">
        <v>178</v>
      </c>
      <c r="O102" t="s">
        <v>363</v>
      </c>
      <c r="P102" t="s">
        <v>539</v>
      </c>
      <c r="Q102" t="s">
        <v>32</v>
      </c>
      <c r="R102" t="s">
        <v>559</v>
      </c>
      <c r="T102" t="s">
        <v>540</v>
      </c>
    </row>
    <row r="103" spans="1:23" x14ac:dyDescent="0.3">
      <c r="B103" t="s">
        <v>827</v>
      </c>
      <c r="C103" t="s">
        <v>828</v>
      </c>
      <c r="D103" t="s">
        <v>829</v>
      </c>
      <c r="E103" t="s">
        <v>470</v>
      </c>
      <c r="F103" t="s">
        <v>490</v>
      </c>
      <c r="G103" t="str">
        <f>_xlfn.TEXTJOIN("|",FALSE,Goldcopy_cons[[#This Row],[Entity]],Goldcopy_cons[[#This Row],[DEV SB ID]])</f>
        <v>Epic|Str113</v>
      </c>
      <c r="I103" t="s">
        <v>33</v>
      </c>
      <c r="J103" t="s">
        <v>33</v>
      </c>
      <c r="K103" t="s">
        <v>179</v>
      </c>
      <c r="L103" t="s">
        <v>180</v>
      </c>
      <c r="M103" t="s">
        <v>180</v>
      </c>
      <c r="N103" t="s">
        <v>180</v>
      </c>
      <c r="O103" t="s">
        <v>363</v>
      </c>
      <c r="P103" t="s">
        <v>539</v>
      </c>
      <c r="Q103" t="s">
        <v>32</v>
      </c>
      <c r="R103" t="s">
        <v>559</v>
      </c>
      <c r="T103" t="s">
        <v>540</v>
      </c>
    </row>
    <row r="104" spans="1:23" x14ac:dyDescent="0.3">
      <c r="A104" t="s">
        <v>831</v>
      </c>
      <c r="B104" t="s">
        <v>827</v>
      </c>
      <c r="C104" t="s">
        <v>828</v>
      </c>
      <c r="D104" t="s">
        <v>829</v>
      </c>
      <c r="E104" t="s">
        <v>470</v>
      </c>
      <c r="F104" t="s">
        <v>490</v>
      </c>
      <c r="G104" t="str">
        <f>_xlfn.TEXTJOIN("|",FALSE,Goldcopy_cons[[#This Row],[Entity]],Goldcopy_cons[[#This Row],[DEV SB ID]])</f>
        <v>Epic|AC_START</v>
      </c>
      <c r="H104" t="s">
        <v>833</v>
      </c>
      <c r="I104" t="s">
        <v>33</v>
      </c>
      <c r="J104" t="s">
        <v>33</v>
      </c>
      <c r="K104" t="s">
        <v>185</v>
      </c>
      <c r="L104" t="s">
        <v>186</v>
      </c>
      <c r="M104" t="s">
        <v>186</v>
      </c>
      <c r="N104" t="s">
        <v>186</v>
      </c>
      <c r="O104" t="s">
        <v>133</v>
      </c>
      <c r="P104" t="s">
        <v>676</v>
      </c>
      <c r="S104" t="s">
        <v>6065</v>
      </c>
      <c r="T104" t="s">
        <v>540</v>
      </c>
    </row>
    <row r="105" spans="1:23" x14ac:dyDescent="0.3">
      <c r="A105" t="s">
        <v>831</v>
      </c>
      <c r="B105" t="s">
        <v>827</v>
      </c>
      <c r="C105" t="s">
        <v>828</v>
      </c>
      <c r="D105" t="s">
        <v>829</v>
      </c>
      <c r="E105" t="s">
        <v>470</v>
      </c>
      <c r="F105" t="s">
        <v>490</v>
      </c>
      <c r="G105" t="str">
        <f>_xlfn.TEXTJOIN("|",FALSE,Goldcopy_cons[[#This Row],[Entity]],Goldcopy_cons[[#This Row],[DEV SB ID]])</f>
        <v>Epic|AC_FINISH</v>
      </c>
      <c r="H105" t="s">
        <v>833</v>
      </c>
      <c r="I105" t="s">
        <v>33</v>
      </c>
      <c r="J105" t="s">
        <v>33</v>
      </c>
      <c r="K105" t="s">
        <v>187</v>
      </c>
      <c r="L105" t="s">
        <v>188</v>
      </c>
      <c r="M105" t="s">
        <v>188</v>
      </c>
      <c r="N105" t="s">
        <v>188</v>
      </c>
      <c r="O105" t="s">
        <v>133</v>
      </c>
      <c r="P105" t="s">
        <v>676</v>
      </c>
      <c r="S105" t="s">
        <v>6066</v>
      </c>
      <c r="T105" t="s">
        <v>540</v>
      </c>
    </row>
    <row r="106" spans="1:23" x14ac:dyDescent="0.3">
      <c r="A106" t="s">
        <v>831</v>
      </c>
      <c r="B106" t="s">
        <v>827</v>
      </c>
      <c r="C106" t="s">
        <v>828</v>
      </c>
      <c r="D106" t="s">
        <v>829</v>
      </c>
      <c r="E106" t="s">
        <v>470</v>
      </c>
      <c r="F106" t="s">
        <v>481</v>
      </c>
      <c r="G106" t="str">
        <f>_xlfn.TEXTJOIN("|",FALSE,Goldcopy_cons[[#This Row],[Entity]],Goldcopy_cons[[#This Row],[DEV SB ID]])</f>
        <v>Demand Bundle|Wbs28</v>
      </c>
      <c r="H106" t="s">
        <v>834</v>
      </c>
      <c r="I106" t="s">
        <v>33</v>
      </c>
      <c r="J106" t="s">
        <v>33</v>
      </c>
      <c r="K106" t="s">
        <v>158</v>
      </c>
      <c r="L106" t="s">
        <v>159</v>
      </c>
      <c r="M106" t="s">
        <v>159</v>
      </c>
      <c r="N106" t="s">
        <v>159</v>
      </c>
      <c r="O106" t="s">
        <v>363</v>
      </c>
      <c r="P106" t="s">
        <v>539</v>
      </c>
      <c r="Q106" t="s">
        <v>32</v>
      </c>
      <c r="R106" t="s">
        <v>610</v>
      </c>
      <c r="T106" t="s">
        <v>497</v>
      </c>
    </row>
    <row r="107" spans="1:23" x14ac:dyDescent="0.3">
      <c r="A107" t="s">
        <v>831</v>
      </c>
      <c r="B107" t="s">
        <v>827</v>
      </c>
      <c r="C107" t="s">
        <v>828</v>
      </c>
      <c r="D107" t="s">
        <v>829</v>
      </c>
      <c r="E107" t="s">
        <v>470</v>
      </c>
      <c r="F107" t="s">
        <v>481</v>
      </c>
      <c r="G107" t="str">
        <f>_xlfn.TEXTJOIN("|",FALSE,Goldcopy_cons[[#This Row],[Entity]],Goldcopy_cons[[#This Row],[DEV SB ID]])</f>
        <v>Demand Bundle|Wbs22</v>
      </c>
      <c r="H107" t="s">
        <v>836</v>
      </c>
      <c r="I107" t="s">
        <v>33</v>
      </c>
      <c r="J107" t="s">
        <v>33</v>
      </c>
      <c r="K107" t="s">
        <v>134</v>
      </c>
      <c r="L107" t="s">
        <v>135</v>
      </c>
      <c r="M107" t="s">
        <v>135</v>
      </c>
      <c r="N107" t="s">
        <v>135</v>
      </c>
      <c r="O107" t="s">
        <v>363</v>
      </c>
      <c r="P107" t="s">
        <v>539</v>
      </c>
      <c r="Q107" t="s">
        <v>32</v>
      </c>
      <c r="R107" t="s">
        <v>835</v>
      </c>
      <c r="S107" t="s">
        <v>6067</v>
      </c>
      <c r="T107" t="s">
        <v>540</v>
      </c>
    </row>
    <row r="108" spans="1:23" x14ac:dyDescent="0.3">
      <c r="A108" t="s">
        <v>831</v>
      </c>
      <c r="B108" t="s">
        <v>827</v>
      </c>
      <c r="C108" t="s">
        <v>828</v>
      </c>
      <c r="D108" t="s">
        <v>829</v>
      </c>
      <c r="E108" t="s">
        <v>470</v>
      </c>
      <c r="F108" t="s">
        <v>481</v>
      </c>
      <c r="G108" t="str">
        <f>_xlfn.TEXTJOIN("|",FALSE,Goldcopy_cons[[#This Row],[Entity]],Goldcopy_cons[[#This Row],[DEV SB ID]])</f>
        <v>Demand Bundle|WR53</v>
      </c>
      <c r="H108" t="s">
        <v>838</v>
      </c>
      <c r="I108" t="s">
        <v>33</v>
      </c>
      <c r="J108" t="s">
        <v>33</v>
      </c>
      <c r="K108" t="s">
        <v>491</v>
      </c>
      <c r="L108" t="s">
        <v>492</v>
      </c>
      <c r="M108" t="s">
        <v>492</v>
      </c>
      <c r="N108" t="s">
        <v>492</v>
      </c>
      <c r="O108" t="s">
        <v>363</v>
      </c>
      <c r="P108" t="s">
        <v>539</v>
      </c>
      <c r="Q108" t="s">
        <v>32</v>
      </c>
      <c r="R108" t="s">
        <v>837</v>
      </c>
      <c r="S108" t="s">
        <v>6067</v>
      </c>
      <c r="T108" t="s">
        <v>540</v>
      </c>
    </row>
    <row r="109" spans="1:23" x14ac:dyDescent="0.3">
      <c r="A109" t="s">
        <v>831</v>
      </c>
      <c r="B109" t="s">
        <v>827</v>
      </c>
      <c r="C109" t="s">
        <v>828</v>
      </c>
      <c r="D109" t="s">
        <v>829</v>
      </c>
      <c r="E109" t="s">
        <v>470</v>
      </c>
      <c r="F109" t="s">
        <v>481</v>
      </c>
      <c r="G109" t="str">
        <f>_xlfn.TEXTJOIN("|",FALSE,Goldcopy_cons[[#This Row],[Entity]],Goldcopy_cons[[#This Row],[DEV SB ID]])</f>
        <v>Demand Bundle|Wbs20</v>
      </c>
      <c r="I109" t="s">
        <v>33</v>
      </c>
      <c r="J109" t="s">
        <v>33</v>
      </c>
      <c r="K109" t="s">
        <v>156</v>
      </c>
      <c r="L109" t="s">
        <v>157</v>
      </c>
      <c r="M109" t="s">
        <v>157</v>
      </c>
      <c r="N109" t="s">
        <v>157</v>
      </c>
      <c r="O109" t="s">
        <v>363</v>
      </c>
      <c r="P109" t="s">
        <v>539</v>
      </c>
      <c r="Q109" t="s">
        <v>32</v>
      </c>
      <c r="R109" t="s">
        <v>608</v>
      </c>
      <c r="S109" t="s">
        <v>6068</v>
      </c>
      <c r="T109" t="s">
        <v>540</v>
      </c>
    </row>
    <row r="110" spans="1:23" x14ac:dyDescent="0.3">
      <c r="A110" t="s">
        <v>831</v>
      </c>
      <c r="B110" t="s">
        <v>827</v>
      </c>
      <c r="C110" t="s">
        <v>828</v>
      </c>
      <c r="D110" t="s">
        <v>829</v>
      </c>
      <c r="E110" t="s">
        <v>470</v>
      </c>
      <c r="F110" t="s">
        <v>490</v>
      </c>
      <c r="G110" t="str">
        <f>_xlfn.TEXTJOIN("|",FALSE,Goldcopy_cons[[#This Row],[Entity]],Goldcopy_cons[[#This Row],[DEV SB ID]])</f>
        <v>Epic|Wbs20</v>
      </c>
      <c r="H110" t="s">
        <v>839</v>
      </c>
      <c r="I110" t="s">
        <v>19</v>
      </c>
      <c r="J110" t="s">
        <v>19</v>
      </c>
      <c r="K110" t="s">
        <v>296</v>
      </c>
      <c r="L110" t="s">
        <v>157</v>
      </c>
      <c r="M110" t="s">
        <v>157</v>
      </c>
      <c r="N110" t="s">
        <v>157</v>
      </c>
      <c r="O110" t="s">
        <v>363</v>
      </c>
      <c r="P110" t="s">
        <v>539</v>
      </c>
      <c r="Q110" t="s">
        <v>32</v>
      </c>
      <c r="R110" t="s">
        <v>608</v>
      </c>
      <c r="S110" t="s">
        <v>6068</v>
      </c>
      <c r="T110" t="s">
        <v>540</v>
      </c>
    </row>
    <row r="111" spans="1:23" x14ac:dyDescent="0.3">
      <c r="A111" t="s">
        <v>831</v>
      </c>
      <c r="B111" t="s">
        <v>827</v>
      </c>
      <c r="C111" t="s">
        <v>828</v>
      </c>
      <c r="D111" t="s">
        <v>829</v>
      </c>
      <c r="E111" t="s">
        <v>470</v>
      </c>
      <c r="F111" t="s">
        <v>481</v>
      </c>
      <c r="G111" t="str">
        <f>_xlfn.TEXTJOIN("|",FALSE,Goldcopy_cons[[#This Row],[Entity]],Goldcopy_cons[[#This Row],[DEV SB ID]])</f>
        <v>Demand Bundle|PE01</v>
      </c>
      <c r="I111" t="s">
        <v>33</v>
      </c>
      <c r="J111" t="s">
        <v>33</v>
      </c>
      <c r="K111" t="s">
        <v>154</v>
      </c>
      <c r="L111" t="s">
        <v>155</v>
      </c>
      <c r="M111" t="s">
        <v>155</v>
      </c>
      <c r="N111" t="s">
        <v>155</v>
      </c>
      <c r="O111" t="s">
        <v>18</v>
      </c>
      <c r="P111" t="s">
        <v>539</v>
      </c>
      <c r="S111" t="s">
        <v>680</v>
      </c>
      <c r="T111" t="s">
        <v>540</v>
      </c>
      <c r="U111" t="s">
        <v>680</v>
      </c>
    </row>
    <row r="112" spans="1:23" x14ac:dyDescent="0.3">
      <c r="A112" t="s">
        <v>831</v>
      </c>
      <c r="B112" t="s">
        <v>827</v>
      </c>
      <c r="C112" t="s">
        <v>828</v>
      </c>
      <c r="D112" t="s">
        <v>829</v>
      </c>
      <c r="E112" t="s">
        <v>470</v>
      </c>
      <c r="F112" t="s">
        <v>490</v>
      </c>
      <c r="G112" t="str">
        <f>_xlfn.TEXTJOIN("|",FALSE,Goldcopy_cons[[#This Row],[Entity]],Goldcopy_cons[[#This Row],[DEV SB ID]])</f>
        <v>Epic|Task line in Plan</v>
      </c>
      <c r="H112" t="s">
        <v>840</v>
      </c>
      <c r="I112" t="s">
        <v>19</v>
      </c>
      <c r="J112" t="s">
        <v>19</v>
      </c>
      <c r="K112" t="s">
        <v>493</v>
      </c>
      <c r="L112" t="s">
        <v>124</v>
      </c>
      <c r="M112" t="s">
        <v>494</v>
      </c>
      <c r="N112" t="s">
        <v>494</v>
      </c>
      <c r="O112" t="s">
        <v>18</v>
      </c>
      <c r="P112" t="s">
        <v>539</v>
      </c>
      <c r="S112" t="s">
        <v>6069</v>
      </c>
      <c r="T112" t="s">
        <v>540</v>
      </c>
      <c r="U112" t="s">
        <v>19</v>
      </c>
    </row>
    <row r="113" spans="1:21" x14ac:dyDescent="0.3">
      <c r="A113" t="s">
        <v>831</v>
      </c>
      <c r="B113" t="s">
        <v>827</v>
      </c>
      <c r="C113" t="s">
        <v>828</v>
      </c>
      <c r="D113" t="s">
        <v>829</v>
      </c>
      <c r="E113" t="s">
        <v>470</v>
      </c>
      <c r="F113" t="s">
        <v>490</v>
      </c>
      <c r="G113" t="str">
        <f>_xlfn.TEXTJOIN("|",FALSE,Goldcopy_cons[[#This Row],[Entity]],Goldcopy_cons[[#This Row],[DEV SB ID]])</f>
        <v>Epic|PE01</v>
      </c>
      <c r="H113" t="s">
        <v>840</v>
      </c>
      <c r="I113" t="s">
        <v>19</v>
      </c>
      <c r="J113" t="s">
        <v>19</v>
      </c>
      <c r="K113" t="s">
        <v>299</v>
      </c>
      <c r="L113" t="s">
        <v>155</v>
      </c>
      <c r="M113" t="s">
        <v>155</v>
      </c>
      <c r="N113" t="s">
        <v>155</v>
      </c>
      <c r="O113" t="s">
        <v>18</v>
      </c>
      <c r="P113" t="s">
        <v>539</v>
      </c>
      <c r="S113" t="s">
        <v>680</v>
      </c>
      <c r="T113" t="s">
        <v>540</v>
      </c>
      <c r="U113" t="s">
        <v>680</v>
      </c>
    </row>
    <row r="114" spans="1:21" x14ac:dyDescent="0.3">
      <c r="A114" t="s">
        <v>831</v>
      </c>
      <c r="B114" t="s">
        <v>827</v>
      </c>
      <c r="C114" t="s">
        <v>828</v>
      </c>
      <c r="D114" t="s">
        <v>829</v>
      </c>
      <c r="E114" t="s">
        <v>470</v>
      </c>
      <c r="F114" t="s">
        <v>481</v>
      </c>
      <c r="G114" t="str">
        <f>_xlfn.TEXTJOIN("|",FALSE,Goldcopy_cons[[#This Row],[Entity]],Goldcopy_cons[[#This Row],[DEV SB ID]])</f>
        <v>Demand Bundle|Str62</v>
      </c>
      <c r="H114" t="s">
        <v>842</v>
      </c>
      <c r="I114" t="s">
        <v>33</v>
      </c>
      <c r="J114" t="s">
        <v>33</v>
      </c>
      <c r="K114" t="s">
        <v>171</v>
      </c>
      <c r="L114" t="s">
        <v>172</v>
      </c>
      <c r="M114" t="s">
        <v>172</v>
      </c>
      <c r="N114" t="s">
        <v>172</v>
      </c>
      <c r="O114" t="s">
        <v>363</v>
      </c>
      <c r="P114" t="s">
        <v>539</v>
      </c>
      <c r="Q114" t="s">
        <v>32</v>
      </c>
      <c r="R114" t="s">
        <v>616</v>
      </c>
      <c r="S114" t="s">
        <v>841</v>
      </c>
      <c r="T114" t="s">
        <v>540</v>
      </c>
      <c r="U114" t="s">
        <v>841</v>
      </c>
    </row>
    <row r="115" spans="1:21" x14ac:dyDescent="0.3">
      <c r="A115" t="s">
        <v>831</v>
      </c>
      <c r="B115" t="s">
        <v>827</v>
      </c>
      <c r="C115" t="s">
        <v>828</v>
      </c>
      <c r="D115" t="s">
        <v>829</v>
      </c>
      <c r="E115" t="s">
        <v>470</v>
      </c>
      <c r="F115" t="s">
        <v>490</v>
      </c>
      <c r="G115" t="str">
        <f>_xlfn.TEXTJOIN("|",FALSE,Goldcopy_cons[[#This Row],[Entity]],Goldcopy_cons[[#This Row],[DEV SB ID]])</f>
        <v>Epic|Str62</v>
      </c>
      <c r="H115" t="s">
        <v>843</v>
      </c>
      <c r="K115" t="s">
        <v>171</v>
      </c>
      <c r="L115" t="s">
        <v>172</v>
      </c>
      <c r="M115" t="s">
        <v>172</v>
      </c>
      <c r="N115" t="s">
        <v>172</v>
      </c>
      <c r="O115" t="s">
        <v>363</v>
      </c>
      <c r="P115" t="s">
        <v>539</v>
      </c>
      <c r="Q115" t="s">
        <v>32</v>
      </c>
      <c r="R115" t="s">
        <v>616</v>
      </c>
      <c r="S115" t="s">
        <v>841</v>
      </c>
      <c r="T115" t="s">
        <v>540</v>
      </c>
      <c r="U115" t="s">
        <v>841</v>
      </c>
    </row>
    <row r="116" spans="1:21" x14ac:dyDescent="0.3">
      <c r="A116" t="s">
        <v>831</v>
      </c>
      <c r="B116" t="s">
        <v>827</v>
      </c>
      <c r="C116" t="s">
        <v>828</v>
      </c>
      <c r="D116" t="s">
        <v>829</v>
      </c>
      <c r="E116" t="s">
        <v>470</v>
      </c>
      <c r="F116" t="s">
        <v>490</v>
      </c>
      <c r="G116" t="str">
        <f>_xlfn.TEXTJOIN("|",FALSE,Goldcopy_cons[[#This Row],[Entity]],Goldcopy_cons[[#This Row],[DEV SB ID]])</f>
        <v>Epic|fdx_epic_notes</v>
      </c>
      <c r="H116" t="s">
        <v>844</v>
      </c>
      <c r="I116" t="s">
        <v>33</v>
      </c>
      <c r="J116" t="s">
        <v>33</v>
      </c>
      <c r="K116" t="s">
        <v>495</v>
      </c>
      <c r="L116" t="s">
        <v>327</v>
      </c>
      <c r="M116" t="s">
        <v>327</v>
      </c>
      <c r="N116" t="s">
        <v>327</v>
      </c>
      <c r="O116" t="s">
        <v>18</v>
      </c>
      <c r="P116" t="s">
        <v>539</v>
      </c>
      <c r="S116" t="s">
        <v>6070</v>
      </c>
    </row>
    <row r="117" spans="1:21" x14ac:dyDescent="0.3">
      <c r="A117" t="s">
        <v>831</v>
      </c>
      <c r="B117" t="s">
        <v>827</v>
      </c>
      <c r="C117" t="s">
        <v>828</v>
      </c>
      <c r="D117" t="s">
        <v>829</v>
      </c>
      <c r="E117" t="s">
        <v>682</v>
      </c>
      <c r="F117" t="s">
        <v>490</v>
      </c>
      <c r="G117" t="str">
        <f>_xlfn.TEXTJOIN("|",FALSE,Goldcopy_cons[[#This Row],[Entity]],Goldcopy_cons[[#This Row],[DEV SB ID]])</f>
        <v>Epic|fdx_agility_id</v>
      </c>
      <c r="H117" t="s">
        <v>845</v>
      </c>
      <c r="I117" t="s">
        <v>33</v>
      </c>
      <c r="J117" t="s">
        <v>33</v>
      </c>
      <c r="K117" t="s">
        <v>300</v>
      </c>
      <c r="L117" t="s">
        <v>301</v>
      </c>
      <c r="M117" t="s">
        <v>301</v>
      </c>
      <c r="N117" t="s">
        <v>301</v>
      </c>
      <c r="O117" t="s">
        <v>18</v>
      </c>
      <c r="P117" t="s">
        <v>539</v>
      </c>
      <c r="S117" t="s">
        <v>683</v>
      </c>
      <c r="T117" t="s">
        <v>497</v>
      </c>
      <c r="U117" t="s">
        <v>683</v>
      </c>
    </row>
    <row r="118" spans="1:21" x14ac:dyDescent="0.3">
      <c r="A118" t="s">
        <v>831</v>
      </c>
      <c r="B118" t="s">
        <v>827</v>
      </c>
      <c r="C118" t="s">
        <v>828</v>
      </c>
      <c r="D118" t="s">
        <v>829</v>
      </c>
      <c r="E118" t="s">
        <v>682</v>
      </c>
      <c r="F118" t="s">
        <v>490</v>
      </c>
      <c r="G118" t="str">
        <f>_xlfn.TEXTJOIN("|",FALSE,Goldcopy_cons[[#This Row],[Entity]],Goldcopy_cons[[#This Row],[DEV SB ID]])</f>
        <v>Epic|fdx_agility_URL</v>
      </c>
      <c r="H118" t="s">
        <v>845</v>
      </c>
      <c r="I118" t="s">
        <v>33</v>
      </c>
      <c r="J118" t="s">
        <v>33</v>
      </c>
      <c r="K118" t="s">
        <v>302</v>
      </c>
      <c r="L118" t="s">
        <v>496</v>
      </c>
      <c r="M118" t="s">
        <v>496</v>
      </c>
      <c r="N118" t="s">
        <v>496</v>
      </c>
      <c r="O118" t="s">
        <v>18</v>
      </c>
      <c r="P118" t="s">
        <v>617</v>
      </c>
      <c r="Q118" t="s">
        <v>497</v>
      </c>
      <c r="T118" t="s">
        <v>497</v>
      </c>
    </row>
    <row r="119" spans="1:21" x14ac:dyDescent="0.3">
      <c r="A119" t="s">
        <v>831</v>
      </c>
      <c r="B119" t="s">
        <v>827</v>
      </c>
      <c r="C119" t="s">
        <v>828</v>
      </c>
      <c r="D119" t="s">
        <v>829</v>
      </c>
      <c r="E119" t="s">
        <v>682</v>
      </c>
      <c r="F119" t="s">
        <v>490</v>
      </c>
      <c r="G119" t="str">
        <f>_xlfn.TEXTJOIN("|",FALSE,Goldcopy_cons[[#This Row],[Entity]],Goldcopy_cons[[#This Row],[DEV SB ID]])</f>
        <v>Epic|1284</v>
      </c>
      <c r="H119" t="s">
        <v>845</v>
      </c>
      <c r="I119" t="s">
        <v>33</v>
      </c>
      <c r="J119" t="s">
        <v>33</v>
      </c>
      <c r="K119" t="s">
        <v>498</v>
      </c>
      <c r="L119" t="s">
        <v>499</v>
      </c>
      <c r="M119" t="s">
        <v>499</v>
      </c>
      <c r="N119" t="s">
        <v>499</v>
      </c>
      <c r="O119" t="s">
        <v>50</v>
      </c>
      <c r="P119" t="s">
        <v>684</v>
      </c>
      <c r="Q119" t="s">
        <v>497</v>
      </c>
      <c r="R119" t="s">
        <v>685</v>
      </c>
      <c r="T119" t="s">
        <v>497</v>
      </c>
    </row>
    <row r="120" spans="1:21" x14ac:dyDescent="0.3">
      <c r="A120" t="s">
        <v>831</v>
      </c>
      <c r="B120" t="s">
        <v>827</v>
      </c>
      <c r="C120" t="s">
        <v>828</v>
      </c>
      <c r="D120" t="s">
        <v>829</v>
      </c>
      <c r="E120" t="s">
        <v>682</v>
      </c>
      <c r="F120" t="s">
        <v>490</v>
      </c>
      <c r="G120" t="str">
        <f>_xlfn.TEXTJOIN("|",FALSE,Goldcopy_cons[[#This Row],[Entity]],Goldcopy_cons[[#This Row],[DEV SB ID]])</f>
        <v>Epic| -</v>
      </c>
      <c r="H120" t="s">
        <v>848</v>
      </c>
      <c r="I120" t="s">
        <v>33</v>
      </c>
      <c r="J120" t="s">
        <v>33</v>
      </c>
      <c r="K120" t="s">
        <v>500</v>
      </c>
      <c r="L120" t="s">
        <v>72</v>
      </c>
      <c r="M120" t="s">
        <v>72</v>
      </c>
      <c r="N120" t="s">
        <v>72</v>
      </c>
      <c r="O120" t="s">
        <v>501</v>
      </c>
      <c r="P120" t="s">
        <v>846</v>
      </c>
      <c r="Q120" t="s">
        <v>502</v>
      </c>
      <c r="R120" t="s">
        <v>847</v>
      </c>
      <c r="S120" t="s">
        <v>6071</v>
      </c>
      <c r="T120" t="s">
        <v>497</v>
      </c>
    </row>
    <row r="121" spans="1:21" x14ac:dyDescent="0.3">
      <c r="A121" t="s">
        <v>831</v>
      </c>
      <c r="B121" t="s">
        <v>827</v>
      </c>
      <c r="C121" t="s">
        <v>828</v>
      </c>
      <c r="D121" t="s">
        <v>829</v>
      </c>
      <c r="E121" t="s">
        <v>470</v>
      </c>
      <c r="F121" t="s">
        <v>490</v>
      </c>
      <c r="G121" t="str">
        <f>_xlfn.TEXTJOIN("|",FALSE,Goldcopy_cons[[#This Row],[Entity]],Goldcopy_cons[[#This Row],[DEV SB ID]])</f>
        <v>Epic|PRODUCT_ALLO</v>
      </c>
      <c r="H121" t="s">
        <v>849</v>
      </c>
      <c r="I121" t="s">
        <v>33</v>
      </c>
      <c r="J121" t="s">
        <v>33</v>
      </c>
      <c r="K121" t="s">
        <v>503</v>
      </c>
      <c r="L121" t="s">
        <v>504</v>
      </c>
      <c r="M121" t="s">
        <v>504</v>
      </c>
      <c r="N121" t="s">
        <v>504</v>
      </c>
      <c r="O121" t="s">
        <v>505</v>
      </c>
      <c r="P121" t="s">
        <v>539</v>
      </c>
      <c r="S121" t="s">
        <v>690</v>
      </c>
      <c r="T121" t="s">
        <v>540</v>
      </c>
      <c r="U121" t="s">
        <v>690</v>
      </c>
    </row>
    <row r="122" spans="1:21" x14ac:dyDescent="0.3">
      <c r="A122" t="s">
        <v>831</v>
      </c>
      <c r="B122" t="s">
        <v>827</v>
      </c>
      <c r="C122" t="s">
        <v>828</v>
      </c>
      <c r="D122" t="s">
        <v>829</v>
      </c>
      <c r="E122" t="s">
        <v>470</v>
      </c>
      <c r="F122" t="s">
        <v>481</v>
      </c>
      <c r="G122" t="str">
        <f>_xlfn.TEXTJOIN("|",FALSE,Goldcopy_cons[[#This Row],[Entity]],Goldcopy_cons[[#This Row],[DEV SB ID]])</f>
        <v>Demand Bundle|</v>
      </c>
      <c r="H122" t="s">
        <v>6072</v>
      </c>
      <c r="I122" t="s">
        <v>19</v>
      </c>
      <c r="J122" t="s">
        <v>19</v>
      </c>
      <c r="K122" t="s">
        <v>6073</v>
      </c>
    </row>
    <row r="123" spans="1:21" x14ac:dyDescent="0.3">
      <c r="A123" t="s">
        <v>831</v>
      </c>
      <c r="B123" t="s">
        <v>827</v>
      </c>
      <c r="C123" t="s">
        <v>828</v>
      </c>
      <c r="D123" t="s">
        <v>829</v>
      </c>
      <c r="E123" t="s">
        <v>470</v>
      </c>
      <c r="F123" t="s">
        <v>490</v>
      </c>
      <c r="G123" t="str">
        <f>_xlfn.TEXTJOIN("|",FALSE,Goldcopy_cons[[#This Row],[Entity]],Goldcopy_cons[[#This Row],[DEV SB ID]])</f>
        <v>Epic|fdx_epic_owner</v>
      </c>
      <c r="H123" t="s">
        <v>840</v>
      </c>
      <c r="I123" t="s">
        <v>19</v>
      </c>
      <c r="J123" t="s">
        <v>19</v>
      </c>
      <c r="K123" t="s">
        <v>314</v>
      </c>
      <c r="M123" t="s">
        <v>315</v>
      </c>
      <c r="N123" t="s">
        <v>315</v>
      </c>
      <c r="O123" t="s">
        <v>18</v>
      </c>
      <c r="P123" t="s">
        <v>539</v>
      </c>
      <c r="S123" t="s">
        <v>6074</v>
      </c>
      <c r="T123" t="s">
        <v>540</v>
      </c>
    </row>
    <row r="124" spans="1:21" x14ac:dyDescent="0.3">
      <c r="A124" t="s">
        <v>831</v>
      </c>
      <c r="B124" t="s">
        <v>827</v>
      </c>
      <c r="C124" t="s">
        <v>828</v>
      </c>
      <c r="D124" t="s">
        <v>829</v>
      </c>
      <c r="E124" t="s">
        <v>470</v>
      </c>
      <c r="F124" t="s">
        <v>490</v>
      </c>
      <c r="G124" t="str">
        <f>_xlfn.TEXTJOIN("|",FALSE,Goldcopy_cons[[#This Row],[Entity]],Goldcopy_cons[[#This Row],[DEV SB ID]])</f>
        <v>Epic|fdx_in_scope</v>
      </c>
      <c r="H124" t="s">
        <v>840</v>
      </c>
      <c r="I124" t="s">
        <v>33</v>
      </c>
      <c r="J124" t="s">
        <v>33</v>
      </c>
      <c r="K124" t="s">
        <v>160</v>
      </c>
      <c r="L124" t="s">
        <v>161</v>
      </c>
      <c r="M124" t="s">
        <v>161</v>
      </c>
      <c r="N124" t="s">
        <v>161</v>
      </c>
      <c r="O124" t="s">
        <v>18</v>
      </c>
      <c r="P124" t="s">
        <v>539</v>
      </c>
      <c r="S124" t="s">
        <v>692</v>
      </c>
      <c r="T124" t="s">
        <v>540</v>
      </c>
      <c r="U124" t="s">
        <v>692</v>
      </c>
    </row>
    <row r="125" spans="1:21" x14ac:dyDescent="0.3">
      <c r="A125" t="s">
        <v>831</v>
      </c>
      <c r="B125" t="s">
        <v>827</v>
      </c>
      <c r="C125" t="s">
        <v>828</v>
      </c>
      <c r="D125" t="s">
        <v>829</v>
      </c>
      <c r="E125" t="s">
        <v>470</v>
      </c>
      <c r="F125" t="s">
        <v>490</v>
      </c>
      <c r="G125" t="str">
        <f>_xlfn.TEXTJOIN("|",FALSE,Goldcopy_cons[[#This Row],[Entity]],Goldcopy_cons[[#This Row],[DEV SB ID]])</f>
        <v>Epic|fdx_out_of_scope</v>
      </c>
      <c r="H125" t="s">
        <v>840</v>
      </c>
      <c r="I125" t="s">
        <v>33</v>
      </c>
      <c r="J125" t="s">
        <v>33</v>
      </c>
      <c r="K125" t="s">
        <v>162</v>
      </c>
      <c r="L125" t="s">
        <v>163</v>
      </c>
      <c r="M125" t="s">
        <v>163</v>
      </c>
      <c r="N125" t="s">
        <v>163</v>
      </c>
      <c r="O125" t="s">
        <v>18</v>
      </c>
      <c r="P125" t="s">
        <v>539</v>
      </c>
      <c r="S125" t="s">
        <v>693</v>
      </c>
      <c r="T125" t="s">
        <v>540</v>
      </c>
      <c r="U125" t="s">
        <v>693</v>
      </c>
    </row>
    <row r="126" spans="1:21" x14ac:dyDescent="0.3">
      <c r="A126" t="s">
        <v>831</v>
      </c>
      <c r="B126" t="s">
        <v>827</v>
      </c>
      <c r="C126" t="s">
        <v>828</v>
      </c>
      <c r="D126" t="s">
        <v>829</v>
      </c>
      <c r="E126" t="s">
        <v>470</v>
      </c>
      <c r="F126" t="s">
        <v>481</v>
      </c>
      <c r="G126" t="str">
        <f>_xlfn.TEXTJOIN("|",FALSE,Goldcopy_cons[[#This Row],[Entity]],Goldcopy_cons[[#This Row],[DEV SB ID]])</f>
        <v>Demand Bundle|Wbs94</v>
      </c>
      <c r="H126" t="s">
        <v>851</v>
      </c>
      <c r="I126" t="s">
        <v>33</v>
      </c>
      <c r="J126" t="s">
        <v>33</v>
      </c>
      <c r="K126" t="s">
        <v>169</v>
      </c>
      <c r="L126" t="s">
        <v>170</v>
      </c>
      <c r="M126" t="s">
        <v>170</v>
      </c>
      <c r="N126" t="s">
        <v>170</v>
      </c>
      <c r="O126" t="s">
        <v>363</v>
      </c>
      <c r="P126" t="s">
        <v>850</v>
      </c>
      <c r="Q126" t="s">
        <v>35</v>
      </c>
      <c r="R126" t="s">
        <v>614</v>
      </c>
      <c r="T126" t="s">
        <v>318</v>
      </c>
    </row>
    <row r="127" spans="1:21" x14ac:dyDescent="0.3">
      <c r="A127" t="s">
        <v>831</v>
      </c>
      <c r="B127" t="s">
        <v>827</v>
      </c>
      <c r="C127" t="s">
        <v>828</v>
      </c>
      <c r="D127" t="s">
        <v>829</v>
      </c>
      <c r="E127" t="s">
        <v>470</v>
      </c>
      <c r="F127" t="s">
        <v>481</v>
      </c>
      <c r="G127" t="str">
        <f>_xlfn.TEXTJOIN("|",FALSE,Goldcopy_cons[[#This Row],[Entity]],Goldcopy_cons[[#This Row],[DEV SB ID]])</f>
        <v>Demand Bundle|</v>
      </c>
      <c r="H127" t="s">
        <v>6075</v>
      </c>
      <c r="I127" t="s">
        <v>33</v>
      </c>
      <c r="J127" t="s">
        <v>33</v>
      </c>
      <c r="K127" t="s">
        <v>1534</v>
      </c>
      <c r="L127" t="s">
        <v>1535</v>
      </c>
      <c r="M127" t="s">
        <v>1535</v>
      </c>
      <c r="O127" t="s">
        <v>18</v>
      </c>
      <c r="P127" t="s">
        <v>539</v>
      </c>
      <c r="S127" t="s">
        <v>6076</v>
      </c>
      <c r="T127" t="s">
        <v>497</v>
      </c>
      <c r="U127" t="s">
        <v>6076</v>
      </c>
    </row>
    <row r="128" spans="1:21" x14ac:dyDescent="0.3">
      <c r="A128" t="s">
        <v>831</v>
      </c>
      <c r="B128" t="s">
        <v>827</v>
      </c>
      <c r="C128" t="s">
        <v>828</v>
      </c>
      <c r="D128" t="s">
        <v>829</v>
      </c>
      <c r="E128" t="s">
        <v>470</v>
      </c>
      <c r="F128" t="s">
        <v>481</v>
      </c>
      <c r="G128" t="str">
        <f>_xlfn.TEXTJOIN("|",FALSE,Goldcopy_cons[[#This Row],[Entity]],Goldcopy_cons[[#This Row],[DEV SB ID]])</f>
        <v>Demand Bundle|</v>
      </c>
      <c r="H128" t="s">
        <v>6077</v>
      </c>
      <c r="I128" t="s">
        <v>33</v>
      </c>
      <c r="J128" t="s">
        <v>33</v>
      </c>
      <c r="K128" t="s">
        <v>1593</v>
      </c>
      <c r="L128" t="s">
        <v>1594</v>
      </c>
      <c r="M128" t="s">
        <v>1594</v>
      </c>
      <c r="O128" t="s">
        <v>18</v>
      </c>
      <c r="P128" t="s">
        <v>539</v>
      </c>
      <c r="S128" t="s">
        <v>6078</v>
      </c>
      <c r="U128" t="s">
        <v>6078</v>
      </c>
    </row>
    <row r="129" spans="1:21" x14ac:dyDescent="0.3">
      <c r="A129" t="s">
        <v>831</v>
      </c>
      <c r="B129" t="s">
        <v>827</v>
      </c>
      <c r="C129" t="s">
        <v>828</v>
      </c>
      <c r="D129" t="s">
        <v>829</v>
      </c>
      <c r="E129" t="s">
        <v>470</v>
      </c>
      <c r="F129" t="s">
        <v>481</v>
      </c>
      <c r="G129" t="str">
        <f>_xlfn.TEXTJOIN("|",FALSE,Goldcopy_cons[[#This Row],[Entity]],Goldcopy_cons[[#This Row],[DEV SB ID]])</f>
        <v>Demand Bundle|fdx_work_ppm_num</v>
      </c>
      <c r="H129" t="s">
        <v>853</v>
      </c>
      <c r="I129" t="s">
        <v>33</v>
      </c>
      <c r="J129" t="s">
        <v>33</v>
      </c>
      <c r="K129" t="s">
        <v>316</v>
      </c>
      <c r="L129" t="s">
        <v>317</v>
      </c>
      <c r="M129" t="s">
        <v>317</v>
      </c>
      <c r="N129" t="s">
        <v>317</v>
      </c>
      <c r="O129" t="s">
        <v>18</v>
      </c>
      <c r="P129" t="s">
        <v>539</v>
      </c>
      <c r="S129" t="s">
        <v>694</v>
      </c>
      <c r="T129" t="s">
        <v>852</v>
      </c>
      <c r="U129" t="s">
        <v>694</v>
      </c>
    </row>
    <row r="130" spans="1:21" x14ac:dyDescent="0.3">
      <c r="A130" t="s">
        <v>831</v>
      </c>
      <c r="B130" t="s">
        <v>827</v>
      </c>
      <c r="C130" t="s">
        <v>828</v>
      </c>
      <c r="D130" t="s">
        <v>829</v>
      </c>
      <c r="E130" t="s">
        <v>470</v>
      </c>
      <c r="F130" t="s">
        <v>481</v>
      </c>
      <c r="G130" t="str">
        <f>_xlfn.TEXTJOIN("|",FALSE,Goldcopy_cons[[#This Row],[Entity]],Goldcopy_cons[[#This Row],[DEV SB ID]])</f>
        <v>Demand Bundle|fdx_eai_work</v>
      </c>
      <c r="H130" t="s">
        <v>6079</v>
      </c>
      <c r="I130" t="s">
        <v>33</v>
      </c>
      <c r="J130" t="s">
        <v>33</v>
      </c>
      <c r="K130" t="s">
        <v>181</v>
      </c>
      <c r="L130" t="s">
        <v>182</v>
      </c>
      <c r="M130" t="s">
        <v>182</v>
      </c>
      <c r="N130" t="s">
        <v>182</v>
      </c>
      <c r="O130" t="s">
        <v>18</v>
      </c>
      <c r="P130" t="s">
        <v>539</v>
      </c>
      <c r="R130" t="s">
        <v>6080</v>
      </c>
      <c r="S130" t="s">
        <v>696</v>
      </c>
      <c r="T130" t="s">
        <v>852</v>
      </c>
      <c r="U130" t="s">
        <v>696</v>
      </c>
    </row>
    <row r="131" spans="1:21" x14ac:dyDescent="0.3">
      <c r="A131" t="s">
        <v>831</v>
      </c>
      <c r="B131" t="s">
        <v>827</v>
      </c>
      <c r="C131" t="s">
        <v>828</v>
      </c>
      <c r="D131" t="s">
        <v>829</v>
      </c>
      <c r="E131" t="s">
        <v>470</v>
      </c>
      <c r="F131" t="s">
        <v>481</v>
      </c>
      <c r="G131" t="str">
        <f>_xlfn.TEXTJOIN("|",FALSE,Goldcopy_cons[[#This Row],[Entity]],Goldcopy_cons[[#This Row],[DEV SB ID]])</f>
        <v>Demand Bundle|fdx_ability_to_work</v>
      </c>
      <c r="H131" t="s">
        <v>854</v>
      </c>
      <c r="I131" t="s">
        <v>33</v>
      </c>
      <c r="J131" t="s">
        <v>33</v>
      </c>
      <c r="K131" t="s">
        <v>319</v>
      </c>
      <c r="L131" t="s">
        <v>320</v>
      </c>
      <c r="M131" t="s">
        <v>320</v>
      </c>
      <c r="N131" t="s">
        <v>320</v>
      </c>
      <c r="O131" t="s">
        <v>18</v>
      </c>
      <c r="P131" t="s">
        <v>539</v>
      </c>
      <c r="R131" t="s">
        <v>697</v>
      </c>
      <c r="S131" t="s">
        <v>6081</v>
      </c>
      <c r="T131" t="s">
        <v>540</v>
      </c>
      <c r="U131" t="s">
        <v>697</v>
      </c>
    </row>
    <row r="132" spans="1:21" x14ac:dyDescent="0.3">
      <c r="A132" t="s">
        <v>831</v>
      </c>
      <c r="B132" t="s">
        <v>827</v>
      </c>
      <c r="C132" t="s">
        <v>828</v>
      </c>
      <c r="D132" t="s">
        <v>829</v>
      </c>
      <c r="E132" t="s">
        <v>470</v>
      </c>
      <c r="F132" t="s">
        <v>481</v>
      </c>
      <c r="G132" t="str">
        <f>_xlfn.TEXTJOIN("|",FALSE,Goldcopy_cons[[#This Row],[Entity]],Goldcopy_cons[[#This Row],[DEV SB ID]])</f>
        <v>Demand Bundle|fdx_epic_archdoc_URL</v>
      </c>
      <c r="H132" t="s">
        <v>855</v>
      </c>
      <c r="I132" t="s">
        <v>33</v>
      </c>
      <c r="J132" t="s">
        <v>623</v>
      </c>
      <c r="K132" t="s">
        <v>321</v>
      </c>
      <c r="L132" t="s">
        <v>184</v>
      </c>
      <c r="M132" t="s">
        <v>184</v>
      </c>
      <c r="N132" t="s">
        <v>184</v>
      </c>
      <c r="O132" t="s">
        <v>18</v>
      </c>
      <c r="P132" t="s">
        <v>617</v>
      </c>
      <c r="R132" t="s">
        <v>698</v>
      </c>
      <c r="T132" t="s">
        <v>540</v>
      </c>
    </row>
    <row r="133" spans="1:21" x14ac:dyDescent="0.3">
      <c r="A133" t="s">
        <v>831</v>
      </c>
      <c r="B133" t="s">
        <v>827</v>
      </c>
      <c r="C133" t="s">
        <v>828</v>
      </c>
      <c r="D133" t="s">
        <v>829</v>
      </c>
      <c r="E133" t="s">
        <v>470</v>
      </c>
      <c r="F133" t="s">
        <v>490</v>
      </c>
      <c r="G133" t="str">
        <f>_xlfn.TEXTJOIN("|",FALSE,Goldcopy_cons[[#This Row],[Entity]],Goldcopy_cons[[#This Row],[DEV SB ID]])</f>
        <v>Epic|fdx_epic_archdoc_URL</v>
      </c>
      <c r="H133" t="s">
        <v>856</v>
      </c>
      <c r="I133" t="s">
        <v>33</v>
      </c>
      <c r="J133" t="s">
        <v>623</v>
      </c>
      <c r="K133" t="s">
        <v>321</v>
      </c>
      <c r="L133" t="s">
        <v>184</v>
      </c>
      <c r="M133" t="s">
        <v>184</v>
      </c>
      <c r="N133" t="s">
        <v>184</v>
      </c>
      <c r="O133" t="s">
        <v>18</v>
      </c>
      <c r="P133" t="s">
        <v>617</v>
      </c>
      <c r="R133" t="s">
        <v>698</v>
      </c>
      <c r="T133" t="s">
        <v>540</v>
      </c>
    </row>
    <row r="134" spans="1:21" x14ac:dyDescent="0.3">
      <c r="A134" t="s">
        <v>831</v>
      </c>
      <c r="B134" t="s">
        <v>827</v>
      </c>
      <c r="C134" t="s">
        <v>828</v>
      </c>
      <c r="D134" t="s">
        <v>829</v>
      </c>
      <c r="E134" t="s">
        <v>470</v>
      </c>
      <c r="F134" t="s">
        <v>481</v>
      </c>
      <c r="G134" t="str">
        <f>_xlfn.TEXTJOIN("|",FALSE,Goldcopy_cons[[#This Row],[Entity]],Goldcopy_cons[[#This Row],[DEV SB ID]])</f>
        <v>Demand Bundle|fdx_it_ent_arch</v>
      </c>
      <c r="H134" t="s">
        <v>857</v>
      </c>
      <c r="I134" t="s">
        <v>33</v>
      </c>
      <c r="J134" t="s">
        <v>33</v>
      </c>
      <c r="K134" t="s">
        <v>322</v>
      </c>
      <c r="L134" t="s">
        <v>323</v>
      </c>
      <c r="M134" t="s">
        <v>323</v>
      </c>
      <c r="N134" t="s">
        <v>323</v>
      </c>
      <c r="O134" t="s">
        <v>18</v>
      </c>
      <c r="P134" t="s">
        <v>539</v>
      </c>
      <c r="R134" t="s">
        <v>700</v>
      </c>
      <c r="T134" t="s">
        <v>540</v>
      </c>
      <c r="U134" t="s">
        <v>700</v>
      </c>
    </row>
    <row r="135" spans="1:21" x14ac:dyDescent="0.3">
      <c r="A135" t="s">
        <v>831</v>
      </c>
      <c r="B135" t="s">
        <v>827</v>
      </c>
      <c r="C135" t="s">
        <v>828</v>
      </c>
      <c r="D135" t="s">
        <v>829</v>
      </c>
      <c r="E135" t="s">
        <v>470</v>
      </c>
      <c r="F135" t="s">
        <v>481</v>
      </c>
      <c r="G135" t="str">
        <f>_xlfn.TEXTJOIN("|",FALSE,Goldcopy_cons[[#This Row],[Entity]],Goldcopy_cons[[#This Row],[DEV SB ID]])</f>
        <v>Demand Bundle|fdx_bus_ent_arch</v>
      </c>
      <c r="H135" t="s">
        <v>857</v>
      </c>
      <c r="I135" t="s">
        <v>33</v>
      </c>
      <c r="J135" t="s">
        <v>33</v>
      </c>
      <c r="K135" t="s">
        <v>324</v>
      </c>
      <c r="L135" t="s">
        <v>325</v>
      </c>
      <c r="M135" t="s">
        <v>325</v>
      </c>
      <c r="N135" t="s">
        <v>325</v>
      </c>
      <c r="O135" t="s">
        <v>18</v>
      </c>
      <c r="P135" t="s">
        <v>539</v>
      </c>
      <c r="R135" t="s">
        <v>702</v>
      </c>
      <c r="T135" t="s">
        <v>540</v>
      </c>
      <c r="U135" t="s">
        <v>702</v>
      </c>
    </row>
    <row r="136" spans="1:21" x14ac:dyDescent="0.3">
      <c r="A136" t="s">
        <v>831</v>
      </c>
      <c r="B136" t="s">
        <v>827</v>
      </c>
      <c r="C136" t="s">
        <v>828</v>
      </c>
      <c r="D136" t="s">
        <v>829</v>
      </c>
      <c r="E136" t="s">
        <v>470</v>
      </c>
      <c r="F136" t="s">
        <v>481</v>
      </c>
      <c r="G136" t="str">
        <f>_xlfn.TEXTJOIN("|",FALSE,Goldcopy_cons[[#This Row],[Entity]],Goldcopy_cons[[#This Row],[DEV SB ID]])</f>
        <v>Demand Bundle|fdx_biz_out_work</v>
      </c>
      <c r="I136" t="s">
        <v>33</v>
      </c>
      <c r="J136" t="s">
        <v>33</v>
      </c>
      <c r="K136" t="s">
        <v>43</v>
      </c>
      <c r="L136" t="s">
        <v>164</v>
      </c>
      <c r="M136" t="s">
        <v>164</v>
      </c>
      <c r="N136" t="s">
        <v>164</v>
      </c>
      <c r="O136" t="s">
        <v>18</v>
      </c>
      <c r="P136" t="s">
        <v>539</v>
      </c>
      <c r="R136" t="s">
        <v>703</v>
      </c>
      <c r="S136" t="s">
        <v>6082</v>
      </c>
      <c r="T136" t="s">
        <v>540</v>
      </c>
      <c r="U136" t="s">
        <v>703</v>
      </c>
    </row>
    <row r="137" spans="1:21" x14ac:dyDescent="0.3">
      <c r="A137" t="s">
        <v>831</v>
      </c>
      <c r="B137" t="s">
        <v>827</v>
      </c>
      <c r="C137" t="s">
        <v>828</v>
      </c>
      <c r="D137" t="s">
        <v>829</v>
      </c>
      <c r="E137" t="s">
        <v>470</v>
      </c>
      <c r="F137" t="s">
        <v>481</v>
      </c>
      <c r="G137" t="str">
        <f>_xlfn.TEXTJOIN("|",FALSE,Goldcopy_cons[[#This Row],[Entity]],Goldcopy_cons[[#This Row],[DEV SB ID]])</f>
        <v>Demand Bundle|Wbs709</v>
      </c>
      <c r="H137" t="s">
        <v>858</v>
      </c>
      <c r="I137" t="s">
        <v>33</v>
      </c>
      <c r="J137" t="s">
        <v>33</v>
      </c>
      <c r="K137" t="s">
        <v>244</v>
      </c>
      <c r="L137" t="s">
        <v>245</v>
      </c>
      <c r="M137" t="s">
        <v>245</v>
      </c>
      <c r="N137" t="s">
        <v>245</v>
      </c>
      <c r="O137" t="s">
        <v>363</v>
      </c>
      <c r="P137" t="s">
        <v>539</v>
      </c>
      <c r="R137" t="s">
        <v>704</v>
      </c>
      <c r="S137" t="s">
        <v>6083</v>
      </c>
      <c r="T137" t="s">
        <v>540</v>
      </c>
      <c r="U137" t="s">
        <v>705</v>
      </c>
    </row>
    <row r="138" spans="1:21" x14ac:dyDescent="0.3">
      <c r="A138" t="s">
        <v>831</v>
      </c>
      <c r="B138" t="s">
        <v>827</v>
      </c>
      <c r="C138" t="s">
        <v>828</v>
      </c>
      <c r="D138" t="s">
        <v>829</v>
      </c>
      <c r="E138" t="s">
        <v>470</v>
      </c>
      <c r="F138" t="s">
        <v>481</v>
      </c>
      <c r="G138" t="str">
        <f>_xlfn.TEXTJOIN("|",FALSE,Goldcopy_cons[[#This Row],[Entity]],Goldcopy_cons[[#This Row],[DEV SB ID]])</f>
        <v>Demand Bundle|fdx_status_work</v>
      </c>
      <c r="H138" t="s">
        <v>859</v>
      </c>
      <c r="I138" t="s">
        <v>33</v>
      </c>
      <c r="J138" t="s">
        <v>33</v>
      </c>
      <c r="K138" t="s">
        <v>247</v>
      </c>
      <c r="L138" t="s">
        <v>248</v>
      </c>
      <c r="M138" t="s">
        <v>248</v>
      </c>
      <c r="N138" t="s">
        <v>248</v>
      </c>
      <c r="O138" t="s">
        <v>18</v>
      </c>
      <c r="P138" t="s">
        <v>539</v>
      </c>
      <c r="S138" t="s">
        <v>6084</v>
      </c>
      <c r="T138" t="s">
        <v>540</v>
      </c>
      <c r="U138" t="s">
        <v>657</v>
      </c>
    </row>
    <row r="139" spans="1:21" x14ac:dyDescent="0.3">
      <c r="A139" t="s">
        <v>831</v>
      </c>
      <c r="B139" t="s">
        <v>827</v>
      </c>
      <c r="C139" t="s">
        <v>828</v>
      </c>
      <c r="D139" t="s">
        <v>829</v>
      </c>
      <c r="E139" t="s">
        <v>470</v>
      </c>
      <c r="F139" t="s">
        <v>490</v>
      </c>
      <c r="G139" t="str">
        <f>_xlfn.TEXTJOIN("|",FALSE,Goldcopy_cons[[#This Row],[Entity]],Goldcopy_cons[[#This Row],[DEV SB ID]])</f>
        <v>Epic|fdx_epic_notes</v>
      </c>
      <c r="I139" t="s">
        <v>33</v>
      </c>
      <c r="J139" t="s">
        <v>33</v>
      </c>
      <c r="K139" t="s">
        <v>326</v>
      </c>
      <c r="L139" t="s">
        <v>327</v>
      </c>
      <c r="M139" t="s">
        <v>327</v>
      </c>
      <c r="N139" t="s">
        <v>327</v>
      </c>
      <c r="O139" t="s">
        <v>18</v>
      </c>
      <c r="P139" t="s">
        <v>539</v>
      </c>
      <c r="R139" t="s">
        <v>657</v>
      </c>
      <c r="T139" t="s">
        <v>318</v>
      </c>
    </row>
    <row r="140" spans="1:21" x14ac:dyDescent="0.3">
      <c r="A140" t="s">
        <v>831</v>
      </c>
      <c r="B140" t="s">
        <v>827</v>
      </c>
      <c r="C140" t="s">
        <v>828</v>
      </c>
      <c r="D140" t="s">
        <v>829</v>
      </c>
      <c r="E140" t="s">
        <v>470</v>
      </c>
      <c r="F140" t="s">
        <v>490</v>
      </c>
      <c r="G140" t="str">
        <f>_xlfn.TEXTJOIN("|",FALSE,Goldcopy_cons[[#This Row],[Entity]],Goldcopy_cons[[#This Row],[DEV SB ID]])</f>
        <v>Epic|fdx_epic_cap_no</v>
      </c>
      <c r="H140" t="s">
        <v>860</v>
      </c>
      <c r="I140" t="s">
        <v>19</v>
      </c>
      <c r="J140" t="s">
        <v>19</v>
      </c>
      <c r="K140" t="s">
        <v>328</v>
      </c>
      <c r="N140" t="s">
        <v>329</v>
      </c>
      <c r="O140" t="s">
        <v>18</v>
      </c>
      <c r="P140" t="s">
        <v>539</v>
      </c>
      <c r="R140" t="s">
        <v>706</v>
      </c>
      <c r="S140" t="s">
        <v>6085</v>
      </c>
      <c r="T140" t="s">
        <v>318</v>
      </c>
    </row>
    <row r="141" spans="1:21" x14ac:dyDescent="0.3">
      <c r="A141" t="s">
        <v>831</v>
      </c>
      <c r="B141" t="s">
        <v>827</v>
      </c>
      <c r="C141" t="s">
        <v>828</v>
      </c>
      <c r="D141" t="s">
        <v>829</v>
      </c>
      <c r="E141" t="s">
        <v>470</v>
      </c>
      <c r="F141" t="s">
        <v>481</v>
      </c>
      <c r="G141" t="str">
        <f>_xlfn.TEXTJOIN("|",FALSE,Goldcopy_cons[[#This Row],[Entity]],Goldcopy_cons[[#This Row],[DEV SB ID]])</f>
        <v>Demand Bundle|fdx_first_id</v>
      </c>
      <c r="H141" t="s">
        <v>861</v>
      </c>
      <c r="I141" t="s">
        <v>33</v>
      </c>
      <c r="J141" t="s">
        <v>33</v>
      </c>
      <c r="K141" t="s">
        <v>330</v>
      </c>
      <c r="L141" t="s">
        <v>331</v>
      </c>
      <c r="M141" t="s">
        <v>331</v>
      </c>
      <c r="N141" t="s">
        <v>331</v>
      </c>
      <c r="O141" t="s">
        <v>18</v>
      </c>
      <c r="P141" t="s">
        <v>539</v>
      </c>
      <c r="S141" t="s">
        <v>6086</v>
      </c>
      <c r="T141" t="s">
        <v>318</v>
      </c>
    </row>
    <row r="142" spans="1:21" x14ac:dyDescent="0.3">
      <c r="A142" t="s">
        <v>831</v>
      </c>
      <c r="B142" t="s">
        <v>827</v>
      </c>
      <c r="C142" t="s">
        <v>828</v>
      </c>
      <c r="D142" t="s">
        <v>829</v>
      </c>
      <c r="E142" t="s">
        <v>470</v>
      </c>
      <c r="F142" t="s">
        <v>490</v>
      </c>
      <c r="G142" t="str">
        <f>_xlfn.TEXTJOIN("|",FALSE,Goldcopy_cons[[#This Row],[Entity]],Goldcopy_cons[[#This Row],[DEV SB ID]])</f>
        <v>Epic|fdx_first_id</v>
      </c>
      <c r="H142" t="s">
        <v>862</v>
      </c>
      <c r="I142" t="s">
        <v>19</v>
      </c>
      <c r="J142" t="s">
        <v>19</v>
      </c>
      <c r="K142" t="s">
        <v>330</v>
      </c>
      <c r="L142" t="s">
        <v>331</v>
      </c>
      <c r="M142" t="s">
        <v>331</v>
      </c>
      <c r="N142" t="s">
        <v>331</v>
      </c>
      <c r="O142" t="s">
        <v>18</v>
      </c>
      <c r="P142" t="s">
        <v>539</v>
      </c>
      <c r="S142" t="s">
        <v>6086</v>
      </c>
      <c r="T142" t="s">
        <v>318</v>
      </c>
    </row>
    <row r="143" spans="1:21" x14ac:dyDescent="0.3">
      <c r="A143" t="s">
        <v>866</v>
      </c>
      <c r="B143" t="s">
        <v>863</v>
      </c>
      <c r="C143" t="s">
        <v>864</v>
      </c>
      <c r="D143" t="s">
        <v>829</v>
      </c>
      <c r="E143" t="s">
        <v>470</v>
      </c>
      <c r="F143" t="s">
        <v>490</v>
      </c>
      <c r="G143" t="str">
        <f>_xlfn.TEXTJOIN("|",FALSE,Goldcopy_cons[[#This Row],[Entity]],Goldcopy_cons[[#This Row],[DEV SB ID]])</f>
        <v>Epic|Wbs135</v>
      </c>
      <c r="H143" t="s">
        <v>865</v>
      </c>
      <c r="I143" t="s">
        <v>19</v>
      </c>
      <c r="J143" t="s">
        <v>19</v>
      </c>
      <c r="K143" t="s">
        <v>3453</v>
      </c>
      <c r="M143" t="s">
        <v>333</v>
      </c>
      <c r="N143" t="s">
        <v>334</v>
      </c>
      <c r="O143" t="s">
        <v>363</v>
      </c>
      <c r="P143" t="s">
        <v>539</v>
      </c>
      <c r="Q143" t="s">
        <v>32</v>
      </c>
      <c r="R143" t="s">
        <v>559</v>
      </c>
      <c r="T143" t="s">
        <v>540</v>
      </c>
    </row>
    <row r="144" spans="1:21" x14ac:dyDescent="0.3">
      <c r="A144" t="s">
        <v>866</v>
      </c>
      <c r="B144" t="s">
        <v>709</v>
      </c>
      <c r="C144" t="s">
        <v>710</v>
      </c>
      <c r="D144" t="s">
        <v>829</v>
      </c>
      <c r="E144" t="s">
        <v>42</v>
      </c>
      <c r="F144" t="s">
        <v>490</v>
      </c>
      <c r="G144" t="str">
        <f>_xlfn.TEXTJOIN("|",FALSE,Goldcopy_cons[[#This Row],[Entity]],Goldcopy_cons[[#This Row],[DEV SB ID]])</f>
        <v>Epic|Wbs136</v>
      </c>
      <c r="I144" t="s">
        <v>19</v>
      </c>
      <c r="J144" t="s">
        <v>19</v>
      </c>
      <c r="K144" t="s">
        <v>335</v>
      </c>
      <c r="M144" t="s">
        <v>336</v>
      </c>
      <c r="N144" t="s">
        <v>337</v>
      </c>
      <c r="O144" t="s">
        <v>363</v>
      </c>
      <c r="P144" t="s">
        <v>539</v>
      </c>
      <c r="Q144" t="s">
        <v>32</v>
      </c>
      <c r="R144" t="s">
        <v>711</v>
      </c>
      <c r="T144" t="s">
        <v>540</v>
      </c>
    </row>
    <row r="145" spans="1:20" x14ac:dyDescent="0.3">
      <c r="A145" t="s">
        <v>866</v>
      </c>
      <c r="B145" t="s">
        <v>709</v>
      </c>
      <c r="C145" t="s">
        <v>710</v>
      </c>
      <c r="D145" t="s">
        <v>829</v>
      </c>
      <c r="E145" t="s">
        <v>42</v>
      </c>
      <c r="F145" t="s">
        <v>490</v>
      </c>
      <c r="G145" t="str">
        <f>_xlfn.TEXTJOIN("|",FALSE,Goldcopy_cons[[#This Row],[Entity]],Goldcopy_cons[[#This Row],[DEV SB ID]])</f>
        <v>Epic|fdx_epic_epm_notes1</v>
      </c>
      <c r="I145" t="s">
        <v>19</v>
      </c>
      <c r="J145" t="s">
        <v>19</v>
      </c>
      <c r="K145" t="s">
        <v>1543</v>
      </c>
      <c r="M145" t="s">
        <v>339</v>
      </c>
      <c r="N145" t="s">
        <v>339</v>
      </c>
      <c r="O145" t="s">
        <v>18</v>
      </c>
      <c r="P145" t="s">
        <v>539</v>
      </c>
      <c r="T145" t="s">
        <v>540</v>
      </c>
    </row>
    <row r="146" spans="1:20" x14ac:dyDescent="0.3">
      <c r="A146" t="s">
        <v>866</v>
      </c>
      <c r="B146" t="s">
        <v>6087</v>
      </c>
      <c r="C146" t="s">
        <v>6088</v>
      </c>
      <c r="E146" t="s">
        <v>1984</v>
      </c>
      <c r="F146" t="s">
        <v>481</v>
      </c>
      <c r="G146" t="str">
        <f>_xlfn.TEXTJOIN("|",FALSE,Goldcopy_cons[[#This Row],[Entity]],Goldcopy_cons[[#This Row],[DEV SB ID]])</f>
        <v>Demand Bundle|</v>
      </c>
      <c r="H146" t="s">
        <v>6089</v>
      </c>
      <c r="I146" t="s">
        <v>33</v>
      </c>
      <c r="K146" t="s">
        <v>1982</v>
      </c>
      <c r="T146" t="s">
        <v>852</v>
      </c>
    </row>
    <row r="147" spans="1:20" x14ac:dyDescent="0.3">
      <c r="A147" t="s">
        <v>866</v>
      </c>
      <c r="B147" t="s">
        <v>6087</v>
      </c>
      <c r="C147" t="s">
        <v>6088</v>
      </c>
      <c r="E147" t="s">
        <v>1984</v>
      </c>
      <c r="F147" t="s">
        <v>481</v>
      </c>
      <c r="G147" t="str">
        <f>_xlfn.TEXTJOIN("|",FALSE,Goldcopy_cons[[#This Row],[Entity]],Goldcopy_cons[[#This Row],[DEV SB ID]])</f>
        <v>Demand Bundle|</v>
      </c>
      <c r="I147" t="s">
        <v>33</v>
      </c>
      <c r="K147" t="s">
        <v>1271</v>
      </c>
    </row>
    <row r="148" spans="1:20" x14ac:dyDescent="0.3">
      <c r="A148" t="s">
        <v>866</v>
      </c>
      <c r="B148" t="s">
        <v>867</v>
      </c>
      <c r="C148" t="s">
        <v>868</v>
      </c>
      <c r="D148" t="s">
        <v>829</v>
      </c>
      <c r="E148" t="s">
        <v>470</v>
      </c>
      <c r="F148" t="s">
        <v>490</v>
      </c>
      <c r="G148" t="str">
        <f>_xlfn.TEXTJOIN("|",FALSE,Goldcopy_cons[[#This Row],[Entity]],Goldcopy_cons[[#This Row],[DEV SB ID]])</f>
        <v>Epic|</v>
      </c>
      <c r="H148" t="s">
        <v>6090</v>
      </c>
    </row>
    <row r="149" spans="1:20" x14ac:dyDescent="0.3">
      <c r="A149" t="s">
        <v>866</v>
      </c>
      <c r="B149" t="s">
        <v>867</v>
      </c>
      <c r="C149" t="s">
        <v>868</v>
      </c>
      <c r="D149" t="s">
        <v>829</v>
      </c>
      <c r="E149" t="s">
        <v>470</v>
      </c>
      <c r="F149" t="s">
        <v>490</v>
      </c>
      <c r="G149" t="str">
        <f>_xlfn.TEXTJOIN("|",FALSE,Goldcopy_cons[[#This Row],[Entity]],Goldcopy_cons[[#This Row],[DEV SB ID]])</f>
        <v>Epic|Wbs168</v>
      </c>
      <c r="I149" t="s">
        <v>19</v>
      </c>
      <c r="J149" t="s">
        <v>19</v>
      </c>
      <c r="K149" t="s">
        <v>3452</v>
      </c>
      <c r="N149" t="s">
        <v>509</v>
      </c>
      <c r="O149" t="s">
        <v>363</v>
      </c>
      <c r="P149" t="s">
        <v>539</v>
      </c>
      <c r="Q149" t="s">
        <v>32</v>
      </c>
      <c r="R149" t="s">
        <v>559</v>
      </c>
      <c r="T149" t="s">
        <v>540</v>
      </c>
    </row>
    <row r="150" spans="1:20" x14ac:dyDescent="0.3">
      <c r="A150" t="s">
        <v>866</v>
      </c>
      <c r="B150" t="s">
        <v>709</v>
      </c>
      <c r="C150" t="s">
        <v>510</v>
      </c>
      <c r="E150" t="s">
        <v>869</v>
      </c>
      <c r="F150" t="s">
        <v>490</v>
      </c>
      <c r="G150" t="str">
        <f>_xlfn.TEXTJOIN("|",FALSE,Goldcopy_cons[[#This Row],[Entity]],Goldcopy_cons[[#This Row],[DEV SB ID]])</f>
        <v>Epic|Wbs165</v>
      </c>
      <c r="H150" t="s">
        <v>871</v>
      </c>
      <c r="I150" t="s">
        <v>19</v>
      </c>
      <c r="J150" t="s">
        <v>19</v>
      </c>
      <c r="K150" t="s">
        <v>3445</v>
      </c>
      <c r="N150" t="s">
        <v>511</v>
      </c>
      <c r="O150" t="s">
        <v>363</v>
      </c>
      <c r="P150" t="s">
        <v>539</v>
      </c>
      <c r="Q150" t="s">
        <v>32</v>
      </c>
      <c r="R150" t="s">
        <v>870</v>
      </c>
      <c r="T150" t="s">
        <v>540</v>
      </c>
    </row>
    <row r="151" spans="1:20" x14ac:dyDescent="0.3">
      <c r="A151" t="s">
        <v>866</v>
      </c>
      <c r="B151" t="s">
        <v>709</v>
      </c>
      <c r="C151" t="s">
        <v>510</v>
      </c>
      <c r="E151" t="s">
        <v>869</v>
      </c>
      <c r="F151" t="s">
        <v>490</v>
      </c>
      <c r="G151" t="str">
        <f>_xlfn.TEXTJOIN("|",FALSE,Goldcopy_cons[[#This Row],[Entity]],Goldcopy_cons[[#This Row],[DEV SB ID]])</f>
        <v>Epic|fdx_epic_apprv_notes</v>
      </c>
      <c r="I151" t="s">
        <v>19</v>
      </c>
      <c r="J151" t="s">
        <v>19</v>
      </c>
      <c r="K151" t="s">
        <v>6091</v>
      </c>
      <c r="N151" t="s">
        <v>513</v>
      </c>
      <c r="O151" t="s">
        <v>18</v>
      </c>
      <c r="P151" t="s">
        <v>539</v>
      </c>
      <c r="T151" t="s">
        <v>540</v>
      </c>
    </row>
    <row r="152" spans="1:20" x14ac:dyDescent="0.3">
      <c r="A152" t="s">
        <v>866</v>
      </c>
      <c r="B152" t="s">
        <v>714</v>
      </c>
      <c r="C152" t="s">
        <v>715</v>
      </c>
      <c r="F152" t="s">
        <v>481</v>
      </c>
      <c r="G152" t="str">
        <f>_xlfn.TEXTJOIN("|",FALSE,Goldcopy_cons[[#This Row],[Entity]],Goldcopy_cons[[#This Row],[DEV SB ID]])</f>
        <v>Demand Bundle|</v>
      </c>
      <c r="H152" t="s">
        <v>6092</v>
      </c>
    </row>
    <row r="153" spans="1:20" x14ac:dyDescent="0.3">
      <c r="A153" t="s">
        <v>866</v>
      </c>
      <c r="B153" t="s">
        <v>714</v>
      </c>
      <c r="C153" t="s">
        <v>5935</v>
      </c>
      <c r="E153" t="s">
        <v>147</v>
      </c>
      <c r="F153" t="s">
        <v>490</v>
      </c>
      <c r="G153" t="str">
        <f>_xlfn.TEXTJOIN("|",FALSE,Goldcopy_cons[[#This Row],[Entity]],Goldcopy_cons[[#This Row],[DEV SB ID]])</f>
        <v>Epic|</v>
      </c>
      <c r="H153" t="s">
        <v>6093</v>
      </c>
    </row>
    <row r="154" spans="1:20" x14ac:dyDescent="0.3">
      <c r="A154" t="s">
        <v>866</v>
      </c>
      <c r="B154" t="s">
        <v>709</v>
      </c>
      <c r="C154" t="s">
        <v>717</v>
      </c>
      <c r="E154" t="s">
        <v>42</v>
      </c>
      <c r="F154" t="s">
        <v>490</v>
      </c>
      <c r="G154" t="str">
        <f>_xlfn.TEXTJOIN("|",FALSE,Goldcopy_cons[[#This Row],[Entity]],Goldcopy_cons[[#This Row],[DEV SB ID]])</f>
        <v>Epic|Wbs137</v>
      </c>
      <c r="I154" t="s">
        <v>19</v>
      </c>
      <c r="J154" t="s">
        <v>19</v>
      </c>
      <c r="K154" t="s">
        <v>346</v>
      </c>
      <c r="N154" t="s">
        <v>348</v>
      </c>
      <c r="O154" t="s">
        <v>363</v>
      </c>
      <c r="P154" t="s">
        <v>539</v>
      </c>
      <c r="Q154" t="s">
        <v>32</v>
      </c>
      <c r="R154" t="s">
        <v>711</v>
      </c>
      <c r="T154" t="s">
        <v>540</v>
      </c>
    </row>
    <row r="155" spans="1:20" x14ac:dyDescent="0.3">
      <c r="A155" t="s">
        <v>866</v>
      </c>
      <c r="B155" t="s">
        <v>709</v>
      </c>
      <c r="C155" t="s">
        <v>710</v>
      </c>
      <c r="D155" t="s">
        <v>829</v>
      </c>
      <c r="E155" t="s">
        <v>42</v>
      </c>
      <c r="F155" t="s">
        <v>490</v>
      </c>
      <c r="G155" t="str">
        <f>_xlfn.TEXTJOIN("|",FALSE,Goldcopy_cons[[#This Row],[Entity]],Goldcopy_cons[[#This Row],[DEV SB ID]])</f>
        <v>Epic|fdx_epic_epm_notes2</v>
      </c>
      <c r="I155" t="s">
        <v>19</v>
      </c>
      <c r="J155" t="s">
        <v>19</v>
      </c>
      <c r="K155" t="s">
        <v>1544</v>
      </c>
      <c r="N155" t="s">
        <v>1545</v>
      </c>
      <c r="O155" t="s">
        <v>18</v>
      </c>
      <c r="P155" t="s">
        <v>539</v>
      </c>
      <c r="T155" t="s">
        <v>540</v>
      </c>
    </row>
    <row r="156" spans="1:20" x14ac:dyDescent="0.3">
      <c r="A156" t="s">
        <v>866</v>
      </c>
      <c r="B156" t="s">
        <v>719</v>
      </c>
      <c r="C156" t="s">
        <v>719</v>
      </c>
      <c r="E156" t="s">
        <v>470</v>
      </c>
      <c r="F156" t="s">
        <v>490</v>
      </c>
      <c r="G156" t="str">
        <f>_xlfn.TEXTJOIN("|",FALSE,Goldcopy_cons[[#This Row],[Entity]],Goldcopy_cons[[#This Row],[DEV SB ID]])</f>
        <v>Epic|Wbs102</v>
      </c>
      <c r="H156" t="s">
        <v>872</v>
      </c>
      <c r="I156" t="s">
        <v>33</v>
      </c>
      <c r="J156" t="s">
        <v>33</v>
      </c>
      <c r="K156" t="s">
        <v>349</v>
      </c>
      <c r="L156" t="s">
        <v>350</v>
      </c>
      <c r="M156" t="s">
        <v>350</v>
      </c>
      <c r="N156" t="s">
        <v>350</v>
      </c>
      <c r="O156" t="s">
        <v>515</v>
      </c>
      <c r="P156" t="s">
        <v>539</v>
      </c>
      <c r="Q156" t="s">
        <v>32</v>
      </c>
      <c r="R156" t="s">
        <v>720</v>
      </c>
      <c r="S156" t="s">
        <v>6094</v>
      </c>
      <c r="T156" t="s">
        <v>540</v>
      </c>
    </row>
    <row r="157" spans="1:20" x14ac:dyDescent="0.3">
      <c r="A157" t="s">
        <v>866</v>
      </c>
      <c r="B157" t="s">
        <v>719</v>
      </c>
      <c r="C157" t="s">
        <v>719</v>
      </c>
      <c r="E157" t="s">
        <v>470</v>
      </c>
      <c r="F157" t="s">
        <v>490</v>
      </c>
      <c r="G157" t="str">
        <f>_xlfn.TEXTJOIN("|",FALSE,Goldcopy_cons[[#This Row],[Entity]],Goldcopy_cons[[#This Row],[DEV SB ID]])</f>
        <v>Epic|fdx_results</v>
      </c>
      <c r="I157" t="s">
        <v>33</v>
      </c>
      <c r="J157" t="s">
        <v>33</v>
      </c>
      <c r="K157" t="s">
        <v>352</v>
      </c>
      <c r="L157" t="s">
        <v>353</v>
      </c>
      <c r="M157" t="s">
        <v>353</v>
      </c>
      <c r="N157" t="s">
        <v>353</v>
      </c>
      <c r="O157" t="s">
        <v>18</v>
      </c>
      <c r="P157" t="s">
        <v>539</v>
      </c>
      <c r="S157" t="s">
        <v>6095</v>
      </c>
      <c r="T157" t="s">
        <v>540</v>
      </c>
    </row>
    <row r="158" spans="1:20" x14ac:dyDescent="0.3">
      <c r="B158" t="s">
        <v>873</v>
      </c>
      <c r="C158" t="s">
        <v>873</v>
      </c>
      <c r="E158" t="s">
        <v>38</v>
      </c>
      <c r="F158" t="s">
        <v>481</v>
      </c>
      <c r="G158" t="str">
        <f>_xlfn.TEXTJOIN("|",FALSE,Goldcopy_cons[[#This Row],[Entity]],Goldcopy_cons[[#This Row],[DEV SB ID]])</f>
        <v>Demand Bundle|Wbs159</v>
      </c>
      <c r="H158" t="s">
        <v>874</v>
      </c>
      <c r="K158" t="s">
        <v>517</v>
      </c>
      <c r="N158" t="s">
        <v>367</v>
      </c>
      <c r="O158" t="s">
        <v>515</v>
      </c>
      <c r="P158" t="s">
        <v>539</v>
      </c>
      <c r="Q158" t="s">
        <v>32</v>
      </c>
      <c r="R158" t="s">
        <v>572</v>
      </c>
      <c r="T158" t="s">
        <v>540</v>
      </c>
    </row>
    <row r="159" spans="1:20" x14ac:dyDescent="0.3">
      <c r="B159" t="s">
        <v>873</v>
      </c>
      <c r="C159" t="s">
        <v>873</v>
      </c>
      <c r="E159" t="s">
        <v>38</v>
      </c>
      <c r="F159" t="s">
        <v>481</v>
      </c>
      <c r="G159" t="str">
        <f>_xlfn.TEXTJOIN("|",FALSE,Goldcopy_cons[[#This Row],[Entity]],Goldcopy_cons[[#This Row],[DEV SB ID]])</f>
        <v>Demand Bundle|fdx_l4_bfin_apv_note</v>
      </c>
      <c r="H159" t="s">
        <v>874</v>
      </c>
      <c r="K159" t="s">
        <v>518</v>
      </c>
      <c r="N159" t="s">
        <v>369</v>
      </c>
      <c r="O159" t="s">
        <v>18</v>
      </c>
      <c r="P159" t="s">
        <v>539</v>
      </c>
      <c r="T159" t="s">
        <v>540</v>
      </c>
    </row>
    <row r="160" spans="1:20" x14ac:dyDescent="0.3">
      <c r="A160" t="s">
        <v>797</v>
      </c>
      <c r="B160" t="s">
        <v>875</v>
      </c>
      <c r="C160" t="s">
        <v>876</v>
      </c>
      <c r="E160" t="s">
        <v>470</v>
      </c>
      <c r="F160" t="s">
        <v>481</v>
      </c>
      <c r="G160" t="str">
        <f>_xlfn.TEXTJOIN("|",FALSE,Goldcopy_cons[[#This Row],[Entity]],Goldcopy_cons[[#This Row],[DEV SB ID]])</f>
        <v>Demand Bundle|Wbs167</v>
      </c>
      <c r="H160" t="s">
        <v>877</v>
      </c>
      <c r="I160" t="s">
        <v>19</v>
      </c>
      <c r="J160" t="s">
        <v>19</v>
      </c>
      <c r="K160" t="s">
        <v>519</v>
      </c>
      <c r="N160" t="s">
        <v>520</v>
      </c>
      <c r="O160" t="s">
        <v>515</v>
      </c>
      <c r="P160" t="s">
        <v>539</v>
      </c>
      <c r="Q160" t="s">
        <v>32</v>
      </c>
      <c r="R160" t="s">
        <v>720</v>
      </c>
      <c r="S160" t="s">
        <v>6094</v>
      </c>
      <c r="T160" t="s">
        <v>540</v>
      </c>
    </row>
    <row r="161" spans="1:20" x14ac:dyDescent="0.3">
      <c r="A161" t="s">
        <v>797</v>
      </c>
      <c r="B161" t="s">
        <v>875</v>
      </c>
      <c r="C161" t="s">
        <v>876</v>
      </c>
      <c r="E161" t="s">
        <v>470</v>
      </c>
      <c r="F161" t="s">
        <v>521</v>
      </c>
      <c r="G161" t="str">
        <f>_xlfn.TEXTJOIN("|",FALSE,Goldcopy_cons[[#This Row],[Entity]],Goldcopy_cons[[#This Row],[DEV SB ID]])</f>
        <v>Epic - TASK|Wbs102</v>
      </c>
      <c r="H161" t="s">
        <v>878</v>
      </c>
      <c r="I161" t="s">
        <v>33</v>
      </c>
      <c r="J161" t="s">
        <v>33</v>
      </c>
      <c r="K161" t="s">
        <v>522</v>
      </c>
      <c r="L161" t="s">
        <v>350</v>
      </c>
      <c r="M161" t="s">
        <v>350</v>
      </c>
      <c r="N161" t="s">
        <v>350</v>
      </c>
      <c r="O161" t="s">
        <v>515</v>
      </c>
      <c r="P161" t="s">
        <v>539</v>
      </c>
      <c r="Q161" t="s">
        <v>32</v>
      </c>
      <c r="R161" t="s">
        <v>720</v>
      </c>
      <c r="S161" t="s">
        <v>6094</v>
      </c>
      <c r="T161" t="s">
        <v>540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workbookViewId="0">
      <pane ySplit="1" topLeftCell="A2" activePane="bottomLeft" state="frozen"/>
      <selection pane="bottomLeft"/>
    </sheetView>
  </sheetViews>
  <sheetFormatPr defaultRowHeight="14.4" x14ac:dyDescent="0.3"/>
  <cols>
    <col min="1" max="1" width="45" customWidth="1"/>
    <col min="2" max="3" width="32" customWidth="1"/>
    <col min="4" max="5" width="24" customWidth="1"/>
    <col min="6" max="7" width="18" customWidth="1"/>
    <col min="8" max="8" width="22" customWidth="1"/>
    <col min="9" max="9" width="38" customWidth="1"/>
  </cols>
  <sheetData>
    <row r="1" spans="1:9" ht="30" customHeight="1" x14ac:dyDescent="0.3">
      <c r="A1" s="1" t="s">
        <v>879</v>
      </c>
      <c r="B1" s="1" t="s">
        <v>880</v>
      </c>
      <c r="C1" s="1" t="s">
        <v>881</v>
      </c>
      <c r="D1" s="1" t="s">
        <v>882</v>
      </c>
      <c r="E1" s="1" t="s">
        <v>883</v>
      </c>
      <c r="F1" s="1" t="s">
        <v>0</v>
      </c>
      <c r="G1" s="1" t="s">
        <v>884</v>
      </c>
      <c r="H1" s="1" t="s">
        <v>885</v>
      </c>
      <c r="I1" s="1" t="s">
        <v>478</v>
      </c>
    </row>
    <row r="2" spans="1:9" x14ac:dyDescent="0.3">
      <c r="A2" s="2" t="s">
        <v>886</v>
      </c>
      <c r="B2" s="2" t="s">
        <v>385</v>
      </c>
      <c r="C2" s="2" t="s">
        <v>480</v>
      </c>
      <c r="D2" s="2" t="s">
        <v>489</v>
      </c>
      <c r="E2" s="2" t="s">
        <v>516</v>
      </c>
      <c r="F2" s="2" t="s">
        <v>481</v>
      </c>
      <c r="G2" s="2" t="s">
        <v>887</v>
      </c>
      <c r="H2" s="2" t="s">
        <v>888</v>
      </c>
      <c r="I2" s="2" t="s">
        <v>889</v>
      </c>
    </row>
    <row r="3" spans="1:9" x14ac:dyDescent="0.3">
      <c r="A3" s="2" t="s">
        <v>890</v>
      </c>
      <c r="B3" s="2" t="s">
        <v>385</v>
      </c>
      <c r="C3" s="2" t="s">
        <v>480</v>
      </c>
      <c r="D3" s="2" t="s">
        <v>489</v>
      </c>
      <c r="E3" s="2" t="s">
        <v>516</v>
      </c>
      <c r="F3" s="2" t="s">
        <v>481</v>
      </c>
      <c r="G3" s="2" t="s">
        <v>887</v>
      </c>
      <c r="H3" s="2" t="s">
        <v>888</v>
      </c>
      <c r="I3" s="2" t="s">
        <v>891</v>
      </c>
    </row>
    <row r="4" spans="1:9" ht="27.6" x14ac:dyDescent="0.3">
      <c r="A4" s="2" t="s">
        <v>892</v>
      </c>
      <c r="B4" s="2" t="s">
        <v>385</v>
      </c>
      <c r="C4" s="2" t="s">
        <v>480</v>
      </c>
      <c r="D4" s="2" t="s">
        <v>489</v>
      </c>
      <c r="E4" s="2" t="s">
        <v>516</v>
      </c>
      <c r="F4" s="2" t="s">
        <v>481</v>
      </c>
      <c r="G4" s="2" t="s">
        <v>887</v>
      </c>
      <c r="H4" s="2" t="s">
        <v>888</v>
      </c>
      <c r="I4" s="2"/>
    </row>
    <row r="5" spans="1:9" x14ac:dyDescent="0.3">
      <c r="A5" s="2" t="s">
        <v>893</v>
      </c>
      <c r="B5" s="2" t="s">
        <v>14</v>
      </c>
      <c r="C5" s="2" t="s">
        <v>118</v>
      </c>
      <c r="D5" s="2" t="s">
        <v>292</v>
      </c>
      <c r="E5" s="2" t="s">
        <v>359</v>
      </c>
      <c r="F5" s="2" t="s">
        <v>145</v>
      </c>
      <c r="G5" s="2" t="s">
        <v>5</v>
      </c>
      <c r="H5" s="2"/>
      <c r="I5" s="2"/>
    </row>
    <row r="6" spans="1:9" ht="27.6" x14ac:dyDescent="0.3">
      <c r="A6" s="2" t="s">
        <v>892</v>
      </c>
      <c r="B6" s="2" t="s">
        <v>385</v>
      </c>
      <c r="C6" s="2" t="s">
        <v>480</v>
      </c>
      <c r="D6" s="2" t="s">
        <v>489</v>
      </c>
      <c r="E6" s="2" t="s">
        <v>516</v>
      </c>
      <c r="F6" s="2" t="s">
        <v>481</v>
      </c>
      <c r="G6" s="2" t="s">
        <v>887</v>
      </c>
      <c r="H6" s="2" t="s">
        <v>888</v>
      </c>
      <c r="I6" s="2"/>
    </row>
    <row r="7" spans="1:9" x14ac:dyDescent="0.3">
      <c r="A7" s="2" t="s">
        <v>890</v>
      </c>
      <c r="B7" s="2" t="s">
        <v>385</v>
      </c>
      <c r="C7" s="2" t="s">
        <v>480</v>
      </c>
      <c r="D7" s="2" t="s">
        <v>489</v>
      </c>
      <c r="E7" s="2" t="s">
        <v>516</v>
      </c>
      <c r="F7" s="2" t="s">
        <v>481</v>
      </c>
      <c r="G7" s="2" t="s">
        <v>887</v>
      </c>
      <c r="H7" s="2" t="s">
        <v>888</v>
      </c>
      <c r="I7" s="2"/>
    </row>
    <row r="8" spans="1:9" ht="27.6" x14ac:dyDescent="0.3">
      <c r="A8" s="2" t="s">
        <v>894</v>
      </c>
      <c r="B8" s="2" t="s">
        <v>385</v>
      </c>
      <c r="C8" s="2" t="s">
        <v>480</v>
      </c>
      <c r="D8" s="2" t="s">
        <v>489</v>
      </c>
      <c r="E8" s="2" t="s">
        <v>516</v>
      </c>
      <c r="F8" s="2" t="s">
        <v>481</v>
      </c>
      <c r="G8" s="2" t="s">
        <v>887</v>
      </c>
      <c r="H8" s="2" t="s">
        <v>888</v>
      </c>
      <c r="I8" s="2"/>
    </row>
    <row r="9" spans="1:9" x14ac:dyDescent="0.3">
      <c r="A9" s="2" t="s">
        <v>895</v>
      </c>
      <c r="B9" s="2" t="s">
        <v>14</v>
      </c>
      <c r="C9" s="2" t="s">
        <v>118</v>
      </c>
      <c r="D9" s="2" t="s">
        <v>354</v>
      </c>
      <c r="E9" s="2" t="s">
        <v>359</v>
      </c>
      <c r="F9" s="2" t="s">
        <v>145</v>
      </c>
      <c r="G9" s="2" t="s">
        <v>5</v>
      </c>
      <c r="H9" s="2"/>
      <c r="I9" s="2"/>
    </row>
    <row r="10" spans="1:9" x14ac:dyDescent="0.3">
      <c r="A10" s="2" t="s">
        <v>896</v>
      </c>
      <c r="B10" s="2" t="s">
        <v>14</v>
      </c>
      <c r="C10" s="2" t="s">
        <v>118</v>
      </c>
      <c r="D10" s="2" t="s">
        <v>292</v>
      </c>
      <c r="E10" s="2" t="s">
        <v>359</v>
      </c>
      <c r="F10" s="2" t="s">
        <v>145</v>
      </c>
      <c r="G10" s="2" t="s">
        <v>5</v>
      </c>
      <c r="H10" s="2"/>
      <c r="I10" s="2"/>
    </row>
    <row r="11" spans="1:9" x14ac:dyDescent="0.3">
      <c r="A11" s="2" t="s">
        <v>897</v>
      </c>
      <c r="B11" s="2" t="s">
        <v>14</v>
      </c>
      <c r="C11" s="2" t="s">
        <v>118</v>
      </c>
      <c r="D11" s="2" t="s">
        <v>292</v>
      </c>
      <c r="E11" s="2" t="s">
        <v>359</v>
      </c>
      <c r="F11" s="2" t="s">
        <v>145</v>
      </c>
      <c r="G11" s="2" t="s">
        <v>5</v>
      </c>
      <c r="H11" s="2"/>
      <c r="I11" s="2"/>
    </row>
    <row r="12" spans="1:9" x14ac:dyDescent="0.3">
      <c r="A12" s="2" t="s">
        <v>893</v>
      </c>
      <c r="B12" s="2" t="s">
        <v>14</v>
      </c>
      <c r="C12" s="2" t="s">
        <v>118</v>
      </c>
      <c r="D12" s="2" t="s">
        <v>292</v>
      </c>
      <c r="E12" s="2" t="s">
        <v>359</v>
      </c>
      <c r="F12" s="2" t="s">
        <v>145</v>
      </c>
      <c r="G12" s="2" t="s">
        <v>5</v>
      </c>
      <c r="H12" s="2"/>
      <c r="I12" s="2"/>
    </row>
  </sheetData>
  <autoFilter ref="A1:I12" xr:uid="{00000000-0009-0000-0000-000005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6"/>
  <sheetViews>
    <sheetView workbookViewId="0">
      <pane ySplit="1" topLeftCell="A26" activePane="bottomLeft" state="frozen"/>
      <selection pane="bottomLeft"/>
    </sheetView>
  </sheetViews>
  <sheetFormatPr defaultRowHeight="14.4" x14ac:dyDescent="0.3"/>
  <cols>
    <col min="1" max="1" width="18" customWidth="1"/>
    <col min="2" max="2" width="24" customWidth="1"/>
    <col min="3" max="4" width="50" customWidth="1"/>
    <col min="5" max="5" width="28" customWidth="1"/>
    <col min="6" max="6" width="22" customWidth="1"/>
    <col min="7" max="7" width="32" customWidth="1"/>
    <col min="8" max="8" width="26" customWidth="1"/>
    <col min="9" max="9" width="24" customWidth="1"/>
    <col min="10" max="10" width="22" customWidth="1"/>
    <col min="11" max="11" width="60" customWidth="1"/>
    <col min="12" max="12" width="40" customWidth="1"/>
  </cols>
  <sheetData>
    <row r="1" spans="1:12" ht="30" customHeight="1" x14ac:dyDescent="0.3">
      <c r="A1" s="1" t="s">
        <v>900</v>
      </c>
      <c r="B1" s="1" t="s">
        <v>6</v>
      </c>
      <c r="C1" s="1" t="s">
        <v>901</v>
      </c>
      <c r="D1" s="1" t="s">
        <v>898</v>
      </c>
      <c r="E1" s="1" t="s">
        <v>0</v>
      </c>
      <c r="F1" s="1" t="s">
        <v>902</v>
      </c>
      <c r="G1" s="1" t="s">
        <v>903</v>
      </c>
      <c r="H1" s="1" t="s">
        <v>904</v>
      </c>
      <c r="I1" s="1" t="s">
        <v>905</v>
      </c>
      <c r="J1" s="1" t="s">
        <v>906</v>
      </c>
      <c r="K1" s="1" t="s">
        <v>907</v>
      </c>
      <c r="L1" s="1" t="s">
        <v>899</v>
      </c>
    </row>
    <row r="2" spans="1:12" ht="55.2" x14ac:dyDescent="0.3">
      <c r="A2" s="2" t="s">
        <v>908</v>
      </c>
      <c r="B2" s="2" t="s">
        <v>909</v>
      </c>
      <c r="C2" s="2" t="s">
        <v>910</v>
      </c>
      <c r="D2" s="2" t="s">
        <v>911</v>
      </c>
      <c r="E2" s="2" t="s">
        <v>912</v>
      </c>
      <c r="F2" s="2" t="s">
        <v>913</v>
      </c>
      <c r="G2" s="2" t="s">
        <v>914</v>
      </c>
      <c r="H2" s="2" t="s">
        <v>915</v>
      </c>
      <c r="I2" s="2" t="s">
        <v>916</v>
      </c>
      <c r="J2" s="2" t="s">
        <v>917</v>
      </c>
      <c r="K2" s="2" t="s">
        <v>918</v>
      </c>
      <c r="L2" s="2" t="s">
        <v>919</v>
      </c>
    </row>
    <row r="3" spans="1:12" ht="55.2" x14ac:dyDescent="0.3">
      <c r="A3" s="2" t="s">
        <v>920</v>
      </c>
      <c r="B3" s="2" t="s">
        <v>909</v>
      </c>
      <c r="C3" s="2" t="s">
        <v>921</v>
      </c>
      <c r="D3" s="2" t="s">
        <v>922</v>
      </c>
      <c r="E3" s="2" t="s">
        <v>912</v>
      </c>
      <c r="F3" s="2" t="s">
        <v>913</v>
      </c>
      <c r="G3" s="2" t="s">
        <v>923</v>
      </c>
      <c r="H3" s="2" t="s">
        <v>915</v>
      </c>
      <c r="I3" s="2" t="s">
        <v>916</v>
      </c>
      <c r="J3" s="2" t="s">
        <v>917</v>
      </c>
      <c r="K3" s="2" t="s">
        <v>918</v>
      </c>
      <c r="L3" s="2" t="s">
        <v>924</v>
      </c>
    </row>
    <row r="4" spans="1:12" ht="55.2" x14ac:dyDescent="0.3">
      <c r="A4" s="2" t="s">
        <v>925</v>
      </c>
      <c r="B4" s="2" t="s">
        <v>909</v>
      </c>
      <c r="C4" s="2" t="s">
        <v>926</v>
      </c>
      <c r="D4" s="2" t="s">
        <v>927</v>
      </c>
      <c r="E4" s="2" t="s">
        <v>928</v>
      </c>
      <c r="F4" s="2" t="s">
        <v>929</v>
      </c>
      <c r="G4" s="2" t="s">
        <v>923</v>
      </c>
      <c r="H4" s="2" t="s">
        <v>915</v>
      </c>
      <c r="I4" s="2" t="s">
        <v>916</v>
      </c>
      <c r="J4" s="2" t="s">
        <v>930</v>
      </c>
      <c r="K4" s="2" t="s">
        <v>931</v>
      </c>
      <c r="L4" s="2" t="s">
        <v>932</v>
      </c>
    </row>
    <row r="5" spans="1:12" ht="55.2" x14ac:dyDescent="0.3">
      <c r="A5" s="2" t="s">
        <v>933</v>
      </c>
      <c r="B5" s="2" t="s">
        <v>909</v>
      </c>
      <c r="C5" s="2" t="s">
        <v>934</v>
      </c>
      <c r="D5" s="2" t="s">
        <v>935</v>
      </c>
      <c r="E5" s="2" t="s">
        <v>936</v>
      </c>
      <c r="F5" s="2" t="s">
        <v>929</v>
      </c>
      <c r="G5" s="2" t="s">
        <v>923</v>
      </c>
      <c r="H5" s="2" t="s">
        <v>915</v>
      </c>
      <c r="I5" s="2" t="s">
        <v>916</v>
      </c>
      <c r="J5" s="2" t="s">
        <v>930</v>
      </c>
      <c r="K5" s="2" t="s">
        <v>937</v>
      </c>
      <c r="L5" s="2" t="s">
        <v>932</v>
      </c>
    </row>
    <row r="6" spans="1:12" ht="55.2" x14ac:dyDescent="0.3">
      <c r="A6" s="2" t="s">
        <v>938</v>
      </c>
      <c r="B6" s="2" t="s">
        <v>909</v>
      </c>
      <c r="C6" s="2" t="s">
        <v>939</v>
      </c>
      <c r="D6" s="2" t="s">
        <v>940</v>
      </c>
      <c r="E6" s="2" t="s">
        <v>490</v>
      </c>
      <c r="F6" s="2" t="s">
        <v>941</v>
      </c>
      <c r="G6" s="2" t="s">
        <v>942</v>
      </c>
      <c r="H6" s="2" t="s">
        <v>915</v>
      </c>
      <c r="I6" s="2" t="s">
        <v>916</v>
      </c>
      <c r="J6" s="2" t="s">
        <v>34</v>
      </c>
      <c r="K6" s="2" t="s">
        <v>943</v>
      </c>
      <c r="L6" s="2" t="s">
        <v>944</v>
      </c>
    </row>
    <row r="7" spans="1:12" ht="55.2" x14ac:dyDescent="0.3">
      <c r="A7" s="2" t="s">
        <v>945</v>
      </c>
      <c r="B7" s="2" t="s">
        <v>909</v>
      </c>
      <c r="C7" s="2" t="s">
        <v>946</v>
      </c>
      <c r="D7" s="2" t="s">
        <v>947</v>
      </c>
      <c r="E7" s="2" t="s">
        <v>490</v>
      </c>
      <c r="F7" s="2" t="s">
        <v>941</v>
      </c>
      <c r="G7" s="2" t="s">
        <v>948</v>
      </c>
      <c r="H7" s="2" t="s">
        <v>915</v>
      </c>
      <c r="I7" s="2" t="s">
        <v>916</v>
      </c>
      <c r="J7" s="2" t="s">
        <v>34</v>
      </c>
      <c r="K7" s="2" t="s">
        <v>949</v>
      </c>
      <c r="L7" s="2"/>
    </row>
    <row r="8" spans="1:12" ht="41.4" x14ac:dyDescent="0.3">
      <c r="A8" s="2" t="s">
        <v>950</v>
      </c>
      <c r="B8" s="2" t="s">
        <v>909</v>
      </c>
      <c r="C8" s="2" t="s">
        <v>951</v>
      </c>
      <c r="D8" s="2" t="s">
        <v>952</v>
      </c>
      <c r="E8" s="2" t="s">
        <v>490</v>
      </c>
      <c r="F8" s="2" t="s">
        <v>953</v>
      </c>
      <c r="G8" s="2"/>
      <c r="H8" s="2" t="s">
        <v>915</v>
      </c>
      <c r="I8" s="2" t="s">
        <v>916</v>
      </c>
      <c r="J8" s="2" t="s">
        <v>917</v>
      </c>
      <c r="K8" s="2" t="s">
        <v>954</v>
      </c>
      <c r="L8" s="2"/>
    </row>
    <row r="9" spans="1:12" ht="41.4" x14ac:dyDescent="0.3">
      <c r="A9" s="2" t="s">
        <v>955</v>
      </c>
      <c r="B9" s="2" t="s">
        <v>909</v>
      </c>
      <c r="C9" s="2" t="s">
        <v>956</v>
      </c>
      <c r="D9" s="2" t="s">
        <v>957</v>
      </c>
      <c r="E9" s="2" t="s">
        <v>490</v>
      </c>
      <c r="F9" s="2" t="s">
        <v>958</v>
      </c>
      <c r="G9" s="2"/>
      <c r="H9" s="2" t="s">
        <v>915</v>
      </c>
      <c r="I9" s="2" t="s">
        <v>916</v>
      </c>
      <c r="J9" s="2" t="s">
        <v>37</v>
      </c>
      <c r="K9" s="2" t="s">
        <v>959</v>
      </c>
      <c r="L9" s="2"/>
    </row>
    <row r="10" spans="1:12" ht="41.4" x14ac:dyDescent="0.3">
      <c r="A10" s="2" t="s">
        <v>960</v>
      </c>
      <c r="B10" s="2" t="s">
        <v>909</v>
      </c>
      <c r="C10" s="2"/>
      <c r="D10" s="2" t="s">
        <v>961</v>
      </c>
      <c r="E10" s="2"/>
      <c r="F10" s="2" t="s">
        <v>929</v>
      </c>
      <c r="G10" s="2" t="s">
        <v>914</v>
      </c>
      <c r="H10" s="2" t="s">
        <v>915</v>
      </c>
      <c r="I10" s="2" t="s">
        <v>916</v>
      </c>
      <c r="J10" s="2" t="s">
        <v>34</v>
      </c>
      <c r="K10" s="2"/>
      <c r="L10" s="2"/>
    </row>
    <row r="11" spans="1:12" ht="55.2" x14ac:dyDescent="0.3">
      <c r="A11" s="2" t="s">
        <v>962</v>
      </c>
      <c r="B11" s="2" t="s">
        <v>909</v>
      </c>
      <c r="C11" s="2" t="s">
        <v>963</v>
      </c>
      <c r="D11" s="2" t="s">
        <v>964</v>
      </c>
      <c r="E11" s="2" t="s">
        <v>965</v>
      </c>
      <c r="F11" s="2" t="s">
        <v>929</v>
      </c>
      <c r="G11" s="2" t="s">
        <v>914</v>
      </c>
      <c r="H11" s="2" t="s">
        <v>915</v>
      </c>
      <c r="I11" s="2" t="s">
        <v>916</v>
      </c>
      <c r="J11" s="2" t="s">
        <v>930</v>
      </c>
      <c r="K11" s="2" t="s">
        <v>966</v>
      </c>
      <c r="L11" s="2" t="s">
        <v>932</v>
      </c>
    </row>
    <row r="12" spans="1:12" ht="27.6" x14ac:dyDescent="0.3">
      <c r="A12" s="2" t="s">
        <v>967</v>
      </c>
      <c r="B12" s="2" t="s">
        <v>909</v>
      </c>
      <c r="C12" s="2"/>
      <c r="D12" s="2" t="s">
        <v>968</v>
      </c>
      <c r="E12" s="2"/>
      <c r="F12" s="2" t="s">
        <v>941</v>
      </c>
      <c r="G12" s="2"/>
      <c r="H12" s="2" t="s">
        <v>915</v>
      </c>
      <c r="I12" s="2" t="s">
        <v>916</v>
      </c>
      <c r="J12" s="2" t="s">
        <v>34</v>
      </c>
      <c r="K12" s="2"/>
      <c r="L12" s="2"/>
    </row>
    <row r="13" spans="1:12" ht="55.2" x14ac:dyDescent="0.3">
      <c r="A13" s="2" t="s">
        <v>969</v>
      </c>
      <c r="B13" s="2" t="s">
        <v>909</v>
      </c>
      <c r="C13" s="2" t="s">
        <v>970</v>
      </c>
      <c r="D13" s="2" t="s">
        <v>971</v>
      </c>
      <c r="E13" s="2" t="s">
        <v>490</v>
      </c>
      <c r="F13" s="2" t="s">
        <v>941</v>
      </c>
      <c r="G13" s="2" t="s">
        <v>972</v>
      </c>
      <c r="H13" s="2" t="s">
        <v>915</v>
      </c>
      <c r="I13" s="2" t="s">
        <v>916</v>
      </c>
      <c r="J13" s="2" t="s">
        <v>34</v>
      </c>
      <c r="K13" s="2" t="s">
        <v>973</v>
      </c>
      <c r="L13" s="2" t="s">
        <v>974</v>
      </c>
    </row>
    <row r="14" spans="1:12" ht="55.2" x14ac:dyDescent="0.3">
      <c r="A14" s="2" t="s">
        <v>975</v>
      </c>
      <c r="B14" s="2" t="s">
        <v>976</v>
      </c>
      <c r="C14" s="2" t="s">
        <v>910</v>
      </c>
      <c r="D14" s="2" t="s">
        <v>977</v>
      </c>
      <c r="E14" s="2" t="s">
        <v>978</v>
      </c>
      <c r="F14" s="2" t="s">
        <v>913</v>
      </c>
      <c r="G14" s="2" t="s">
        <v>979</v>
      </c>
      <c r="H14" s="2" t="s">
        <v>915</v>
      </c>
      <c r="I14" s="2" t="s">
        <v>916</v>
      </c>
      <c r="J14" s="2" t="s">
        <v>917</v>
      </c>
      <c r="K14" s="2" t="s">
        <v>918</v>
      </c>
      <c r="L14" s="2" t="s">
        <v>919</v>
      </c>
    </row>
    <row r="15" spans="1:12" ht="55.2" x14ac:dyDescent="0.3">
      <c r="A15" s="2" t="s">
        <v>980</v>
      </c>
      <c r="B15" s="2" t="s">
        <v>976</v>
      </c>
      <c r="C15" s="2" t="s">
        <v>921</v>
      </c>
      <c r="D15" s="2" t="s">
        <v>981</v>
      </c>
      <c r="E15" s="2" t="s">
        <v>978</v>
      </c>
      <c r="F15" s="2" t="s">
        <v>913</v>
      </c>
      <c r="G15" s="2" t="s">
        <v>982</v>
      </c>
      <c r="H15" s="2" t="s">
        <v>915</v>
      </c>
      <c r="I15" s="2" t="s">
        <v>916</v>
      </c>
      <c r="J15" s="2" t="s">
        <v>917</v>
      </c>
      <c r="K15" s="2" t="s">
        <v>918</v>
      </c>
      <c r="L15" s="2" t="s">
        <v>924</v>
      </c>
    </row>
    <row r="16" spans="1:12" ht="55.2" x14ac:dyDescent="0.3">
      <c r="A16" s="2" t="s">
        <v>983</v>
      </c>
      <c r="B16" s="2" t="s">
        <v>976</v>
      </c>
      <c r="C16" s="2" t="s">
        <v>926</v>
      </c>
      <c r="D16" s="2" t="s">
        <v>984</v>
      </c>
      <c r="E16" s="2" t="s">
        <v>985</v>
      </c>
      <c r="F16" s="2" t="s">
        <v>929</v>
      </c>
      <c r="G16" s="2" t="s">
        <v>982</v>
      </c>
      <c r="H16" s="2" t="s">
        <v>915</v>
      </c>
      <c r="I16" s="2" t="s">
        <v>916</v>
      </c>
      <c r="J16" s="2" t="s">
        <v>930</v>
      </c>
      <c r="K16" s="2" t="s">
        <v>931</v>
      </c>
      <c r="L16" s="2" t="s">
        <v>932</v>
      </c>
    </row>
    <row r="17" spans="1:12" ht="69" x14ac:dyDescent="0.3">
      <c r="A17" s="2" t="s">
        <v>986</v>
      </c>
      <c r="B17" s="2" t="s">
        <v>976</v>
      </c>
      <c r="C17" s="2" t="s">
        <v>934</v>
      </c>
      <c r="D17" s="2" t="s">
        <v>987</v>
      </c>
      <c r="E17" s="2" t="s">
        <v>988</v>
      </c>
      <c r="F17" s="2" t="s">
        <v>929</v>
      </c>
      <c r="G17" s="2" t="s">
        <v>982</v>
      </c>
      <c r="H17" s="2" t="s">
        <v>915</v>
      </c>
      <c r="I17" s="2" t="s">
        <v>916</v>
      </c>
      <c r="J17" s="2" t="s">
        <v>930</v>
      </c>
      <c r="K17" s="2" t="s">
        <v>937</v>
      </c>
      <c r="L17" s="2" t="s">
        <v>932</v>
      </c>
    </row>
    <row r="18" spans="1:12" ht="55.2" x14ac:dyDescent="0.3">
      <c r="A18" s="2" t="s">
        <v>989</v>
      </c>
      <c r="B18" s="2" t="s">
        <v>976</v>
      </c>
      <c r="C18" s="2" t="s">
        <v>939</v>
      </c>
      <c r="D18" s="2" t="s">
        <v>940</v>
      </c>
      <c r="E18" s="2" t="s">
        <v>490</v>
      </c>
      <c r="F18" s="2" t="s">
        <v>941</v>
      </c>
      <c r="G18" s="2" t="s">
        <v>942</v>
      </c>
      <c r="H18" s="2" t="s">
        <v>915</v>
      </c>
      <c r="I18" s="2" t="s">
        <v>916</v>
      </c>
      <c r="J18" s="2" t="s">
        <v>34</v>
      </c>
      <c r="K18" s="2" t="s">
        <v>943</v>
      </c>
      <c r="L18" s="2" t="s">
        <v>944</v>
      </c>
    </row>
    <row r="19" spans="1:12" ht="55.2" x14ac:dyDescent="0.3">
      <c r="A19" s="2" t="s">
        <v>990</v>
      </c>
      <c r="B19" s="2" t="s">
        <v>976</v>
      </c>
      <c r="C19" s="2" t="s">
        <v>946</v>
      </c>
      <c r="D19" s="2" t="s">
        <v>947</v>
      </c>
      <c r="E19" s="2" t="s">
        <v>490</v>
      </c>
      <c r="F19" s="2" t="s">
        <v>941</v>
      </c>
      <c r="G19" s="2" t="s">
        <v>948</v>
      </c>
      <c r="H19" s="2" t="s">
        <v>915</v>
      </c>
      <c r="I19" s="2" t="s">
        <v>916</v>
      </c>
      <c r="J19" s="2" t="s">
        <v>34</v>
      </c>
      <c r="K19" s="2" t="s">
        <v>949</v>
      </c>
      <c r="L19" s="2"/>
    </row>
    <row r="20" spans="1:12" ht="41.4" x14ac:dyDescent="0.3">
      <c r="A20" s="2" t="s">
        <v>991</v>
      </c>
      <c r="B20" s="2" t="s">
        <v>976</v>
      </c>
      <c r="C20" s="2" t="s">
        <v>951</v>
      </c>
      <c r="D20" s="2" t="s">
        <v>952</v>
      </c>
      <c r="E20" s="2" t="s">
        <v>490</v>
      </c>
      <c r="F20" s="2" t="s">
        <v>953</v>
      </c>
      <c r="G20" s="2"/>
      <c r="H20" s="2" t="s">
        <v>915</v>
      </c>
      <c r="I20" s="2" t="s">
        <v>916</v>
      </c>
      <c r="J20" s="2" t="s">
        <v>917</v>
      </c>
      <c r="K20" s="2" t="s">
        <v>954</v>
      </c>
      <c r="L20" s="2"/>
    </row>
    <row r="21" spans="1:12" ht="41.4" x14ac:dyDescent="0.3">
      <c r="A21" s="2" t="s">
        <v>992</v>
      </c>
      <c r="B21" s="2" t="s">
        <v>976</v>
      </c>
      <c r="C21" s="2" t="s">
        <v>956</v>
      </c>
      <c r="D21" s="2" t="s">
        <v>957</v>
      </c>
      <c r="E21" s="2" t="s">
        <v>490</v>
      </c>
      <c r="F21" s="2" t="s">
        <v>958</v>
      </c>
      <c r="G21" s="2"/>
      <c r="H21" s="2" t="s">
        <v>915</v>
      </c>
      <c r="I21" s="2" t="s">
        <v>916</v>
      </c>
      <c r="J21" s="2" t="s">
        <v>37</v>
      </c>
      <c r="K21" s="2" t="s">
        <v>959</v>
      </c>
      <c r="L21" s="2"/>
    </row>
    <row r="22" spans="1:12" ht="41.4" x14ac:dyDescent="0.3">
      <c r="A22" s="2" t="s">
        <v>993</v>
      </c>
      <c r="B22" s="2" t="s">
        <v>976</v>
      </c>
      <c r="C22" s="2"/>
      <c r="D22" s="2" t="s">
        <v>994</v>
      </c>
      <c r="E22" s="2"/>
      <c r="F22" s="2" t="s">
        <v>929</v>
      </c>
      <c r="G22" s="2" t="s">
        <v>979</v>
      </c>
      <c r="H22" s="2" t="s">
        <v>915</v>
      </c>
      <c r="I22" s="2" t="s">
        <v>916</v>
      </c>
      <c r="J22" s="2" t="s">
        <v>34</v>
      </c>
      <c r="K22" s="2"/>
      <c r="L22" s="2"/>
    </row>
    <row r="23" spans="1:12" ht="55.2" x14ac:dyDescent="0.3">
      <c r="A23" s="2" t="s">
        <v>995</v>
      </c>
      <c r="B23" s="2" t="s">
        <v>976</v>
      </c>
      <c r="C23" s="2" t="s">
        <v>963</v>
      </c>
      <c r="D23" s="2" t="s">
        <v>996</v>
      </c>
      <c r="E23" s="2" t="s">
        <v>997</v>
      </c>
      <c r="F23" s="2" t="s">
        <v>929</v>
      </c>
      <c r="G23" s="2" t="s">
        <v>979</v>
      </c>
      <c r="H23" s="2" t="s">
        <v>915</v>
      </c>
      <c r="I23" s="2" t="s">
        <v>916</v>
      </c>
      <c r="J23" s="2" t="s">
        <v>930</v>
      </c>
      <c r="K23" s="2" t="s">
        <v>966</v>
      </c>
      <c r="L23" s="2" t="s">
        <v>932</v>
      </c>
    </row>
    <row r="24" spans="1:12" ht="27.6" x14ac:dyDescent="0.3">
      <c r="A24" s="2" t="s">
        <v>998</v>
      </c>
      <c r="B24" s="2" t="s">
        <v>976</v>
      </c>
      <c r="C24" s="2"/>
      <c r="D24" s="2" t="s">
        <v>968</v>
      </c>
      <c r="E24" s="2"/>
      <c r="F24" s="2" t="s">
        <v>941</v>
      </c>
      <c r="G24" s="2"/>
      <c r="H24" s="2" t="s">
        <v>915</v>
      </c>
      <c r="I24" s="2" t="s">
        <v>916</v>
      </c>
      <c r="J24" s="2" t="s">
        <v>34</v>
      </c>
      <c r="K24" s="2"/>
      <c r="L24" s="2"/>
    </row>
    <row r="25" spans="1:12" ht="82.8" x14ac:dyDescent="0.3">
      <c r="A25" s="2" t="s">
        <v>999</v>
      </c>
      <c r="B25" s="2" t="s">
        <v>1000</v>
      </c>
      <c r="C25" s="3" t="s">
        <v>1001</v>
      </c>
      <c r="D25" s="2" t="s">
        <v>1002</v>
      </c>
      <c r="E25" s="2" t="s">
        <v>1003</v>
      </c>
      <c r="F25" s="2" t="s">
        <v>913</v>
      </c>
      <c r="G25" s="2" t="s">
        <v>1004</v>
      </c>
      <c r="H25" s="2" t="s">
        <v>1005</v>
      </c>
      <c r="I25" s="2" t="s">
        <v>1006</v>
      </c>
      <c r="J25" s="2" t="s">
        <v>1007</v>
      </c>
      <c r="K25" s="2" t="s">
        <v>1008</v>
      </c>
      <c r="L25" s="2"/>
    </row>
    <row r="26" spans="1:12" ht="138" x14ac:dyDescent="0.3">
      <c r="A26" s="2" t="s">
        <v>1009</v>
      </c>
      <c r="B26" s="2" t="s">
        <v>1000</v>
      </c>
      <c r="C26" s="3" t="s">
        <v>1010</v>
      </c>
      <c r="D26" s="2" t="s">
        <v>1011</v>
      </c>
      <c r="E26" s="2" t="s">
        <v>1003</v>
      </c>
      <c r="F26" s="2" t="s">
        <v>913</v>
      </c>
      <c r="G26" s="2" t="s">
        <v>1012</v>
      </c>
      <c r="H26" s="2" t="s">
        <v>1005</v>
      </c>
      <c r="I26" s="2" t="s">
        <v>1006</v>
      </c>
      <c r="J26" s="2" t="s">
        <v>1013</v>
      </c>
      <c r="K26" s="2" t="s">
        <v>1014</v>
      </c>
      <c r="L26" s="2" t="s">
        <v>1015</v>
      </c>
    </row>
    <row r="27" spans="1:12" ht="82.8" x14ac:dyDescent="0.3">
      <c r="A27" s="2" t="s">
        <v>1016</v>
      </c>
      <c r="B27" s="2" t="s">
        <v>1000</v>
      </c>
      <c r="C27" s="3" t="s">
        <v>1017</v>
      </c>
      <c r="D27" s="2" t="s">
        <v>1018</v>
      </c>
      <c r="E27" s="2" t="s">
        <v>1003</v>
      </c>
      <c r="F27" s="2" t="s">
        <v>913</v>
      </c>
      <c r="G27" s="2" t="s">
        <v>1019</v>
      </c>
      <c r="H27" s="2" t="s">
        <v>1005</v>
      </c>
      <c r="I27" s="2" t="s">
        <v>1006</v>
      </c>
      <c r="J27" s="2" t="s">
        <v>1007</v>
      </c>
      <c r="K27" s="2" t="s">
        <v>1020</v>
      </c>
      <c r="L27" s="2" t="s">
        <v>1021</v>
      </c>
    </row>
    <row r="28" spans="1:12" ht="69" x14ac:dyDescent="0.3">
      <c r="A28" s="2" t="s">
        <v>1022</v>
      </c>
      <c r="B28" s="2" t="s">
        <v>1000</v>
      </c>
      <c r="C28" s="3" t="s">
        <v>1023</v>
      </c>
      <c r="D28" s="2" t="s">
        <v>1024</v>
      </c>
      <c r="E28" s="2" t="s">
        <v>1003</v>
      </c>
      <c r="F28" s="2" t="s">
        <v>913</v>
      </c>
      <c r="G28" s="2" t="s">
        <v>1025</v>
      </c>
      <c r="H28" s="2" t="s">
        <v>1005</v>
      </c>
      <c r="I28" s="2" t="s">
        <v>1006</v>
      </c>
      <c r="J28" s="2" t="s">
        <v>1007</v>
      </c>
      <c r="K28" s="2" t="s">
        <v>1026</v>
      </c>
      <c r="L28" s="2" t="s">
        <v>1027</v>
      </c>
    </row>
    <row r="29" spans="1:12" ht="41.4" x14ac:dyDescent="0.3">
      <c r="A29" s="2" t="s">
        <v>1028</v>
      </c>
      <c r="B29" s="2" t="s">
        <v>1000</v>
      </c>
      <c r="C29" s="2" t="s">
        <v>1029</v>
      </c>
      <c r="D29" s="2" t="s">
        <v>1030</v>
      </c>
      <c r="E29" s="2" t="s">
        <v>1031</v>
      </c>
      <c r="F29" s="2"/>
      <c r="G29" s="2" t="s">
        <v>1032</v>
      </c>
      <c r="H29" s="2" t="s">
        <v>1005</v>
      </c>
      <c r="I29" s="2" t="s">
        <v>1006</v>
      </c>
      <c r="J29" s="2" t="s">
        <v>1032</v>
      </c>
      <c r="K29" s="2" t="s">
        <v>1033</v>
      </c>
      <c r="L29" s="2"/>
    </row>
    <row r="30" spans="1:12" ht="55.2" x14ac:dyDescent="0.3">
      <c r="A30" s="2" t="s">
        <v>1034</v>
      </c>
      <c r="B30" s="2" t="s">
        <v>1000</v>
      </c>
      <c r="C30" s="2" t="s">
        <v>921</v>
      </c>
      <c r="D30" s="2" t="s">
        <v>1035</v>
      </c>
      <c r="E30" s="2" t="s">
        <v>1003</v>
      </c>
      <c r="F30" s="2" t="s">
        <v>913</v>
      </c>
      <c r="G30" s="2" t="s">
        <v>1036</v>
      </c>
      <c r="H30" s="2" t="s">
        <v>1005</v>
      </c>
      <c r="I30" s="2" t="s">
        <v>1006</v>
      </c>
      <c r="J30" s="2" t="s">
        <v>1037</v>
      </c>
      <c r="K30" s="2" t="s">
        <v>1038</v>
      </c>
      <c r="L30" s="2" t="s">
        <v>1039</v>
      </c>
    </row>
    <row r="31" spans="1:12" ht="41.4" x14ac:dyDescent="0.3">
      <c r="A31" s="2" t="s">
        <v>1040</v>
      </c>
      <c r="B31" s="2" t="s">
        <v>1000</v>
      </c>
      <c r="C31" s="2" t="s">
        <v>1041</v>
      </c>
      <c r="D31" s="2" t="s">
        <v>1030</v>
      </c>
      <c r="E31" s="2" t="s">
        <v>1031</v>
      </c>
      <c r="F31" s="2"/>
      <c r="G31" s="2" t="s">
        <v>1032</v>
      </c>
      <c r="H31" s="2" t="s">
        <v>1005</v>
      </c>
      <c r="I31" s="2" t="s">
        <v>1006</v>
      </c>
      <c r="J31" s="2" t="s">
        <v>1037</v>
      </c>
      <c r="K31" s="2" t="s">
        <v>1033</v>
      </c>
      <c r="L31" s="2"/>
    </row>
    <row r="32" spans="1:12" ht="55.2" x14ac:dyDescent="0.3">
      <c r="A32" s="2" t="s">
        <v>1042</v>
      </c>
      <c r="B32" s="2" t="s">
        <v>1000</v>
      </c>
      <c r="C32" s="3" t="s">
        <v>1043</v>
      </c>
      <c r="D32" s="2" t="s">
        <v>1044</v>
      </c>
      <c r="E32" s="2" t="s">
        <v>490</v>
      </c>
      <c r="F32" s="2" t="s">
        <v>941</v>
      </c>
      <c r="G32" s="2" t="s">
        <v>1025</v>
      </c>
      <c r="H32" s="2" t="s">
        <v>1005</v>
      </c>
      <c r="I32" s="2" t="s">
        <v>1006</v>
      </c>
      <c r="J32" s="2" t="s">
        <v>1007</v>
      </c>
      <c r="K32" s="2" t="s">
        <v>1045</v>
      </c>
      <c r="L32" s="2" t="s">
        <v>1046</v>
      </c>
    </row>
    <row r="33" spans="1:12" ht="55.2" x14ac:dyDescent="0.3">
      <c r="A33" s="2" t="s">
        <v>1047</v>
      </c>
      <c r="B33" s="2" t="s">
        <v>1000</v>
      </c>
      <c r="C33" s="3" t="s">
        <v>1043</v>
      </c>
      <c r="D33" s="2" t="s">
        <v>1048</v>
      </c>
      <c r="E33" s="2" t="s">
        <v>490</v>
      </c>
      <c r="F33" s="2" t="s">
        <v>941</v>
      </c>
      <c r="G33" s="2" t="s">
        <v>1012</v>
      </c>
      <c r="H33" s="2" t="s">
        <v>1005</v>
      </c>
      <c r="I33" s="2" t="s">
        <v>1006</v>
      </c>
      <c r="J33" s="2" t="s">
        <v>1007</v>
      </c>
      <c r="K33" s="2" t="s">
        <v>1049</v>
      </c>
      <c r="L33" s="2"/>
    </row>
    <row r="34" spans="1:12" ht="41.4" x14ac:dyDescent="0.3">
      <c r="A34" s="2" t="s">
        <v>1050</v>
      </c>
      <c r="B34" s="2" t="s">
        <v>1000</v>
      </c>
      <c r="C34" s="3" t="s">
        <v>1043</v>
      </c>
      <c r="D34" s="2" t="s">
        <v>1051</v>
      </c>
      <c r="E34" s="2" t="s">
        <v>490</v>
      </c>
      <c r="F34" s="2" t="s">
        <v>941</v>
      </c>
      <c r="G34" s="2" t="s">
        <v>1004</v>
      </c>
      <c r="H34" s="2" t="s">
        <v>1005</v>
      </c>
      <c r="I34" s="2" t="s">
        <v>1006</v>
      </c>
      <c r="J34" s="2" t="s">
        <v>1007</v>
      </c>
      <c r="K34" s="2" t="s">
        <v>1052</v>
      </c>
      <c r="L34" s="2"/>
    </row>
    <row r="35" spans="1:12" ht="41.4" x14ac:dyDescent="0.3">
      <c r="A35" s="2" t="s">
        <v>1053</v>
      </c>
      <c r="B35" s="2" t="s">
        <v>1000</v>
      </c>
      <c r="C35" s="3" t="s">
        <v>1043</v>
      </c>
      <c r="D35" s="2" t="s">
        <v>1054</v>
      </c>
      <c r="E35" s="2" t="s">
        <v>490</v>
      </c>
      <c r="F35" s="2" t="s">
        <v>941</v>
      </c>
      <c r="G35" s="2" t="s">
        <v>1019</v>
      </c>
      <c r="H35" s="2" t="s">
        <v>1005</v>
      </c>
      <c r="I35" s="2" t="s">
        <v>1006</v>
      </c>
      <c r="J35" s="2" t="s">
        <v>1007</v>
      </c>
      <c r="K35" s="2" t="s">
        <v>1055</v>
      </c>
      <c r="L35" s="2"/>
    </row>
    <row r="36" spans="1:12" ht="41.4" x14ac:dyDescent="0.3">
      <c r="A36" s="2" t="s">
        <v>1056</v>
      </c>
      <c r="B36" s="2" t="s">
        <v>1000</v>
      </c>
      <c r="C36" s="2" t="s">
        <v>1057</v>
      </c>
      <c r="D36" s="2" t="s">
        <v>1058</v>
      </c>
      <c r="E36" s="2"/>
      <c r="F36" s="2" t="s">
        <v>913</v>
      </c>
      <c r="G36" s="2" t="s">
        <v>1032</v>
      </c>
      <c r="H36" s="2" t="s">
        <v>1005</v>
      </c>
      <c r="I36" s="2" t="s">
        <v>1006</v>
      </c>
      <c r="J36" s="2" t="s">
        <v>1032</v>
      </c>
      <c r="K36" s="2" t="s">
        <v>1059</v>
      </c>
      <c r="L36" s="2"/>
    </row>
    <row r="37" spans="1:12" ht="55.2" x14ac:dyDescent="0.3">
      <c r="A37" s="2" t="s">
        <v>1060</v>
      </c>
      <c r="B37" s="2" t="s">
        <v>1000</v>
      </c>
      <c r="C37" s="2" t="s">
        <v>1061</v>
      </c>
      <c r="D37" s="2" t="s">
        <v>1062</v>
      </c>
      <c r="E37" s="2" t="s">
        <v>1003</v>
      </c>
      <c r="F37" s="2" t="s">
        <v>913</v>
      </c>
      <c r="G37" s="2" t="s">
        <v>889</v>
      </c>
      <c r="H37" s="2" t="s">
        <v>1005</v>
      </c>
      <c r="I37" s="2" t="s">
        <v>1006</v>
      </c>
      <c r="J37" s="2" t="s">
        <v>1007</v>
      </c>
      <c r="K37" s="2" t="s">
        <v>1063</v>
      </c>
      <c r="L37" s="2"/>
    </row>
    <row r="38" spans="1:12" ht="55.2" x14ac:dyDescent="0.3">
      <c r="A38" s="2" t="s">
        <v>1064</v>
      </c>
      <c r="B38" s="2" t="s">
        <v>1000</v>
      </c>
      <c r="C38" s="2" t="s">
        <v>1061</v>
      </c>
      <c r="D38" s="2" t="s">
        <v>1065</v>
      </c>
      <c r="E38" s="2" t="s">
        <v>490</v>
      </c>
      <c r="F38" s="2" t="s">
        <v>941</v>
      </c>
      <c r="G38" s="2" t="s">
        <v>1066</v>
      </c>
      <c r="H38" s="2" t="s">
        <v>1005</v>
      </c>
      <c r="I38" s="2" t="s">
        <v>1006</v>
      </c>
      <c r="J38" s="2" t="s">
        <v>1007</v>
      </c>
      <c r="K38" s="2" t="s">
        <v>1067</v>
      </c>
      <c r="L38" s="2"/>
    </row>
    <row r="39" spans="1:12" ht="41.4" x14ac:dyDescent="0.3">
      <c r="A39" s="2" t="s">
        <v>1068</v>
      </c>
      <c r="B39" s="2" t="s">
        <v>1000</v>
      </c>
      <c r="C39" s="2" t="s">
        <v>1069</v>
      </c>
      <c r="D39" s="2" t="s">
        <v>1030</v>
      </c>
      <c r="E39" s="2" t="s">
        <v>1031</v>
      </c>
      <c r="F39" s="2"/>
      <c r="G39" s="2" t="s">
        <v>1032</v>
      </c>
      <c r="H39" s="2" t="s">
        <v>1005</v>
      </c>
      <c r="I39" s="2" t="s">
        <v>1006</v>
      </c>
      <c r="J39" s="2" t="s">
        <v>1007</v>
      </c>
      <c r="K39" s="2" t="s">
        <v>1070</v>
      </c>
      <c r="L39" s="2"/>
    </row>
    <row r="40" spans="1:12" ht="69" x14ac:dyDescent="0.3">
      <c r="A40" s="2" t="s">
        <v>1071</v>
      </c>
      <c r="B40" s="2" t="s">
        <v>1000</v>
      </c>
      <c r="C40" s="3" t="s">
        <v>1072</v>
      </c>
      <c r="D40" s="2" t="s">
        <v>1002</v>
      </c>
      <c r="E40" s="2" t="s">
        <v>1003</v>
      </c>
      <c r="F40" s="2" t="s">
        <v>913</v>
      </c>
      <c r="G40" s="2" t="s">
        <v>1004</v>
      </c>
      <c r="H40" s="2" t="s">
        <v>1005</v>
      </c>
      <c r="I40" s="2" t="s">
        <v>1006</v>
      </c>
      <c r="J40" s="2" t="s">
        <v>1013</v>
      </c>
      <c r="K40" s="2" t="s">
        <v>1073</v>
      </c>
      <c r="L40" s="2"/>
    </row>
    <row r="41" spans="1:12" ht="55.2" x14ac:dyDescent="0.3">
      <c r="A41" s="2" t="s">
        <v>1074</v>
      </c>
      <c r="B41" s="2" t="s">
        <v>1000</v>
      </c>
      <c r="C41" s="2" t="s">
        <v>1075</v>
      </c>
      <c r="D41" s="2" t="s">
        <v>1076</v>
      </c>
      <c r="E41" s="2" t="s">
        <v>490</v>
      </c>
      <c r="F41" s="2" t="s">
        <v>941</v>
      </c>
      <c r="G41" s="2" t="s">
        <v>1077</v>
      </c>
      <c r="H41" s="2" t="s">
        <v>1005</v>
      </c>
      <c r="I41" s="2" t="s">
        <v>1006</v>
      </c>
      <c r="J41" s="2" t="s">
        <v>1013</v>
      </c>
      <c r="K41" s="2" t="s">
        <v>1067</v>
      </c>
      <c r="L41" s="2"/>
    </row>
    <row r="42" spans="1:12" ht="82.8" x14ac:dyDescent="0.3">
      <c r="A42" s="2" t="s">
        <v>1078</v>
      </c>
      <c r="B42" s="2" t="s">
        <v>1000</v>
      </c>
      <c r="C42" s="3" t="s">
        <v>1079</v>
      </c>
      <c r="D42" s="2" t="s">
        <v>1011</v>
      </c>
      <c r="E42" s="2" t="s">
        <v>1003</v>
      </c>
      <c r="F42" s="2" t="s">
        <v>913</v>
      </c>
      <c r="G42" s="2" t="s">
        <v>1012</v>
      </c>
      <c r="H42" s="2" t="s">
        <v>1005</v>
      </c>
      <c r="I42" s="2" t="s">
        <v>1006</v>
      </c>
      <c r="J42" s="2" t="s">
        <v>1013</v>
      </c>
      <c r="K42" s="2" t="s">
        <v>1080</v>
      </c>
      <c r="L42" s="2" t="s">
        <v>1081</v>
      </c>
    </row>
    <row r="43" spans="1:12" ht="55.2" x14ac:dyDescent="0.3">
      <c r="A43" s="2" t="s">
        <v>1082</v>
      </c>
      <c r="B43" s="2" t="s">
        <v>1000</v>
      </c>
      <c r="C43" s="2" t="s">
        <v>1075</v>
      </c>
      <c r="D43" s="2" t="s">
        <v>1076</v>
      </c>
      <c r="E43" s="2" t="s">
        <v>490</v>
      </c>
      <c r="F43" s="2" t="s">
        <v>941</v>
      </c>
      <c r="G43" s="2" t="s">
        <v>1077</v>
      </c>
      <c r="H43" s="2" t="s">
        <v>1005</v>
      </c>
      <c r="I43" s="2" t="s">
        <v>1006</v>
      </c>
      <c r="J43" s="2" t="s">
        <v>1013</v>
      </c>
      <c r="K43" s="2" t="s">
        <v>1067</v>
      </c>
      <c r="L43" s="2"/>
    </row>
    <row r="44" spans="1:12" ht="55.2" x14ac:dyDescent="0.3">
      <c r="A44" s="2" t="s">
        <v>1083</v>
      </c>
      <c r="B44" s="2" t="s">
        <v>1000</v>
      </c>
      <c r="C44" s="3" t="s">
        <v>1084</v>
      </c>
      <c r="D44" s="2" t="s">
        <v>1018</v>
      </c>
      <c r="E44" s="2" t="s">
        <v>1003</v>
      </c>
      <c r="F44" s="2" t="s">
        <v>913</v>
      </c>
      <c r="G44" s="2" t="s">
        <v>1019</v>
      </c>
      <c r="H44" s="2" t="s">
        <v>1005</v>
      </c>
      <c r="I44" s="2" t="s">
        <v>1006</v>
      </c>
      <c r="J44" s="2" t="s">
        <v>1013</v>
      </c>
      <c r="K44" s="2" t="s">
        <v>1085</v>
      </c>
      <c r="L44" s="2"/>
    </row>
    <row r="45" spans="1:12" ht="55.2" x14ac:dyDescent="0.3">
      <c r="A45" s="2" t="s">
        <v>1086</v>
      </c>
      <c r="B45" s="2" t="s">
        <v>1000</v>
      </c>
      <c r="C45" s="2" t="s">
        <v>1075</v>
      </c>
      <c r="D45" s="2" t="s">
        <v>1087</v>
      </c>
      <c r="E45" s="2" t="s">
        <v>490</v>
      </c>
      <c r="F45" s="2" t="s">
        <v>941</v>
      </c>
      <c r="G45" s="2" t="s">
        <v>1088</v>
      </c>
      <c r="H45" s="2" t="s">
        <v>1005</v>
      </c>
      <c r="I45" s="2" t="s">
        <v>1006</v>
      </c>
      <c r="J45" s="2" t="s">
        <v>1013</v>
      </c>
      <c r="K45" s="2" t="s">
        <v>1067</v>
      </c>
      <c r="L45" s="2"/>
    </row>
    <row r="46" spans="1:12" ht="41.4" x14ac:dyDescent="0.3">
      <c r="A46" s="2" t="s">
        <v>1089</v>
      </c>
      <c r="B46" s="2" t="s">
        <v>1000</v>
      </c>
      <c r="C46" s="2" t="s">
        <v>1090</v>
      </c>
      <c r="D46" s="2" t="s">
        <v>1030</v>
      </c>
      <c r="E46" s="2" t="s">
        <v>1031</v>
      </c>
      <c r="F46" s="2"/>
      <c r="G46" s="2" t="s">
        <v>1032</v>
      </c>
      <c r="H46" s="2" t="s">
        <v>1005</v>
      </c>
      <c r="I46" s="2" t="s">
        <v>1006</v>
      </c>
      <c r="J46" s="2" t="s">
        <v>1013</v>
      </c>
      <c r="K46" s="2" t="s">
        <v>1091</v>
      </c>
      <c r="L46" s="2"/>
    </row>
  </sheetData>
  <autoFilter ref="A1:L46" xr:uid="{00000000-0009-0000-0000-000007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4"/>
  <sheetViews>
    <sheetView workbookViewId="0">
      <pane ySplit="1" topLeftCell="A2" activePane="bottomLeft" state="frozen"/>
      <selection pane="bottomLeft" activeCell="E5" sqref="E5"/>
    </sheetView>
  </sheetViews>
  <sheetFormatPr defaultRowHeight="14.4" x14ac:dyDescent="0.3"/>
  <cols>
    <col min="1" max="1" width="18" customWidth="1"/>
    <col min="2" max="2" width="32" customWidth="1"/>
    <col min="3" max="3" width="8" customWidth="1"/>
    <col min="4" max="5" width="35" customWidth="1"/>
    <col min="6" max="6" width="22" customWidth="1"/>
  </cols>
  <sheetData>
    <row r="1" spans="1:6" ht="30" customHeight="1" x14ac:dyDescent="0.3">
      <c r="A1" s="1" t="s">
        <v>884</v>
      </c>
      <c r="B1" s="1" t="s">
        <v>6</v>
      </c>
      <c r="C1" s="1" t="s">
        <v>7</v>
      </c>
      <c r="D1" s="1" t="s">
        <v>523</v>
      </c>
      <c r="E1" s="1" t="s">
        <v>524</v>
      </c>
      <c r="F1" s="1" t="s">
        <v>0</v>
      </c>
    </row>
    <row r="2" spans="1:6" ht="27.6" x14ac:dyDescent="0.3">
      <c r="A2" s="2" t="s">
        <v>5</v>
      </c>
      <c r="B2" s="2" t="s">
        <v>14</v>
      </c>
      <c r="C2" s="2" t="s">
        <v>15</v>
      </c>
      <c r="D2" s="2" t="s">
        <v>551</v>
      </c>
      <c r="E2" s="2" t="s">
        <v>552</v>
      </c>
      <c r="F2" s="2"/>
    </row>
    <row r="3" spans="1:6" ht="27.6" x14ac:dyDescent="0.3">
      <c r="A3" s="2" t="s">
        <v>5</v>
      </c>
      <c r="B3" s="2" t="s">
        <v>14</v>
      </c>
      <c r="C3" s="2" t="s">
        <v>15</v>
      </c>
      <c r="D3" s="2" t="s">
        <v>551</v>
      </c>
      <c r="E3" s="2" t="s">
        <v>562</v>
      </c>
      <c r="F3" s="2"/>
    </row>
    <row r="4" spans="1:6" x14ac:dyDescent="0.3">
      <c r="A4" s="2" t="s">
        <v>5</v>
      </c>
      <c r="B4" s="2" t="s">
        <v>14</v>
      </c>
      <c r="C4" s="2" t="s">
        <v>15</v>
      </c>
      <c r="D4" s="2" t="s">
        <v>537</v>
      </c>
      <c r="E4" s="2" t="s">
        <v>538</v>
      </c>
      <c r="F4" s="2"/>
    </row>
    <row r="5" spans="1:6" x14ac:dyDescent="0.3">
      <c r="A5" s="2" t="s">
        <v>5</v>
      </c>
      <c r="B5" s="2" t="s">
        <v>14</v>
      </c>
      <c r="C5" s="2" t="s">
        <v>15</v>
      </c>
      <c r="D5" s="2" t="s">
        <v>537</v>
      </c>
      <c r="E5" s="2" t="s">
        <v>546</v>
      </c>
      <c r="F5" s="2"/>
    </row>
    <row r="6" spans="1:6" x14ac:dyDescent="0.3">
      <c r="A6" s="2" t="s">
        <v>5</v>
      </c>
      <c r="B6" s="2" t="s">
        <v>14</v>
      </c>
      <c r="C6" s="2" t="s">
        <v>15</v>
      </c>
      <c r="D6" s="2" t="s">
        <v>537</v>
      </c>
      <c r="E6" s="2" t="s">
        <v>562</v>
      </c>
      <c r="F6" s="2"/>
    </row>
    <row r="7" spans="1:6" x14ac:dyDescent="0.3">
      <c r="A7" s="2" t="s">
        <v>5</v>
      </c>
      <c r="B7" s="2" t="s">
        <v>14</v>
      </c>
      <c r="C7" s="2" t="s">
        <v>15</v>
      </c>
      <c r="D7" s="2" t="s">
        <v>81</v>
      </c>
      <c r="E7" s="2" t="s">
        <v>81</v>
      </c>
      <c r="F7" s="2"/>
    </row>
    <row r="8" spans="1:6" x14ac:dyDescent="0.3">
      <c r="A8" s="2" t="s">
        <v>5</v>
      </c>
      <c r="B8" s="2" t="s">
        <v>14</v>
      </c>
      <c r="C8" s="2" t="s">
        <v>15</v>
      </c>
      <c r="D8" s="2" t="s">
        <v>91</v>
      </c>
      <c r="E8" s="2" t="s">
        <v>91</v>
      </c>
      <c r="F8" s="2"/>
    </row>
    <row r="9" spans="1:6" x14ac:dyDescent="0.3">
      <c r="A9" s="2" t="s">
        <v>5</v>
      </c>
      <c r="B9" s="2" t="s">
        <v>14</v>
      </c>
      <c r="C9" s="2" t="s">
        <v>15</v>
      </c>
      <c r="D9" s="2" t="s">
        <v>86</v>
      </c>
      <c r="E9" s="2" t="s">
        <v>86</v>
      </c>
      <c r="F9" s="2"/>
    </row>
    <row r="10" spans="1:6" x14ac:dyDescent="0.3">
      <c r="A10" s="2" t="s">
        <v>5</v>
      </c>
      <c r="B10" s="2" t="s">
        <v>14</v>
      </c>
      <c r="C10" s="2" t="s">
        <v>15</v>
      </c>
      <c r="D10" s="2" t="s">
        <v>96</v>
      </c>
      <c r="E10" s="2" t="s">
        <v>96</v>
      </c>
      <c r="F10" s="2"/>
    </row>
    <row r="11" spans="1:6" x14ac:dyDescent="0.3">
      <c r="A11" s="2" t="s">
        <v>5</v>
      </c>
      <c r="B11" s="2" t="s">
        <v>14</v>
      </c>
      <c r="C11" s="2" t="s">
        <v>15</v>
      </c>
      <c r="D11" s="2" t="s">
        <v>112</v>
      </c>
      <c r="E11" s="2" t="s">
        <v>112</v>
      </c>
      <c r="F11" s="2"/>
    </row>
    <row r="12" spans="1:6" x14ac:dyDescent="0.3">
      <c r="A12" s="2" t="s">
        <v>5</v>
      </c>
      <c r="B12" s="2" t="s">
        <v>14</v>
      </c>
      <c r="C12" s="2" t="s">
        <v>15</v>
      </c>
      <c r="D12" s="2" t="s">
        <v>112</v>
      </c>
      <c r="E12" s="2" t="s">
        <v>580</v>
      </c>
      <c r="F12" s="2"/>
    </row>
    <row r="13" spans="1:6" x14ac:dyDescent="0.3">
      <c r="A13" s="2" t="s">
        <v>5</v>
      </c>
      <c r="B13" s="2" t="s">
        <v>14</v>
      </c>
      <c r="C13" s="2" t="s">
        <v>15</v>
      </c>
      <c r="D13" s="2"/>
      <c r="E13" s="2" t="s">
        <v>569</v>
      </c>
      <c r="F13" s="2"/>
    </row>
    <row r="14" spans="1:6" x14ac:dyDescent="0.3">
      <c r="A14" s="2" t="s">
        <v>5</v>
      </c>
      <c r="B14" s="2" t="s">
        <v>14</v>
      </c>
      <c r="C14" s="2" t="s">
        <v>15</v>
      </c>
      <c r="D14" s="2"/>
      <c r="E14" s="2"/>
      <c r="F14" s="2"/>
    </row>
    <row r="15" spans="1:6" x14ac:dyDescent="0.3">
      <c r="A15" s="2" t="s">
        <v>5</v>
      </c>
      <c r="B15" s="2" t="s">
        <v>118</v>
      </c>
      <c r="C15" s="2" t="s">
        <v>119</v>
      </c>
      <c r="D15" s="2" t="s">
        <v>582</v>
      </c>
      <c r="E15" s="2" t="s">
        <v>583</v>
      </c>
      <c r="F15" s="2" t="s">
        <v>120</v>
      </c>
    </row>
    <row r="16" spans="1:6" x14ac:dyDescent="0.3">
      <c r="A16" s="2" t="s">
        <v>5</v>
      </c>
      <c r="B16" s="2" t="s">
        <v>118</v>
      </c>
      <c r="C16" s="2" t="s">
        <v>119</v>
      </c>
      <c r="D16" s="2" t="s">
        <v>591</v>
      </c>
      <c r="E16" s="2" t="s">
        <v>592</v>
      </c>
      <c r="F16" s="2" t="s">
        <v>120</v>
      </c>
    </row>
    <row r="17" spans="1:6" x14ac:dyDescent="0.3">
      <c r="A17" s="2" t="s">
        <v>5</v>
      </c>
      <c r="B17" s="2" t="s">
        <v>118</v>
      </c>
      <c r="C17" s="2" t="s">
        <v>119</v>
      </c>
      <c r="D17" s="2" t="s">
        <v>591</v>
      </c>
      <c r="E17" s="2" t="s">
        <v>546</v>
      </c>
      <c r="F17" s="2" t="s">
        <v>145</v>
      </c>
    </row>
    <row r="18" spans="1:6" x14ac:dyDescent="0.3">
      <c r="A18" s="2" t="s">
        <v>5</v>
      </c>
      <c r="B18" s="2" t="s">
        <v>118</v>
      </c>
      <c r="C18" s="2" t="s">
        <v>119</v>
      </c>
      <c r="D18" s="2" t="s">
        <v>591</v>
      </c>
      <c r="E18" s="2" t="s">
        <v>601</v>
      </c>
      <c r="F18" s="2" t="s">
        <v>145</v>
      </c>
    </row>
    <row r="19" spans="1:6" x14ac:dyDescent="0.3">
      <c r="A19" s="2" t="s">
        <v>5</v>
      </c>
      <c r="B19" s="2" t="s">
        <v>118</v>
      </c>
      <c r="C19" s="2" t="s">
        <v>119</v>
      </c>
      <c r="D19" s="2" t="s">
        <v>591</v>
      </c>
      <c r="E19" s="2" t="s">
        <v>605</v>
      </c>
      <c r="F19" s="2" t="s">
        <v>145</v>
      </c>
    </row>
    <row r="20" spans="1:6" x14ac:dyDescent="0.3">
      <c r="A20" s="2" t="s">
        <v>5</v>
      </c>
      <c r="B20" s="2" t="s">
        <v>118</v>
      </c>
      <c r="C20" s="2" t="s">
        <v>119</v>
      </c>
      <c r="D20" s="2" t="s">
        <v>591</v>
      </c>
      <c r="E20" s="2" t="s">
        <v>637</v>
      </c>
      <c r="F20" s="2" t="s">
        <v>145</v>
      </c>
    </row>
    <row r="21" spans="1:6" x14ac:dyDescent="0.3">
      <c r="A21" s="2" t="s">
        <v>5</v>
      </c>
      <c r="B21" s="2" t="s">
        <v>118</v>
      </c>
      <c r="C21" s="2" t="s">
        <v>119</v>
      </c>
      <c r="D21" s="2" t="s">
        <v>635</v>
      </c>
      <c r="E21" s="2" t="s">
        <v>620</v>
      </c>
      <c r="F21" s="2" t="s">
        <v>120</v>
      </c>
    </row>
    <row r="22" spans="1:6" x14ac:dyDescent="0.3">
      <c r="A22" s="2" t="s">
        <v>5</v>
      </c>
      <c r="B22" s="2" t="s">
        <v>118</v>
      </c>
      <c r="C22" s="2" t="s">
        <v>119</v>
      </c>
      <c r="D22" s="2" t="s">
        <v>635</v>
      </c>
      <c r="E22" s="2" t="s">
        <v>637</v>
      </c>
      <c r="F22" s="2" t="s">
        <v>145</v>
      </c>
    </row>
    <row r="23" spans="1:6" ht="27.6" x14ac:dyDescent="0.3">
      <c r="A23" s="2" t="s">
        <v>5</v>
      </c>
      <c r="B23" s="2" t="s">
        <v>118</v>
      </c>
      <c r="C23" s="2" t="s">
        <v>119</v>
      </c>
      <c r="D23" s="2" t="s">
        <v>635</v>
      </c>
      <c r="E23" s="2" t="s">
        <v>637</v>
      </c>
      <c r="F23" s="2" t="s">
        <v>241</v>
      </c>
    </row>
    <row r="24" spans="1:6" x14ac:dyDescent="0.3">
      <c r="A24" s="2" t="s">
        <v>5</v>
      </c>
      <c r="B24" s="2" t="s">
        <v>118</v>
      </c>
      <c r="C24" s="2" t="s">
        <v>119</v>
      </c>
      <c r="D24" s="2" t="s">
        <v>619</v>
      </c>
      <c r="E24" s="2" t="s">
        <v>620</v>
      </c>
      <c r="F24" s="2" t="s">
        <v>145</v>
      </c>
    </row>
    <row r="25" spans="1:6" x14ac:dyDescent="0.3">
      <c r="A25" s="2" t="s">
        <v>5</v>
      </c>
      <c r="B25" s="2" t="s">
        <v>118</v>
      </c>
      <c r="C25" s="2" t="s">
        <v>119</v>
      </c>
      <c r="D25" s="2" t="s">
        <v>270</v>
      </c>
      <c r="E25" s="2" t="s">
        <v>270</v>
      </c>
      <c r="F25" s="2" t="s">
        <v>145</v>
      </c>
    </row>
    <row r="26" spans="1:6" x14ac:dyDescent="0.3">
      <c r="A26" s="2" t="s">
        <v>5</v>
      </c>
      <c r="B26" s="2" t="s">
        <v>118</v>
      </c>
      <c r="C26" s="2" t="s">
        <v>119</v>
      </c>
      <c r="D26" s="2" t="s">
        <v>275</v>
      </c>
      <c r="E26" s="2" t="s">
        <v>275</v>
      </c>
      <c r="F26" s="2" t="s">
        <v>145</v>
      </c>
    </row>
    <row r="27" spans="1:6" x14ac:dyDescent="0.3">
      <c r="A27" s="2" t="s">
        <v>5</v>
      </c>
      <c r="B27" s="2" t="s">
        <v>118</v>
      </c>
      <c r="C27" s="2" t="s">
        <v>119</v>
      </c>
      <c r="D27" s="2" t="s">
        <v>665</v>
      </c>
      <c r="E27" s="2" t="s">
        <v>665</v>
      </c>
      <c r="F27" s="2" t="s">
        <v>145</v>
      </c>
    </row>
    <row r="28" spans="1:6" x14ac:dyDescent="0.3">
      <c r="A28" s="2" t="s">
        <v>5</v>
      </c>
      <c r="B28" s="2" t="s">
        <v>118</v>
      </c>
      <c r="C28" s="2" t="s">
        <v>119</v>
      </c>
      <c r="D28" s="2" t="s">
        <v>265</v>
      </c>
      <c r="E28" s="2" t="s">
        <v>265</v>
      </c>
      <c r="F28" s="2" t="s">
        <v>145</v>
      </c>
    </row>
    <row r="29" spans="1:6" x14ac:dyDescent="0.3">
      <c r="A29" s="2" t="s">
        <v>5</v>
      </c>
      <c r="B29" s="2" t="s">
        <v>118</v>
      </c>
      <c r="C29" s="2" t="s">
        <v>119</v>
      </c>
      <c r="D29" s="2" t="s">
        <v>285</v>
      </c>
      <c r="E29" s="2" t="s">
        <v>285</v>
      </c>
      <c r="F29" s="2" t="s">
        <v>145</v>
      </c>
    </row>
    <row r="30" spans="1:6" x14ac:dyDescent="0.3">
      <c r="A30" s="2" t="s">
        <v>5</v>
      </c>
      <c r="B30" s="2" t="s">
        <v>118</v>
      </c>
      <c r="C30" s="2" t="s">
        <v>119</v>
      </c>
      <c r="D30" s="2" t="s">
        <v>634</v>
      </c>
      <c r="E30" s="2" t="s">
        <v>620</v>
      </c>
      <c r="F30" s="2" t="s">
        <v>145</v>
      </c>
    </row>
    <row r="31" spans="1:6" x14ac:dyDescent="0.3">
      <c r="A31" s="2" t="s">
        <v>5</v>
      </c>
      <c r="B31" s="2" t="s">
        <v>118</v>
      </c>
      <c r="C31" s="2" t="s">
        <v>119</v>
      </c>
      <c r="D31" s="2"/>
      <c r="E31" s="2" t="s">
        <v>605</v>
      </c>
      <c r="F31" s="2" t="s">
        <v>145</v>
      </c>
    </row>
    <row r="32" spans="1:6" x14ac:dyDescent="0.3">
      <c r="A32" s="2" t="s">
        <v>5</v>
      </c>
      <c r="B32" s="2" t="s">
        <v>118</v>
      </c>
      <c r="C32" s="2" t="s">
        <v>119</v>
      </c>
      <c r="D32" s="2"/>
      <c r="E32" s="2"/>
      <c r="F32" s="2" t="s">
        <v>246</v>
      </c>
    </row>
    <row r="33" spans="1:6" x14ac:dyDescent="0.3">
      <c r="A33" s="2" t="s">
        <v>5</v>
      </c>
      <c r="B33" s="2" t="s">
        <v>118</v>
      </c>
      <c r="C33" s="2" t="s">
        <v>119</v>
      </c>
      <c r="D33" s="2"/>
      <c r="E33" s="2"/>
      <c r="F33" s="2"/>
    </row>
    <row r="34" spans="1:6" x14ac:dyDescent="0.3">
      <c r="A34" s="2" t="s">
        <v>5</v>
      </c>
      <c r="B34" s="2" t="s">
        <v>354</v>
      </c>
      <c r="C34" s="2" t="s">
        <v>293</v>
      </c>
      <c r="D34" s="2" t="s">
        <v>722</v>
      </c>
      <c r="E34" s="2" t="s">
        <v>723</v>
      </c>
      <c r="F34" s="2" t="s">
        <v>145</v>
      </c>
    </row>
    <row r="35" spans="1:6" x14ac:dyDescent="0.3">
      <c r="A35" s="2" t="s">
        <v>5</v>
      </c>
      <c r="B35" s="2" t="s">
        <v>292</v>
      </c>
      <c r="C35" s="2" t="s">
        <v>293</v>
      </c>
      <c r="D35" s="2" t="s">
        <v>709</v>
      </c>
      <c r="E35" s="2" t="s">
        <v>710</v>
      </c>
      <c r="F35" s="2" t="s">
        <v>246</v>
      </c>
    </row>
    <row r="36" spans="1:6" x14ac:dyDescent="0.3">
      <c r="A36" s="2" t="s">
        <v>5</v>
      </c>
      <c r="B36" s="2" t="s">
        <v>292</v>
      </c>
      <c r="C36" s="2" t="s">
        <v>293</v>
      </c>
      <c r="D36" s="2" t="s">
        <v>709</v>
      </c>
      <c r="E36" s="2" t="s">
        <v>712</v>
      </c>
      <c r="F36" s="2" t="s">
        <v>246</v>
      </c>
    </row>
    <row r="37" spans="1:6" x14ac:dyDescent="0.3">
      <c r="A37" s="2" t="s">
        <v>5</v>
      </c>
      <c r="B37" s="2" t="s">
        <v>292</v>
      </c>
      <c r="C37" s="2" t="s">
        <v>293</v>
      </c>
      <c r="D37" s="2" t="s">
        <v>709</v>
      </c>
      <c r="E37" s="2" t="s">
        <v>717</v>
      </c>
      <c r="F37" s="2" t="s">
        <v>246</v>
      </c>
    </row>
    <row r="38" spans="1:6" x14ac:dyDescent="0.3">
      <c r="A38" s="2" t="s">
        <v>5</v>
      </c>
      <c r="B38" s="2" t="s">
        <v>292</v>
      </c>
      <c r="C38" s="2" t="s">
        <v>293</v>
      </c>
      <c r="D38" s="2" t="s">
        <v>719</v>
      </c>
      <c r="E38" s="2" t="s">
        <v>719</v>
      </c>
      <c r="F38" s="2" t="s">
        <v>246</v>
      </c>
    </row>
    <row r="39" spans="1:6" x14ac:dyDescent="0.3">
      <c r="A39" s="2" t="s">
        <v>5</v>
      </c>
      <c r="B39" s="2" t="s">
        <v>292</v>
      </c>
      <c r="C39" s="2" t="s">
        <v>293</v>
      </c>
      <c r="D39" s="2" t="s">
        <v>714</v>
      </c>
      <c r="E39" s="2" t="s">
        <v>715</v>
      </c>
      <c r="F39" s="2" t="s">
        <v>246</v>
      </c>
    </row>
    <row r="40" spans="1:6" x14ac:dyDescent="0.3">
      <c r="A40" s="2" t="s">
        <v>5</v>
      </c>
      <c r="B40" s="2" t="s">
        <v>292</v>
      </c>
      <c r="C40" s="2" t="s">
        <v>293</v>
      </c>
      <c r="D40" s="2" t="s">
        <v>671</v>
      </c>
      <c r="E40" s="2" t="s">
        <v>672</v>
      </c>
      <c r="F40" s="2" t="s">
        <v>246</v>
      </c>
    </row>
    <row r="41" spans="1:6" x14ac:dyDescent="0.3">
      <c r="A41" s="2" t="s">
        <v>5</v>
      </c>
      <c r="B41" s="2" t="s">
        <v>292</v>
      </c>
      <c r="C41" s="2" t="s">
        <v>293</v>
      </c>
      <c r="D41" s="2" t="s">
        <v>671</v>
      </c>
      <c r="E41" s="2" t="s">
        <v>672</v>
      </c>
      <c r="F41" s="2" t="s">
        <v>145</v>
      </c>
    </row>
    <row r="42" spans="1:6" ht="27.6" x14ac:dyDescent="0.3">
      <c r="A42" s="2" t="s">
        <v>5</v>
      </c>
      <c r="B42" s="2" t="s">
        <v>359</v>
      </c>
      <c r="C42" s="2" t="s">
        <v>360</v>
      </c>
      <c r="D42" s="2" t="s">
        <v>729</v>
      </c>
      <c r="E42" s="2" t="s">
        <v>730</v>
      </c>
      <c r="F42" s="2" t="s">
        <v>120</v>
      </c>
    </row>
    <row r="43" spans="1:6" ht="27.6" x14ac:dyDescent="0.3">
      <c r="A43" s="2" t="s">
        <v>5</v>
      </c>
      <c r="B43" s="2" t="s">
        <v>359</v>
      </c>
      <c r="C43" s="2" t="s">
        <v>360</v>
      </c>
      <c r="D43" s="2" t="s">
        <v>729</v>
      </c>
      <c r="E43" s="2" t="s">
        <v>732</v>
      </c>
      <c r="F43" s="2" t="s">
        <v>120</v>
      </c>
    </row>
    <row r="44" spans="1:6" x14ac:dyDescent="0.3">
      <c r="A44" s="2" t="s">
        <v>5</v>
      </c>
      <c r="B44" s="2" t="s">
        <v>359</v>
      </c>
      <c r="C44" s="2" t="s">
        <v>360</v>
      </c>
      <c r="D44" s="2" t="s">
        <v>729</v>
      </c>
      <c r="E44" s="2" t="s">
        <v>733</v>
      </c>
      <c r="F44" s="2" t="s">
        <v>120</v>
      </c>
    </row>
    <row r="45" spans="1:6" ht="27.6" x14ac:dyDescent="0.3">
      <c r="A45" s="2" t="s">
        <v>5</v>
      </c>
      <c r="B45" s="2" t="s">
        <v>359</v>
      </c>
      <c r="C45" s="2" t="s">
        <v>360</v>
      </c>
      <c r="D45" s="2" t="s">
        <v>724</v>
      </c>
      <c r="E45" s="2" t="s">
        <v>725</v>
      </c>
      <c r="F45" s="2" t="s">
        <v>145</v>
      </c>
    </row>
    <row r="46" spans="1:6" ht="27.6" x14ac:dyDescent="0.3">
      <c r="A46" s="2" t="s">
        <v>5</v>
      </c>
      <c r="B46" s="2" t="s">
        <v>359</v>
      </c>
      <c r="C46" s="2" t="s">
        <v>360</v>
      </c>
      <c r="D46" s="2" t="s">
        <v>724</v>
      </c>
      <c r="E46" s="2" t="s">
        <v>728</v>
      </c>
      <c r="F46" s="2" t="s">
        <v>145</v>
      </c>
    </row>
    <row r="47" spans="1:6" x14ac:dyDescent="0.3">
      <c r="A47" s="2" t="s">
        <v>5</v>
      </c>
      <c r="B47" s="2" t="s">
        <v>359</v>
      </c>
      <c r="C47" s="2" t="s">
        <v>360</v>
      </c>
      <c r="D47" s="2"/>
      <c r="E47" s="2"/>
      <c r="F47" s="2"/>
    </row>
    <row r="48" spans="1:6" x14ac:dyDescent="0.3">
      <c r="A48" s="2" t="s">
        <v>887</v>
      </c>
      <c r="B48" s="2" t="s">
        <v>385</v>
      </c>
      <c r="C48" s="2" t="s">
        <v>15</v>
      </c>
      <c r="D48" s="2" t="s">
        <v>792</v>
      </c>
      <c r="E48" s="2" t="s">
        <v>793</v>
      </c>
      <c r="F48" s="2"/>
    </row>
    <row r="49" spans="1:6" ht="27.6" x14ac:dyDescent="0.3">
      <c r="A49" s="2" t="s">
        <v>887</v>
      </c>
      <c r="B49" s="2" t="s">
        <v>385</v>
      </c>
      <c r="C49" s="2" t="s">
        <v>15</v>
      </c>
      <c r="D49" s="2" t="s">
        <v>734</v>
      </c>
      <c r="E49" s="2" t="s">
        <v>735</v>
      </c>
      <c r="F49" s="2"/>
    </row>
    <row r="50" spans="1:6" ht="27.6" x14ac:dyDescent="0.3">
      <c r="A50" s="2" t="s">
        <v>887</v>
      </c>
      <c r="B50" s="2" t="s">
        <v>385</v>
      </c>
      <c r="C50" s="2" t="s">
        <v>15</v>
      </c>
      <c r="D50" s="2" t="s">
        <v>734</v>
      </c>
      <c r="E50" s="2" t="s">
        <v>746</v>
      </c>
      <c r="F50" s="2"/>
    </row>
    <row r="51" spans="1:6" ht="27.6" x14ac:dyDescent="0.3">
      <c r="A51" s="2" t="s">
        <v>887</v>
      </c>
      <c r="B51" s="2" t="s">
        <v>385</v>
      </c>
      <c r="C51" s="2" t="s">
        <v>15</v>
      </c>
      <c r="D51" s="2" t="s">
        <v>734</v>
      </c>
      <c r="E51" s="2" t="s">
        <v>754</v>
      </c>
      <c r="F51" s="2"/>
    </row>
    <row r="52" spans="1:6" ht="27.6" x14ac:dyDescent="0.3">
      <c r="A52" s="2" t="s">
        <v>887</v>
      </c>
      <c r="B52" s="2" t="s">
        <v>385</v>
      </c>
      <c r="C52" s="2" t="s">
        <v>15</v>
      </c>
      <c r="D52" s="2" t="s">
        <v>734</v>
      </c>
      <c r="E52" s="2" t="s">
        <v>759</v>
      </c>
      <c r="F52" s="2"/>
    </row>
    <row r="53" spans="1:6" ht="41.4" x14ac:dyDescent="0.3">
      <c r="A53" s="2" t="s">
        <v>887</v>
      </c>
      <c r="B53" s="2" t="s">
        <v>385</v>
      </c>
      <c r="C53" s="2" t="s">
        <v>15</v>
      </c>
      <c r="D53" s="2" t="s">
        <v>734</v>
      </c>
      <c r="E53" s="2" t="s">
        <v>767</v>
      </c>
      <c r="F53" s="2"/>
    </row>
    <row r="54" spans="1:6" x14ac:dyDescent="0.3">
      <c r="A54" s="2" t="s">
        <v>887</v>
      </c>
      <c r="B54" s="2" t="s">
        <v>385</v>
      </c>
      <c r="C54" s="2" t="s">
        <v>15</v>
      </c>
      <c r="D54" s="2" t="s">
        <v>808</v>
      </c>
      <c r="E54" s="2" t="s">
        <v>808</v>
      </c>
      <c r="F54" s="2"/>
    </row>
    <row r="55" spans="1:6" x14ac:dyDescent="0.3">
      <c r="A55" s="2" t="s">
        <v>887</v>
      </c>
      <c r="B55" s="2" t="s">
        <v>385</v>
      </c>
      <c r="C55" s="2" t="s">
        <v>15</v>
      </c>
      <c r="D55" s="2" t="s">
        <v>784</v>
      </c>
      <c r="E55" s="2" t="s">
        <v>785</v>
      </c>
      <c r="F55" s="2"/>
    </row>
    <row r="56" spans="1:6" x14ac:dyDescent="0.3">
      <c r="A56" s="2" t="s">
        <v>887</v>
      </c>
      <c r="B56" s="2" t="s">
        <v>385</v>
      </c>
      <c r="C56" s="2" t="s">
        <v>15</v>
      </c>
      <c r="D56" s="2"/>
      <c r="E56" s="2" t="s">
        <v>740</v>
      </c>
      <c r="F56" s="2"/>
    </row>
    <row r="57" spans="1:6" x14ac:dyDescent="0.3">
      <c r="A57" s="2" t="s">
        <v>887</v>
      </c>
      <c r="B57" s="2" t="s">
        <v>385</v>
      </c>
      <c r="C57" s="2" t="s">
        <v>15</v>
      </c>
      <c r="D57" s="2"/>
      <c r="E57" s="2"/>
      <c r="F57" s="2"/>
    </row>
    <row r="58" spans="1:6" x14ac:dyDescent="0.3">
      <c r="A58" s="2" t="s">
        <v>887</v>
      </c>
      <c r="B58" s="2" t="s">
        <v>385</v>
      </c>
      <c r="C58" s="2" t="s">
        <v>15</v>
      </c>
      <c r="D58" s="2"/>
      <c r="E58" s="2" t="s">
        <v>546</v>
      </c>
      <c r="F58" s="2"/>
    </row>
    <row r="59" spans="1:6" x14ac:dyDescent="0.3">
      <c r="A59" s="2" t="s">
        <v>887</v>
      </c>
      <c r="B59" s="2" t="s">
        <v>480</v>
      </c>
      <c r="C59" s="2" t="s">
        <v>119</v>
      </c>
      <c r="D59" s="2" t="s">
        <v>815</v>
      </c>
      <c r="E59" s="2" t="s">
        <v>816</v>
      </c>
      <c r="F59" s="2" t="s">
        <v>481</v>
      </c>
    </row>
    <row r="60" spans="1:6" x14ac:dyDescent="0.3">
      <c r="A60" s="2" t="s">
        <v>887</v>
      </c>
      <c r="B60" s="2" t="s">
        <v>480</v>
      </c>
      <c r="C60" s="2" t="s">
        <v>119</v>
      </c>
      <c r="D60" s="2" t="s">
        <v>819</v>
      </c>
      <c r="E60" s="2" t="s">
        <v>820</v>
      </c>
      <c r="F60" s="2" t="s">
        <v>481</v>
      </c>
    </row>
    <row r="61" spans="1:6" x14ac:dyDescent="0.3">
      <c r="A61" s="2" t="s">
        <v>887</v>
      </c>
      <c r="B61" s="2" t="s">
        <v>480</v>
      </c>
      <c r="C61" s="2" t="s">
        <v>119</v>
      </c>
      <c r="D61" s="2" t="s">
        <v>280</v>
      </c>
      <c r="E61" s="2" t="s">
        <v>665</v>
      </c>
      <c r="F61" s="2" t="s">
        <v>481</v>
      </c>
    </row>
    <row r="62" spans="1:6" x14ac:dyDescent="0.3">
      <c r="A62" s="2" t="s">
        <v>887</v>
      </c>
      <c r="B62" s="2" t="s">
        <v>480</v>
      </c>
      <c r="C62" s="2" t="s">
        <v>119</v>
      </c>
      <c r="D62" s="2" t="s">
        <v>487</v>
      </c>
      <c r="E62" s="2" t="s">
        <v>487</v>
      </c>
      <c r="F62" s="2" t="s">
        <v>481</v>
      </c>
    </row>
    <row r="63" spans="1:6" x14ac:dyDescent="0.3">
      <c r="A63" s="2" t="s">
        <v>887</v>
      </c>
      <c r="B63" s="2" t="s">
        <v>480</v>
      </c>
      <c r="C63" s="2" t="s">
        <v>119</v>
      </c>
      <c r="D63" s="2" t="s">
        <v>665</v>
      </c>
      <c r="E63" s="2" t="s">
        <v>665</v>
      </c>
      <c r="F63" s="2" t="s">
        <v>481</v>
      </c>
    </row>
    <row r="64" spans="1:6" x14ac:dyDescent="0.3">
      <c r="A64" s="2" t="s">
        <v>887</v>
      </c>
      <c r="B64" s="2" t="s">
        <v>489</v>
      </c>
      <c r="C64" s="2" t="s">
        <v>293</v>
      </c>
      <c r="D64" s="2" t="s">
        <v>863</v>
      </c>
      <c r="E64" s="2" t="s">
        <v>864</v>
      </c>
      <c r="F64" s="2" t="s">
        <v>490</v>
      </c>
    </row>
    <row r="65" spans="1:6" x14ac:dyDescent="0.3">
      <c r="A65" s="2" t="s">
        <v>887</v>
      </c>
      <c r="B65" s="2" t="s">
        <v>489</v>
      </c>
      <c r="C65" s="2" t="s">
        <v>293</v>
      </c>
      <c r="D65" s="2" t="s">
        <v>709</v>
      </c>
      <c r="E65" s="2" t="s">
        <v>710</v>
      </c>
      <c r="F65" s="2" t="s">
        <v>490</v>
      </c>
    </row>
    <row r="66" spans="1:6" x14ac:dyDescent="0.3">
      <c r="A66" s="2" t="s">
        <v>887</v>
      </c>
      <c r="B66" s="2" t="s">
        <v>489</v>
      </c>
      <c r="C66" s="2" t="s">
        <v>293</v>
      </c>
      <c r="D66" s="2" t="s">
        <v>709</v>
      </c>
      <c r="E66" s="2" t="s">
        <v>510</v>
      </c>
      <c r="F66" s="2" t="s">
        <v>490</v>
      </c>
    </row>
    <row r="67" spans="1:6" x14ac:dyDescent="0.3">
      <c r="A67" s="2" t="s">
        <v>887</v>
      </c>
      <c r="B67" s="2" t="s">
        <v>489</v>
      </c>
      <c r="C67" s="2" t="s">
        <v>293</v>
      </c>
      <c r="D67" s="2" t="s">
        <v>709</v>
      </c>
      <c r="E67" s="2" t="s">
        <v>717</v>
      </c>
      <c r="F67" s="2" t="s">
        <v>490</v>
      </c>
    </row>
    <row r="68" spans="1:6" x14ac:dyDescent="0.3">
      <c r="A68" s="2" t="s">
        <v>887</v>
      </c>
      <c r="B68" s="2" t="s">
        <v>489</v>
      </c>
      <c r="C68" s="2" t="s">
        <v>293</v>
      </c>
      <c r="D68" s="2" t="s">
        <v>719</v>
      </c>
      <c r="E68" s="2" t="s">
        <v>719</v>
      </c>
      <c r="F68" s="2" t="s">
        <v>490</v>
      </c>
    </row>
    <row r="69" spans="1:6" ht="27.6" x14ac:dyDescent="0.3">
      <c r="A69" s="2" t="s">
        <v>887</v>
      </c>
      <c r="B69" s="2" t="s">
        <v>489</v>
      </c>
      <c r="C69" s="2" t="s">
        <v>293</v>
      </c>
      <c r="D69" s="2" t="s">
        <v>867</v>
      </c>
      <c r="E69" s="2" t="s">
        <v>868</v>
      </c>
      <c r="F69" s="2" t="s">
        <v>490</v>
      </c>
    </row>
    <row r="70" spans="1:6" ht="27.6" x14ac:dyDescent="0.3">
      <c r="A70" s="2" t="s">
        <v>887</v>
      </c>
      <c r="B70" s="2" t="s">
        <v>489</v>
      </c>
      <c r="C70" s="2" t="s">
        <v>293</v>
      </c>
      <c r="D70" s="2" t="s">
        <v>827</v>
      </c>
      <c r="E70" s="2" t="s">
        <v>828</v>
      </c>
      <c r="F70" s="2" t="s">
        <v>490</v>
      </c>
    </row>
    <row r="71" spans="1:6" ht="27.6" x14ac:dyDescent="0.3">
      <c r="A71" s="2" t="s">
        <v>887</v>
      </c>
      <c r="B71" s="2" t="s">
        <v>489</v>
      </c>
      <c r="C71" s="2" t="s">
        <v>293</v>
      </c>
      <c r="D71" s="2" t="s">
        <v>827</v>
      </c>
      <c r="E71" s="2" t="s">
        <v>828</v>
      </c>
      <c r="F71" s="2" t="s">
        <v>481</v>
      </c>
    </row>
    <row r="72" spans="1:6" x14ac:dyDescent="0.3">
      <c r="A72" s="2" t="s">
        <v>887</v>
      </c>
      <c r="B72" s="2" t="s">
        <v>516</v>
      </c>
      <c r="C72" s="2" t="s">
        <v>360</v>
      </c>
      <c r="D72" s="2" t="s">
        <v>875</v>
      </c>
      <c r="E72" s="2" t="s">
        <v>876</v>
      </c>
      <c r="F72" s="2" t="s">
        <v>481</v>
      </c>
    </row>
    <row r="73" spans="1:6" x14ac:dyDescent="0.3">
      <c r="A73" s="2" t="s">
        <v>887</v>
      </c>
      <c r="B73" s="2" t="s">
        <v>516</v>
      </c>
      <c r="C73" s="2" t="s">
        <v>360</v>
      </c>
      <c r="D73" s="2" t="s">
        <v>875</v>
      </c>
      <c r="E73" s="2" t="s">
        <v>876</v>
      </c>
      <c r="F73" s="2" t="s">
        <v>521</v>
      </c>
    </row>
    <row r="74" spans="1:6" ht="27.6" x14ac:dyDescent="0.3">
      <c r="A74" s="2" t="s">
        <v>887</v>
      </c>
      <c r="B74" s="2" t="s">
        <v>516</v>
      </c>
      <c r="C74" s="2" t="s">
        <v>360</v>
      </c>
      <c r="D74" s="2" t="s">
        <v>873</v>
      </c>
      <c r="E74" s="2" t="s">
        <v>873</v>
      </c>
      <c r="F74" s="2" t="s">
        <v>481</v>
      </c>
    </row>
  </sheetData>
  <autoFilter ref="A1:F74" xr:uid="{00000000-0009-0000-0000-000008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51AF-241D-49FC-A194-C3E4FAC86068}">
  <sheetPr>
    <tabColor rgb="FFFFC000"/>
  </sheetPr>
  <dimension ref="A1:N1447"/>
  <sheetViews>
    <sheetView workbookViewId="0">
      <selection activeCell="D1473" sqref="D1473"/>
    </sheetView>
  </sheetViews>
  <sheetFormatPr defaultColWidth="8.77734375" defaultRowHeight="14.4" x14ac:dyDescent="0.3"/>
  <cols>
    <col min="1" max="1" width="51.6640625" style="17" customWidth="1"/>
    <col min="2" max="2" width="10.44140625" style="17" bestFit="1" customWidth="1"/>
    <col min="3" max="3" width="13.88671875" style="17" customWidth="1"/>
    <col min="4" max="4" width="26.6640625" style="17" customWidth="1"/>
    <col min="5" max="5" width="27.33203125" style="17" customWidth="1"/>
    <col min="6" max="6" width="20.77734375" style="17" customWidth="1"/>
    <col min="7" max="7" width="14" style="17" customWidth="1"/>
    <col min="8" max="8" width="16.21875" style="17" customWidth="1"/>
    <col min="9" max="11" width="14" style="17" customWidth="1"/>
    <col min="12" max="12" width="14.77734375" style="17" customWidth="1"/>
    <col min="13" max="13" width="20.77734375" style="17" customWidth="1"/>
    <col min="14" max="14" width="17.88671875" style="17" customWidth="1"/>
    <col min="15" max="16384" width="8.77734375" style="15"/>
  </cols>
  <sheetData>
    <row r="1" spans="1:14" x14ac:dyDescent="0.3">
      <c r="A1" s="14" t="s">
        <v>1759</v>
      </c>
      <c r="B1" s="14" t="s">
        <v>1760</v>
      </c>
      <c r="C1" s="14" t="s">
        <v>1761</v>
      </c>
      <c r="D1" s="14" t="s">
        <v>1119</v>
      </c>
      <c r="E1" s="14" t="s">
        <v>1098</v>
      </c>
      <c r="F1" s="14" t="s">
        <v>1762</v>
      </c>
      <c r="G1" s="14" t="s">
        <v>527</v>
      </c>
      <c r="H1" s="14" t="s">
        <v>1763</v>
      </c>
      <c r="I1" s="14" t="s">
        <v>1764</v>
      </c>
      <c r="J1" s="14" t="s">
        <v>1100</v>
      </c>
      <c r="K1" s="14" t="s">
        <v>10</v>
      </c>
      <c r="L1" s="14" t="s">
        <v>12</v>
      </c>
      <c r="M1" s="14" t="s">
        <v>1765</v>
      </c>
      <c r="N1" s="14" t="s">
        <v>1766</v>
      </c>
    </row>
    <row r="2" spans="1:14" hidden="1" x14ac:dyDescent="0.3">
      <c r="A2" s="16" t="s">
        <v>1767</v>
      </c>
      <c r="B2" s="16"/>
      <c r="C2" s="16"/>
      <c r="D2" s="16" t="s">
        <v>1768</v>
      </c>
      <c r="E2" s="16" t="s">
        <v>1769</v>
      </c>
      <c r="F2" s="16" t="s">
        <v>18</v>
      </c>
      <c r="G2" s="16" t="s">
        <v>539</v>
      </c>
      <c r="I2" s="16" t="s">
        <v>1770</v>
      </c>
      <c r="J2" s="16" t="s">
        <v>33</v>
      </c>
    </row>
    <row r="3" spans="1:14" hidden="1" x14ac:dyDescent="0.3">
      <c r="A3" s="16" t="s">
        <v>1771</v>
      </c>
      <c r="B3" s="16"/>
      <c r="C3" s="16"/>
      <c r="D3" s="16" t="s">
        <v>1772</v>
      </c>
      <c r="E3" s="16" t="s">
        <v>1769</v>
      </c>
      <c r="F3" s="16" t="s">
        <v>18</v>
      </c>
      <c r="G3" s="16" t="s">
        <v>539</v>
      </c>
      <c r="I3" s="16" t="s">
        <v>1770</v>
      </c>
      <c r="J3" s="16" t="s">
        <v>33</v>
      </c>
    </row>
    <row r="4" spans="1:14" hidden="1" x14ac:dyDescent="0.3">
      <c r="A4" s="16" t="s">
        <v>1773</v>
      </c>
      <c r="B4" s="16"/>
      <c r="C4" s="16"/>
      <c r="D4" s="16" t="s">
        <v>1774</v>
      </c>
      <c r="E4" s="16" t="s">
        <v>1769</v>
      </c>
      <c r="F4" s="16" t="s">
        <v>18</v>
      </c>
      <c r="G4" s="16" t="s">
        <v>539</v>
      </c>
      <c r="I4" s="16" t="s">
        <v>1770</v>
      </c>
      <c r="J4" s="16" t="s">
        <v>33</v>
      </c>
    </row>
    <row r="5" spans="1:14" hidden="1" x14ac:dyDescent="0.3">
      <c r="A5" s="16" t="s">
        <v>1775</v>
      </c>
      <c r="B5" s="16"/>
      <c r="C5" s="16"/>
      <c r="D5" s="16" t="s">
        <v>1776</v>
      </c>
      <c r="E5" s="16" t="s">
        <v>1769</v>
      </c>
      <c r="F5" s="16" t="s">
        <v>18</v>
      </c>
      <c r="G5" s="16" t="s">
        <v>539</v>
      </c>
      <c r="I5" s="16" t="s">
        <v>1770</v>
      </c>
      <c r="J5" s="16" t="s">
        <v>33</v>
      </c>
    </row>
    <row r="6" spans="1:14" hidden="1" x14ac:dyDescent="0.3">
      <c r="A6" s="16" t="s">
        <v>319</v>
      </c>
      <c r="B6" s="16" t="s">
        <v>1104</v>
      </c>
      <c r="C6" s="16" t="s">
        <v>1104</v>
      </c>
      <c r="D6" s="16" t="s">
        <v>438</v>
      </c>
      <c r="E6" s="16" t="s">
        <v>1777</v>
      </c>
      <c r="F6" s="16" t="s">
        <v>18</v>
      </c>
      <c r="G6" s="16" t="s">
        <v>539</v>
      </c>
      <c r="I6" s="16" t="s">
        <v>1127</v>
      </c>
      <c r="J6" s="16" t="s">
        <v>33</v>
      </c>
    </row>
    <row r="7" spans="1:14" hidden="1" x14ac:dyDescent="0.3">
      <c r="A7" s="16" t="s">
        <v>319</v>
      </c>
      <c r="B7" s="16" t="s">
        <v>1104</v>
      </c>
      <c r="C7" s="16"/>
      <c r="D7" s="16" t="s">
        <v>1209</v>
      </c>
      <c r="E7" s="16" t="s">
        <v>1778</v>
      </c>
      <c r="F7" s="16" t="s">
        <v>18</v>
      </c>
      <c r="G7" s="16" t="s">
        <v>539</v>
      </c>
      <c r="I7" s="16" t="s">
        <v>1127</v>
      </c>
      <c r="J7" s="16" t="s">
        <v>33</v>
      </c>
    </row>
    <row r="8" spans="1:14" hidden="1" x14ac:dyDescent="0.3">
      <c r="A8" s="16" t="s">
        <v>319</v>
      </c>
      <c r="B8" s="16" t="s">
        <v>1104</v>
      </c>
      <c r="C8" s="16"/>
      <c r="D8" s="16" t="s">
        <v>320</v>
      </c>
      <c r="E8" s="16" t="s">
        <v>1779</v>
      </c>
      <c r="F8" s="16" t="s">
        <v>18</v>
      </c>
      <c r="G8" s="16" t="s">
        <v>539</v>
      </c>
      <c r="I8" s="16" t="s">
        <v>1127</v>
      </c>
      <c r="J8" s="16" t="s">
        <v>33</v>
      </c>
    </row>
    <row r="9" spans="1:14" hidden="1" x14ac:dyDescent="0.3">
      <c r="A9" s="16" t="s">
        <v>1780</v>
      </c>
      <c r="B9" s="16"/>
      <c r="C9" s="16"/>
      <c r="D9" s="16" t="s">
        <v>1781</v>
      </c>
      <c r="E9" s="16" t="s">
        <v>1782</v>
      </c>
      <c r="F9" s="16" t="s">
        <v>388</v>
      </c>
      <c r="G9" s="16" t="s">
        <v>539</v>
      </c>
      <c r="J9" s="16" t="s">
        <v>33</v>
      </c>
      <c r="L9" s="16" t="s">
        <v>32</v>
      </c>
      <c r="M9" s="16" t="s">
        <v>1783</v>
      </c>
    </row>
    <row r="10" spans="1:14" hidden="1" x14ac:dyDescent="0.3">
      <c r="A10" s="16" t="s">
        <v>1784</v>
      </c>
      <c r="B10" s="16"/>
      <c r="C10" s="16"/>
      <c r="D10" s="16" t="s">
        <v>1785</v>
      </c>
      <c r="E10" s="16" t="s">
        <v>1782</v>
      </c>
      <c r="F10" s="16" t="s">
        <v>388</v>
      </c>
      <c r="G10" s="16" t="s">
        <v>539</v>
      </c>
      <c r="J10" s="16" t="s">
        <v>33</v>
      </c>
      <c r="L10" s="16" t="s">
        <v>32</v>
      </c>
      <c r="M10" s="16" t="s">
        <v>1786</v>
      </c>
    </row>
    <row r="11" spans="1:14" hidden="1" x14ac:dyDescent="0.3">
      <c r="A11" s="16" t="s">
        <v>1787</v>
      </c>
      <c r="B11" s="16"/>
      <c r="C11" s="16"/>
      <c r="D11" s="16" t="s">
        <v>1788</v>
      </c>
      <c r="E11" s="16" t="s">
        <v>1782</v>
      </c>
      <c r="F11" s="16" t="s">
        <v>388</v>
      </c>
      <c r="G11" s="16" t="s">
        <v>539</v>
      </c>
      <c r="J11" s="16" t="s">
        <v>33</v>
      </c>
      <c r="L11" s="16" t="s">
        <v>32</v>
      </c>
      <c r="M11" s="16" t="s">
        <v>898</v>
      </c>
    </row>
    <row r="12" spans="1:14" hidden="1" x14ac:dyDescent="0.3">
      <c r="A12" s="16" t="s">
        <v>1789</v>
      </c>
      <c r="B12" s="16"/>
      <c r="C12" s="16"/>
      <c r="D12" s="16" t="s">
        <v>1790</v>
      </c>
      <c r="E12" s="16" t="s">
        <v>1779</v>
      </c>
      <c r="F12" s="16" t="s">
        <v>133</v>
      </c>
      <c r="G12" s="16" t="s">
        <v>1791</v>
      </c>
      <c r="J12" s="16" t="s">
        <v>33</v>
      </c>
    </row>
    <row r="13" spans="1:14" hidden="1" x14ac:dyDescent="0.3">
      <c r="A13" s="16" t="s">
        <v>1792</v>
      </c>
      <c r="B13" s="16"/>
      <c r="C13" s="16"/>
      <c r="D13" s="16" t="s">
        <v>1793</v>
      </c>
      <c r="E13" s="16" t="s">
        <v>1779</v>
      </c>
      <c r="F13" s="16" t="s">
        <v>133</v>
      </c>
      <c r="G13" s="16" t="s">
        <v>1791</v>
      </c>
      <c r="J13" s="16" t="s">
        <v>33</v>
      </c>
    </row>
    <row r="14" spans="1:14" hidden="1" x14ac:dyDescent="0.3">
      <c r="A14" s="16" t="s">
        <v>1794</v>
      </c>
      <c r="B14" s="16"/>
      <c r="C14" s="16"/>
      <c r="D14" s="16" t="s">
        <v>1795</v>
      </c>
      <c r="E14" s="16" t="s">
        <v>1779</v>
      </c>
      <c r="F14" s="16" t="s">
        <v>133</v>
      </c>
      <c r="G14" s="16" t="s">
        <v>1791</v>
      </c>
      <c r="J14" s="16" t="s">
        <v>33</v>
      </c>
    </row>
    <row r="15" spans="1:14" hidden="1" x14ac:dyDescent="0.3">
      <c r="A15" s="16" t="s">
        <v>1134</v>
      </c>
      <c r="B15" s="16"/>
      <c r="C15" s="16"/>
      <c r="D15" s="16" t="s">
        <v>1135</v>
      </c>
      <c r="E15" s="16" t="s">
        <v>1796</v>
      </c>
      <c r="F15" s="16" t="s">
        <v>18</v>
      </c>
      <c r="G15" s="16" t="s">
        <v>539</v>
      </c>
      <c r="I15" s="16" t="s">
        <v>1103</v>
      </c>
      <c r="J15" s="16" t="s">
        <v>33</v>
      </c>
    </row>
    <row r="16" spans="1:14" hidden="1" x14ac:dyDescent="0.3">
      <c r="A16" s="16" t="s">
        <v>1797</v>
      </c>
      <c r="B16" s="16"/>
      <c r="C16" s="16"/>
      <c r="D16" s="16" t="s">
        <v>1798</v>
      </c>
      <c r="E16" s="16" t="s">
        <v>1779</v>
      </c>
      <c r="F16" s="16" t="s">
        <v>133</v>
      </c>
      <c r="G16" s="16" t="s">
        <v>661</v>
      </c>
      <c r="I16" s="16" t="s">
        <v>662</v>
      </c>
      <c r="J16" s="16" t="s">
        <v>33</v>
      </c>
    </row>
    <row r="17" spans="1:10" hidden="1" x14ac:dyDescent="0.3">
      <c r="A17" s="16" t="s">
        <v>1799</v>
      </c>
      <c r="B17" s="16"/>
      <c r="C17" s="16"/>
      <c r="D17" s="16" t="s">
        <v>1800</v>
      </c>
      <c r="E17" s="16" t="s">
        <v>1782</v>
      </c>
      <c r="F17" s="16" t="s">
        <v>133</v>
      </c>
      <c r="G17" s="16" t="s">
        <v>588</v>
      </c>
      <c r="J17" s="16" t="s">
        <v>33</v>
      </c>
    </row>
    <row r="18" spans="1:10" hidden="1" x14ac:dyDescent="0.3">
      <c r="A18" s="16" t="s">
        <v>1801</v>
      </c>
      <c r="B18" s="16"/>
      <c r="C18" s="16"/>
      <c r="D18" s="16" t="s">
        <v>1802</v>
      </c>
      <c r="E18" s="16" t="s">
        <v>1782</v>
      </c>
      <c r="F18" s="16" t="s">
        <v>18</v>
      </c>
      <c r="G18" s="16" t="s">
        <v>661</v>
      </c>
      <c r="I18" s="16" t="s">
        <v>1103</v>
      </c>
      <c r="J18" s="16" t="s">
        <v>33</v>
      </c>
    </row>
    <row r="19" spans="1:10" hidden="1" x14ac:dyDescent="0.3">
      <c r="A19" s="16" t="s">
        <v>1801</v>
      </c>
      <c r="B19" s="16"/>
      <c r="C19" s="16"/>
      <c r="D19" s="16" t="s">
        <v>1803</v>
      </c>
      <c r="E19" s="16" t="s">
        <v>1804</v>
      </c>
      <c r="F19" s="16" t="s">
        <v>18</v>
      </c>
      <c r="G19" s="16" t="s">
        <v>661</v>
      </c>
      <c r="I19" s="16" t="s">
        <v>1770</v>
      </c>
      <c r="J19" s="16" t="s">
        <v>33</v>
      </c>
    </row>
    <row r="20" spans="1:10" hidden="1" x14ac:dyDescent="0.3">
      <c r="A20" s="16" t="s">
        <v>1805</v>
      </c>
      <c r="B20" s="16"/>
      <c r="C20" s="16"/>
      <c r="D20" s="16" t="s">
        <v>1806</v>
      </c>
      <c r="E20" s="16" t="s">
        <v>1779</v>
      </c>
      <c r="F20" s="16" t="s">
        <v>133</v>
      </c>
      <c r="G20" s="16" t="s">
        <v>539</v>
      </c>
      <c r="J20" s="16" t="s">
        <v>33</v>
      </c>
    </row>
    <row r="21" spans="1:10" hidden="1" x14ac:dyDescent="0.3">
      <c r="A21" s="16" t="s">
        <v>263</v>
      </c>
      <c r="B21" s="16"/>
      <c r="C21" s="16"/>
      <c r="D21" s="16" t="s">
        <v>264</v>
      </c>
      <c r="E21" s="16" t="s">
        <v>1779</v>
      </c>
      <c r="F21" s="16" t="s">
        <v>133</v>
      </c>
      <c r="G21" s="16" t="s">
        <v>588</v>
      </c>
      <c r="J21" s="16" t="s">
        <v>33</v>
      </c>
    </row>
    <row r="22" spans="1:10" hidden="1" x14ac:dyDescent="0.3">
      <c r="A22" s="16" t="s">
        <v>263</v>
      </c>
      <c r="B22" s="16"/>
      <c r="C22" s="16"/>
      <c r="D22" s="16" t="s">
        <v>1807</v>
      </c>
      <c r="E22" s="16" t="s">
        <v>1808</v>
      </c>
      <c r="F22" s="16" t="s">
        <v>133</v>
      </c>
      <c r="G22" s="16" t="s">
        <v>588</v>
      </c>
      <c r="J22" s="16" t="s">
        <v>33</v>
      </c>
    </row>
    <row r="23" spans="1:10" hidden="1" x14ac:dyDescent="0.3">
      <c r="A23" s="16" t="s">
        <v>261</v>
      </c>
      <c r="B23" s="16"/>
      <c r="C23" s="16"/>
      <c r="D23" s="16" t="s">
        <v>262</v>
      </c>
      <c r="E23" s="16" t="s">
        <v>1779</v>
      </c>
      <c r="F23" s="16" t="s">
        <v>133</v>
      </c>
      <c r="G23" s="16" t="s">
        <v>588</v>
      </c>
      <c r="J23" s="16" t="s">
        <v>33</v>
      </c>
    </row>
    <row r="24" spans="1:10" hidden="1" x14ac:dyDescent="0.3">
      <c r="A24" s="16" t="s">
        <v>261</v>
      </c>
      <c r="B24" s="16"/>
      <c r="C24" s="16"/>
      <c r="D24" s="16" t="s">
        <v>1809</v>
      </c>
      <c r="E24" s="16" t="s">
        <v>1808</v>
      </c>
      <c r="F24" s="16" t="s">
        <v>133</v>
      </c>
      <c r="G24" s="16" t="s">
        <v>588</v>
      </c>
      <c r="J24" s="16" t="s">
        <v>33</v>
      </c>
    </row>
    <row r="25" spans="1:10" hidden="1" x14ac:dyDescent="0.3">
      <c r="A25" s="16" t="s">
        <v>1810</v>
      </c>
      <c r="B25" s="16"/>
      <c r="C25" s="16"/>
      <c r="D25" s="16" t="s">
        <v>1811</v>
      </c>
      <c r="E25" s="16" t="s">
        <v>1779</v>
      </c>
      <c r="F25" s="16" t="s">
        <v>133</v>
      </c>
      <c r="G25" s="16" t="s">
        <v>661</v>
      </c>
      <c r="I25" s="16" t="s">
        <v>662</v>
      </c>
      <c r="J25" s="16" t="s">
        <v>33</v>
      </c>
    </row>
    <row r="26" spans="1:10" hidden="1" x14ac:dyDescent="0.3">
      <c r="A26" s="16" t="s">
        <v>187</v>
      </c>
      <c r="B26" s="16"/>
      <c r="C26" s="16"/>
      <c r="D26" s="16" t="s">
        <v>188</v>
      </c>
      <c r="E26" s="16" t="s">
        <v>1779</v>
      </c>
      <c r="F26" s="16" t="s">
        <v>133</v>
      </c>
      <c r="G26" s="16" t="s">
        <v>588</v>
      </c>
      <c r="J26" s="16" t="s">
        <v>33</v>
      </c>
    </row>
    <row r="27" spans="1:10" hidden="1" x14ac:dyDescent="0.3">
      <c r="A27" s="16" t="s">
        <v>185</v>
      </c>
      <c r="B27" s="16"/>
      <c r="C27" s="16"/>
      <c r="D27" s="16" t="s">
        <v>186</v>
      </c>
      <c r="E27" s="16" t="s">
        <v>1779</v>
      </c>
      <c r="F27" s="16" t="s">
        <v>133</v>
      </c>
      <c r="G27" s="16" t="s">
        <v>588</v>
      </c>
      <c r="J27" s="16" t="s">
        <v>33</v>
      </c>
    </row>
    <row r="28" spans="1:10" hidden="1" x14ac:dyDescent="0.3">
      <c r="A28" s="16" t="s">
        <v>1101</v>
      </c>
      <c r="B28" s="16"/>
      <c r="C28" s="16"/>
      <c r="D28" s="16" t="s">
        <v>1102</v>
      </c>
      <c r="E28" s="16" t="s">
        <v>1812</v>
      </c>
      <c r="F28" s="16" t="s">
        <v>18</v>
      </c>
      <c r="G28" s="16" t="s">
        <v>555</v>
      </c>
      <c r="I28" s="16" t="s">
        <v>1103</v>
      </c>
      <c r="J28" s="16" t="s">
        <v>33</v>
      </c>
    </row>
    <row r="29" spans="1:10" hidden="1" x14ac:dyDescent="0.3">
      <c r="A29" s="16" t="s">
        <v>1813</v>
      </c>
      <c r="B29" s="16"/>
      <c r="C29" s="16"/>
      <c r="D29" s="16" t="s">
        <v>1814</v>
      </c>
      <c r="E29" s="16" t="s">
        <v>1808</v>
      </c>
      <c r="F29" s="16" t="s">
        <v>133</v>
      </c>
      <c r="G29" s="16" t="s">
        <v>539</v>
      </c>
      <c r="J29" s="16" t="s">
        <v>33</v>
      </c>
    </row>
    <row r="30" spans="1:10" hidden="1" x14ac:dyDescent="0.3">
      <c r="A30" s="16" t="s">
        <v>1815</v>
      </c>
      <c r="B30" s="16"/>
      <c r="C30" s="16"/>
      <c r="D30" s="16" t="s">
        <v>1816</v>
      </c>
      <c r="E30" s="16" t="s">
        <v>1778</v>
      </c>
      <c r="F30" s="16" t="s">
        <v>50</v>
      </c>
      <c r="G30" s="16" t="s">
        <v>555</v>
      </c>
      <c r="J30" s="16" t="s">
        <v>33</v>
      </c>
    </row>
    <row r="31" spans="1:10" hidden="1" x14ac:dyDescent="0.3">
      <c r="A31" s="16" t="s">
        <v>1815</v>
      </c>
      <c r="B31" s="16" t="s">
        <v>1104</v>
      </c>
      <c r="C31" s="16" t="s">
        <v>1817</v>
      </c>
      <c r="D31" s="16" t="s">
        <v>1818</v>
      </c>
      <c r="E31" s="16" t="s">
        <v>1778</v>
      </c>
      <c r="F31" s="16" t="s">
        <v>18</v>
      </c>
      <c r="G31" s="16" t="s">
        <v>555</v>
      </c>
      <c r="I31" s="16" t="s">
        <v>1770</v>
      </c>
      <c r="J31" s="16" t="s">
        <v>33</v>
      </c>
    </row>
    <row r="32" spans="1:10" hidden="1" x14ac:dyDescent="0.3">
      <c r="A32" s="16" t="s">
        <v>1819</v>
      </c>
      <c r="B32" s="16"/>
      <c r="C32" s="16"/>
      <c r="D32" s="16" t="s">
        <v>1820</v>
      </c>
      <c r="E32" s="16" t="s">
        <v>1778</v>
      </c>
      <c r="F32" s="16" t="s">
        <v>50</v>
      </c>
      <c r="G32" s="16" t="s">
        <v>555</v>
      </c>
      <c r="J32" s="16" t="s">
        <v>33</v>
      </c>
    </row>
    <row r="33" spans="1:10" hidden="1" x14ac:dyDescent="0.3">
      <c r="A33" s="16" t="s">
        <v>1819</v>
      </c>
      <c r="B33" s="16" t="s">
        <v>1104</v>
      </c>
      <c r="C33" s="16" t="s">
        <v>1817</v>
      </c>
      <c r="D33" s="16" t="s">
        <v>1821</v>
      </c>
      <c r="E33" s="16" t="s">
        <v>1778</v>
      </c>
      <c r="F33" s="16" t="s">
        <v>18</v>
      </c>
      <c r="G33" s="16" t="s">
        <v>555</v>
      </c>
      <c r="I33" s="16" t="s">
        <v>1770</v>
      </c>
      <c r="J33" s="16" t="s">
        <v>33</v>
      </c>
    </row>
    <row r="34" spans="1:10" hidden="1" x14ac:dyDescent="0.3">
      <c r="A34" s="16" t="s">
        <v>1822</v>
      </c>
      <c r="B34" s="16"/>
      <c r="C34" s="16"/>
      <c r="D34" s="16" t="s">
        <v>1823</v>
      </c>
      <c r="E34" s="16" t="s">
        <v>1778</v>
      </c>
      <c r="F34" s="16" t="s">
        <v>50</v>
      </c>
      <c r="G34" s="16" t="s">
        <v>555</v>
      </c>
      <c r="J34" s="16" t="s">
        <v>33</v>
      </c>
    </row>
    <row r="35" spans="1:10" hidden="1" x14ac:dyDescent="0.3">
      <c r="A35" s="16" t="s">
        <v>1822</v>
      </c>
      <c r="B35" s="16" t="s">
        <v>1104</v>
      </c>
      <c r="C35" s="16" t="s">
        <v>1817</v>
      </c>
      <c r="D35" s="16" t="s">
        <v>1824</v>
      </c>
      <c r="E35" s="16" t="s">
        <v>1778</v>
      </c>
      <c r="F35" s="16" t="s">
        <v>18</v>
      </c>
      <c r="G35" s="16" t="s">
        <v>555</v>
      </c>
      <c r="I35" s="16" t="s">
        <v>1770</v>
      </c>
      <c r="J35" s="16" t="s">
        <v>33</v>
      </c>
    </row>
    <row r="36" spans="1:10" hidden="1" x14ac:dyDescent="0.3">
      <c r="A36" s="16" t="s">
        <v>1825</v>
      </c>
      <c r="B36" s="16"/>
      <c r="C36" s="16"/>
      <c r="D36" s="16" t="s">
        <v>1826</v>
      </c>
      <c r="E36" s="16" t="s">
        <v>1778</v>
      </c>
      <c r="F36" s="16" t="s">
        <v>50</v>
      </c>
      <c r="G36" s="16" t="s">
        <v>555</v>
      </c>
      <c r="J36" s="16" t="s">
        <v>33</v>
      </c>
    </row>
    <row r="37" spans="1:10" hidden="1" x14ac:dyDescent="0.3">
      <c r="A37" s="16" t="s">
        <v>1825</v>
      </c>
      <c r="B37" s="16" t="s">
        <v>1104</v>
      </c>
      <c r="C37" s="16" t="s">
        <v>1817</v>
      </c>
      <c r="D37" s="16" t="s">
        <v>1827</v>
      </c>
      <c r="E37" s="16" t="s">
        <v>1778</v>
      </c>
      <c r="F37" s="16" t="s">
        <v>18</v>
      </c>
      <c r="G37" s="16" t="s">
        <v>555</v>
      </c>
      <c r="I37" s="16" t="s">
        <v>1770</v>
      </c>
      <c r="J37" s="16" t="s">
        <v>33</v>
      </c>
    </row>
    <row r="38" spans="1:10" hidden="1" x14ac:dyDescent="0.3">
      <c r="A38" s="16" t="s">
        <v>1828</v>
      </c>
      <c r="B38" s="16"/>
      <c r="C38" s="16"/>
      <c r="D38" s="16" t="s">
        <v>1829</v>
      </c>
      <c r="E38" s="16" t="s">
        <v>1778</v>
      </c>
      <c r="F38" s="16" t="s">
        <v>50</v>
      </c>
      <c r="G38" s="16" t="s">
        <v>555</v>
      </c>
      <c r="J38" s="16" t="s">
        <v>33</v>
      </c>
    </row>
    <row r="39" spans="1:10" hidden="1" x14ac:dyDescent="0.3">
      <c r="A39" s="16" t="s">
        <v>1828</v>
      </c>
      <c r="B39" s="16" t="s">
        <v>1104</v>
      </c>
      <c r="C39" s="16" t="s">
        <v>1817</v>
      </c>
      <c r="D39" s="16" t="s">
        <v>1830</v>
      </c>
      <c r="E39" s="16" t="s">
        <v>1778</v>
      </c>
      <c r="F39" s="16" t="s">
        <v>18</v>
      </c>
      <c r="G39" s="16" t="s">
        <v>555</v>
      </c>
      <c r="I39" s="16" t="s">
        <v>1770</v>
      </c>
      <c r="J39" s="16" t="s">
        <v>33</v>
      </c>
    </row>
    <row r="40" spans="1:10" hidden="1" x14ac:dyDescent="0.3">
      <c r="A40" s="16" t="s">
        <v>1831</v>
      </c>
      <c r="B40" s="16"/>
      <c r="C40" s="16"/>
      <c r="D40" s="16" t="s">
        <v>1832</v>
      </c>
      <c r="E40" s="16" t="s">
        <v>1778</v>
      </c>
      <c r="F40" s="16" t="s">
        <v>50</v>
      </c>
      <c r="G40" s="16" t="s">
        <v>555</v>
      </c>
      <c r="J40" s="16" t="s">
        <v>33</v>
      </c>
    </row>
    <row r="41" spans="1:10" hidden="1" x14ac:dyDescent="0.3">
      <c r="A41" s="16" t="s">
        <v>1831</v>
      </c>
      <c r="B41" s="16" t="s">
        <v>1104</v>
      </c>
      <c r="C41" s="16" t="s">
        <v>1817</v>
      </c>
      <c r="D41" s="16" t="s">
        <v>1833</v>
      </c>
      <c r="E41" s="16" t="s">
        <v>1778</v>
      </c>
      <c r="F41" s="16" t="s">
        <v>18</v>
      </c>
      <c r="G41" s="16" t="s">
        <v>555</v>
      </c>
      <c r="I41" s="16" t="s">
        <v>1770</v>
      </c>
      <c r="J41" s="16" t="s">
        <v>33</v>
      </c>
    </row>
    <row r="42" spans="1:10" hidden="1" x14ac:dyDescent="0.3">
      <c r="A42" s="16" t="s">
        <v>1834</v>
      </c>
      <c r="B42" s="16" t="s">
        <v>1104</v>
      </c>
      <c r="C42" s="16" t="s">
        <v>1817</v>
      </c>
      <c r="D42" s="16" t="s">
        <v>1835</v>
      </c>
      <c r="E42" s="16" t="s">
        <v>1778</v>
      </c>
      <c r="F42" s="16" t="s">
        <v>18</v>
      </c>
      <c r="G42" s="16" t="s">
        <v>555</v>
      </c>
      <c r="I42" s="16" t="s">
        <v>1770</v>
      </c>
      <c r="J42" s="16" t="s">
        <v>33</v>
      </c>
    </row>
    <row r="43" spans="1:10" hidden="1" x14ac:dyDescent="0.3">
      <c r="A43" s="16" t="s">
        <v>1836</v>
      </c>
      <c r="B43" s="16" t="s">
        <v>1104</v>
      </c>
      <c r="C43" s="16" t="s">
        <v>1817</v>
      </c>
      <c r="D43" s="16" t="s">
        <v>1837</v>
      </c>
      <c r="E43" s="16" t="s">
        <v>1778</v>
      </c>
      <c r="F43" s="16" t="s">
        <v>18</v>
      </c>
      <c r="G43" s="16" t="s">
        <v>555</v>
      </c>
      <c r="I43" s="16" t="s">
        <v>1770</v>
      </c>
      <c r="J43" s="16" t="s">
        <v>33</v>
      </c>
    </row>
    <row r="44" spans="1:10" hidden="1" x14ac:dyDescent="0.3">
      <c r="A44" s="16" t="s">
        <v>1838</v>
      </c>
      <c r="B44" s="16" t="s">
        <v>1104</v>
      </c>
      <c r="C44" s="16" t="s">
        <v>1817</v>
      </c>
      <c r="D44" s="16" t="s">
        <v>1839</v>
      </c>
      <c r="E44" s="16" t="s">
        <v>1778</v>
      </c>
      <c r="F44" s="16" t="s">
        <v>18</v>
      </c>
      <c r="G44" s="16" t="s">
        <v>555</v>
      </c>
      <c r="I44" s="16" t="s">
        <v>1770</v>
      </c>
      <c r="J44" s="16" t="s">
        <v>33</v>
      </c>
    </row>
    <row r="45" spans="1:10" hidden="1" x14ac:dyDescent="0.3">
      <c r="A45" s="16" t="s">
        <v>1840</v>
      </c>
      <c r="B45" s="16"/>
      <c r="C45" s="16"/>
      <c r="D45" s="16" t="s">
        <v>1841</v>
      </c>
      <c r="E45" s="16" t="s">
        <v>1778</v>
      </c>
      <c r="F45" s="16" t="s">
        <v>50</v>
      </c>
      <c r="G45" s="16" t="s">
        <v>555</v>
      </c>
      <c r="J45" s="16" t="s">
        <v>33</v>
      </c>
    </row>
    <row r="46" spans="1:10" hidden="1" x14ac:dyDescent="0.3">
      <c r="A46" s="16" t="s">
        <v>1842</v>
      </c>
      <c r="B46" s="16"/>
      <c r="C46" s="16"/>
      <c r="D46" s="16" t="s">
        <v>1843</v>
      </c>
      <c r="E46" s="16" t="s">
        <v>1778</v>
      </c>
      <c r="F46" s="16" t="s">
        <v>50</v>
      </c>
      <c r="G46" s="16" t="s">
        <v>555</v>
      </c>
      <c r="J46" s="16" t="s">
        <v>33</v>
      </c>
    </row>
    <row r="47" spans="1:10" hidden="1" x14ac:dyDescent="0.3">
      <c r="A47" s="16" t="s">
        <v>1844</v>
      </c>
      <c r="B47" s="16"/>
      <c r="C47" s="16"/>
      <c r="D47" s="16" t="s">
        <v>1845</v>
      </c>
      <c r="E47" s="16" t="s">
        <v>1778</v>
      </c>
      <c r="F47" s="16" t="s">
        <v>50</v>
      </c>
      <c r="G47" s="16" t="s">
        <v>555</v>
      </c>
      <c r="J47" s="16" t="s">
        <v>33</v>
      </c>
    </row>
    <row r="48" spans="1:10" hidden="1" x14ac:dyDescent="0.3">
      <c r="A48" s="16" t="s">
        <v>1846</v>
      </c>
      <c r="B48" s="16"/>
      <c r="C48" s="16"/>
      <c r="D48" s="16" t="s">
        <v>1847</v>
      </c>
      <c r="E48" s="16" t="s">
        <v>1778</v>
      </c>
      <c r="F48" s="16" t="s">
        <v>50</v>
      </c>
      <c r="G48" s="16" t="s">
        <v>555</v>
      </c>
      <c r="J48" s="16" t="s">
        <v>33</v>
      </c>
    </row>
    <row r="49" spans="1:10" hidden="1" x14ac:dyDescent="0.3">
      <c r="A49" s="16" t="s">
        <v>1846</v>
      </c>
      <c r="B49" s="16" t="s">
        <v>1104</v>
      </c>
      <c r="C49" s="16" t="s">
        <v>1817</v>
      </c>
      <c r="D49" s="16" t="s">
        <v>1848</v>
      </c>
      <c r="E49" s="16" t="s">
        <v>1778</v>
      </c>
      <c r="F49" s="16" t="s">
        <v>18</v>
      </c>
      <c r="G49" s="16" t="s">
        <v>555</v>
      </c>
      <c r="I49" s="16" t="s">
        <v>1770</v>
      </c>
      <c r="J49" s="16" t="s">
        <v>33</v>
      </c>
    </row>
    <row r="50" spans="1:10" hidden="1" x14ac:dyDescent="0.3">
      <c r="A50" s="16" t="s">
        <v>1849</v>
      </c>
      <c r="B50" s="16"/>
      <c r="C50" s="16"/>
      <c r="D50" s="16" t="s">
        <v>1850</v>
      </c>
      <c r="E50" s="16" t="s">
        <v>1778</v>
      </c>
      <c r="F50" s="16" t="s">
        <v>50</v>
      </c>
      <c r="G50" s="16" t="s">
        <v>555</v>
      </c>
      <c r="J50" s="16" t="s">
        <v>33</v>
      </c>
    </row>
    <row r="51" spans="1:10" hidden="1" x14ac:dyDescent="0.3">
      <c r="A51" s="16" t="s">
        <v>1849</v>
      </c>
      <c r="B51" s="16" t="s">
        <v>1104</v>
      </c>
      <c r="C51" s="16" t="s">
        <v>1817</v>
      </c>
      <c r="D51" s="16" t="s">
        <v>1851</v>
      </c>
      <c r="E51" s="16" t="s">
        <v>1778</v>
      </c>
      <c r="F51" s="16" t="s">
        <v>18</v>
      </c>
      <c r="G51" s="16" t="s">
        <v>555</v>
      </c>
      <c r="I51" s="16" t="s">
        <v>1770</v>
      </c>
      <c r="J51" s="16" t="s">
        <v>33</v>
      </c>
    </row>
    <row r="52" spans="1:10" hidden="1" x14ac:dyDescent="0.3">
      <c r="A52" s="16" t="s">
        <v>1852</v>
      </c>
      <c r="B52" s="16"/>
      <c r="C52" s="16"/>
      <c r="D52" s="16" t="s">
        <v>1853</v>
      </c>
      <c r="E52" s="16" t="s">
        <v>1778</v>
      </c>
      <c r="F52" s="16" t="s">
        <v>50</v>
      </c>
      <c r="G52" s="16" t="s">
        <v>555</v>
      </c>
      <c r="J52" s="16" t="s">
        <v>33</v>
      </c>
    </row>
    <row r="53" spans="1:10" hidden="1" x14ac:dyDescent="0.3">
      <c r="A53" s="16" t="s">
        <v>1852</v>
      </c>
      <c r="B53" s="16" t="s">
        <v>1104</v>
      </c>
      <c r="C53" s="16" t="s">
        <v>1817</v>
      </c>
      <c r="D53" s="16" t="s">
        <v>1854</v>
      </c>
      <c r="E53" s="16" t="s">
        <v>1778</v>
      </c>
      <c r="F53" s="16" t="s">
        <v>18</v>
      </c>
      <c r="G53" s="16" t="s">
        <v>555</v>
      </c>
      <c r="I53" s="16" t="s">
        <v>1770</v>
      </c>
      <c r="J53" s="16" t="s">
        <v>33</v>
      </c>
    </row>
    <row r="54" spans="1:10" hidden="1" x14ac:dyDescent="0.3">
      <c r="A54" s="16" t="s">
        <v>1855</v>
      </c>
      <c r="B54" s="16"/>
      <c r="C54" s="16"/>
      <c r="D54" s="16" t="s">
        <v>1856</v>
      </c>
      <c r="E54" s="16" t="s">
        <v>1778</v>
      </c>
      <c r="F54" s="16" t="s">
        <v>50</v>
      </c>
      <c r="G54" s="16" t="s">
        <v>555</v>
      </c>
      <c r="J54" s="16" t="s">
        <v>33</v>
      </c>
    </row>
    <row r="55" spans="1:10" hidden="1" x14ac:dyDescent="0.3">
      <c r="A55" s="16" t="s">
        <v>1855</v>
      </c>
      <c r="B55" s="16" t="s">
        <v>1104</v>
      </c>
      <c r="C55" s="16" t="s">
        <v>1817</v>
      </c>
      <c r="D55" s="16" t="s">
        <v>1857</v>
      </c>
      <c r="E55" s="16" t="s">
        <v>1778</v>
      </c>
      <c r="F55" s="16" t="s">
        <v>18</v>
      </c>
      <c r="G55" s="16" t="s">
        <v>555</v>
      </c>
      <c r="I55" s="16" t="s">
        <v>1770</v>
      </c>
      <c r="J55" s="16" t="s">
        <v>33</v>
      </c>
    </row>
    <row r="56" spans="1:10" hidden="1" x14ac:dyDescent="0.3">
      <c r="A56" s="16" t="s">
        <v>1858</v>
      </c>
      <c r="B56" s="16"/>
      <c r="C56" s="16"/>
      <c r="D56" s="16" t="s">
        <v>1859</v>
      </c>
      <c r="E56" s="16" t="s">
        <v>1778</v>
      </c>
      <c r="F56" s="16" t="s">
        <v>50</v>
      </c>
      <c r="G56" s="16" t="s">
        <v>555</v>
      </c>
      <c r="J56" s="16" t="s">
        <v>33</v>
      </c>
    </row>
    <row r="57" spans="1:10" hidden="1" x14ac:dyDescent="0.3">
      <c r="A57" s="16" t="s">
        <v>1858</v>
      </c>
      <c r="B57" s="16" t="s">
        <v>1104</v>
      </c>
      <c r="C57" s="16" t="s">
        <v>1817</v>
      </c>
      <c r="D57" s="16" t="s">
        <v>1860</v>
      </c>
      <c r="E57" s="16" t="s">
        <v>1778</v>
      </c>
      <c r="F57" s="16" t="s">
        <v>18</v>
      </c>
      <c r="G57" s="16" t="s">
        <v>555</v>
      </c>
      <c r="I57" s="16" t="s">
        <v>1770</v>
      </c>
      <c r="J57" s="16" t="s">
        <v>33</v>
      </c>
    </row>
    <row r="58" spans="1:10" hidden="1" x14ac:dyDescent="0.3">
      <c r="A58" s="16" t="s">
        <v>1861</v>
      </c>
      <c r="B58" s="16"/>
      <c r="C58" s="16"/>
      <c r="D58" s="16" t="s">
        <v>1862</v>
      </c>
      <c r="E58" s="16" t="s">
        <v>1778</v>
      </c>
      <c r="F58" s="16" t="s">
        <v>50</v>
      </c>
      <c r="G58" s="16" t="s">
        <v>555</v>
      </c>
      <c r="J58" s="16" t="s">
        <v>33</v>
      </c>
    </row>
    <row r="59" spans="1:10" hidden="1" x14ac:dyDescent="0.3">
      <c r="A59" s="16" t="s">
        <v>1861</v>
      </c>
      <c r="B59" s="16" t="s">
        <v>1104</v>
      </c>
      <c r="C59" s="16" t="s">
        <v>1817</v>
      </c>
      <c r="D59" s="16" t="s">
        <v>1863</v>
      </c>
      <c r="E59" s="16" t="s">
        <v>1778</v>
      </c>
      <c r="F59" s="16" t="s">
        <v>18</v>
      </c>
      <c r="G59" s="16" t="s">
        <v>555</v>
      </c>
      <c r="I59" s="16" t="s">
        <v>1770</v>
      </c>
      <c r="J59" s="16" t="s">
        <v>33</v>
      </c>
    </row>
    <row r="60" spans="1:10" hidden="1" x14ac:dyDescent="0.3">
      <c r="A60" s="16" t="s">
        <v>1864</v>
      </c>
      <c r="B60" s="16" t="s">
        <v>1104</v>
      </c>
      <c r="C60" s="16" t="s">
        <v>1817</v>
      </c>
      <c r="D60" s="16" t="s">
        <v>1865</v>
      </c>
      <c r="E60" s="16" t="s">
        <v>1778</v>
      </c>
      <c r="F60" s="16" t="s">
        <v>18</v>
      </c>
      <c r="G60" s="16" t="s">
        <v>555</v>
      </c>
      <c r="I60" s="16" t="s">
        <v>1770</v>
      </c>
      <c r="J60" s="16" t="s">
        <v>33</v>
      </c>
    </row>
    <row r="61" spans="1:10" hidden="1" x14ac:dyDescent="0.3">
      <c r="A61" s="16" t="s">
        <v>1866</v>
      </c>
      <c r="B61" s="16" t="s">
        <v>1104</v>
      </c>
      <c r="C61" s="16" t="s">
        <v>1817</v>
      </c>
      <c r="D61" s="16" t="s">
        <v>1867</v>
      </c>
      <c r="E61" s="16" t="s">
        <v>1778</v>
      </c>
      <c r="F61" s="16" t="s">
        <v>18</v>
      </c>
      <c r="G61" s="16" t="s">
        <v>555</v>
      </c>
      <c r="I61" s="16" t="s">
        <v>1770</v>
      </c>
      <c r="J61" s="16" t="s">
        <v>33</v>
      </c>
    </row>
    <row r="62" spans="1:10" hidden="1" x14ac:dyDescent="0.3">
      <c r="A62" s="16" t="s">
        <v>1868</v>
      </c>
      <c r="B62" s="16" t="s">
        <v>1104</v>
      </c>
      <c r="C62" s="16" t="s">
        <v>1817</v>
      </c>
      <c r="D62" s="16" t="s">
        <v>1869</v>
      </c>
      <c r="E62" s="16" t="s">
        <v>1778</v>
      </c>
      <c r="F62" s="16" t="s">
        <v>18</v>
      </c>
      <c r="G62" s="16" t="s">
        <v>555</v>
      </c>
      <c r="I62" s="16" t="s">
        <v>1770</v>
      </c>
      <c r="J62" s="16" t="s">
        <v>33</v>
      </c>
    </row>
    <row r="63" spans="1:10" hidden="1" x14ac:dyDescent="0.3">
      <c r="A63" s="16" t="s">
        <v>1870</v>
      </c>
      <c r="B63" s="16" t="s">
        <v>1104</v>
      </c>
      <c r="C63" s="16" t="s">
        <v>1817</v>
      </c>
      <c r="D63" s="16" t="s">
        <v>1871</v>
      </c>
      <c r="E63" s="16" t="s">
        <v>1778</v>
      </c>
      <c r="F63" s="16" t="s">
        <v>18</v>
      </c>
      <c r="G63" s="16" t="s">
        <v>555</v>
      </c>
      <c r="I63" s="16" t="s">
        <v>1770</v>
      </c>
      <c r="J63" s="16" t="s">
        <v>33</v>
      </c>
    </row>
    <row r="64" spans="1:10" hidden="1" x14ac:dyDescent="0.3">
      <c r="A64" s="16" t="s">
        <v>1872</v>
      </c>
      <c r="B64" s="16" t="s">
        <v>1104</v>
      </c>
      <c r="C64" s="16" t="s">
        <v>1817</v>
      </c>
      <c r="D64" s="16" t="s">
        <v>1873</v>
      </c>
      <c r="E64" s="16" t="s">
        <v>1778</v>
      </c>
      <c r="F64" s="16" t="s">
        <v>18</v>
      </c>
      <c r="G64" s="16" t="s">
        <v>555</v>
      </c>
      <c r="I64" s="16" t="s">
        <v>1770</v>
      </c>
      <c r="J64" s="16" t="s">
        <v>33</v>
      </c>
    </row>
    <row r="65" spans="1:14" hidden="1" x14ac:dyDescent="0.3">
      <c r="A65" s="16" t="s">
        <v>1874</v>
      </c>
      <c r="B65" s="16" t="s">
        <v>1104</v>
      </c>
      <c r="C65" s="16" t="s">
        <v>1817</v>
      </c>
      <c r="D65" s="16" t="s">
        <v>1875</v>
      </c>
      <c r="E65" s="16" t="s">
        <v>1778</v>
      </c>
      <c r="F65" s="16" t="s">
        <v>18</v>
      </c>
      <c r="G65" s="16" t="s">
        <v>555</v>
      </c>
      <c r="I65" s="16" t="s">
        <v>1770</v>
      </c>
      <c r="J65" s="16" t="s">
        <v>33</v>
      </c>
    </row>
    <row r="66" spans="1:14" hidden="1" x14ac:dyDescent="0.3">
      <c r="A66" s="16" t="s">
        <v>1420</v>
      </c>
      <c r="B66" s="16" t="s">
        <v>1105</v>
      </c>
      <c r="C66" s="16"/>
      <c r="D66" s="16" t="s">
        <v>1421</v>
      </c>
      <c r="E66" s="16" t="s">
        <v>1779</v>
      </c>
      <c r="F66" s="16" t="s">
        <v>18</v>
      </c>
      <c r="G66" s="16" t="s">
        <v>1791</v>
      </c>
      <c r="I66" s="16" t="s">
        <v>1127</v>
      </c>
      <c r="J66" s="16" t="s">
        <v>33</v>
      </c>
    </row>
    <row r="67" spans="1:14" hidden="1" x14ac:dyDescent="0.3">
      <c r="A67" s="16" t="s">
        <v>1876</v>
      </c>
      <c r="B67" s="16"/>
      <c r="C67" s="16"/>
      <c r="D67" s="16" t="s">
        <v>1877</v>
      </c>
      <c r="E67" s="16" t="s">
        <v>1779</v>
      </c>
      <c r="F67" s="16" t="s">
        <v>388</v>
      </c>
      <c r="G67" s="16" t="s">
        <v>539</v>
      </c>
      <c r="J67" s="16" t="s">
        <v>33</v>
      </c>
      <c r="L67" s="16" t="s">
        <v>32</v>
      </c>
      <c r="N67" s="16" t="s">
        <v>33</v>
      </c>
    </row>
    <row r="68" spans="1:14" hidden="1" x14ac:dyDescent="0.3">
      <c r="A68" s="16" t="s">
        <v>1422</v>
      </c>
      <c r="B68" s="16"/>
      <c r="C68" s="16"/>
      <c r="D68" s="16" t="s">
        <v>1423</v>
      </c>
      <c r="E68" s="16" t="s">
        <v>1779</v>
      </c>
      <c r="F68" s="16" t="s">
        <v>18</v>
      </c>
      <c r="G68" s="16" t="s">
        <v>539</v>
      </c>
      <c r="I68" s="16" t="s">
        <v>1127</v>
      </c>
      <c r="J68" s="16" t="s">
        <v>33</v>
      </c>
    </row>
    <row r="69" spans="1:14" hidden="1" x14ac:dyDescent="0.3">
      <c r="A69" s="16" t="s">
        <v>1422</v>
      </c>
      <c r="B69" s="16"/>
      <c r="C69" s="16"/>
      <c r="D69" s="16" t="s">
        <v>1878</v>
      </c>
      <c r="E69" s="16" t="s">
        <v>1779</v>
      </c>
      <c r="F69" s="16" t="s">
        <v>388</v>
      </c>
      <c r="G69" s="16" t="s">
        <v>539</v>
      </c>
      <c r="J69" s="16" t="s">
        <v>33</v>
      </c>
      <c r="L69" s="16" t="s">
        <v>32</v>
      </c>
    </row>
    <row r="70" spans="1:14" hidden="1" x14ac:dyDescent="0.3">
      <c r="A70" s="16" t="s">
        <v>1424</v>
      </c>
      <c r="B70" s="16"/>
      <c r="C70" s="16"/>
      <c r="D70" s="16" t="s">
        <v>1425</v>
      </c>
      <c r="E70" s="16" t="s">
        <v>1779</v>
      </c>
      <c r="F70" s="16" t="s">
        <v>18</v>
      </c>
      <c r="G70" s="16" t="s">
        <v>539</v>
      </c>
      <c r="I70" s="16" t="s">
        <v>1127</v>
      </c>
      <c r="J70" s="16" t="s">
        <v>33</v>
      </c>
    </row>
    <row r="71" spans="1:14" hidden="1" x14ac:dyDescent="0.3">
      <c r="A71" s="16" t="s">
        <v>1210</v>
      </c>
      <c r="B71" s="16"/>
      <c r="C71" s="16"/>
      <c r="D71" s="16" t="s">
        <v>1426</v>
      </c>
      <c r="E71" s="16" t="s">
        <v>1779</v>
      </c>
      <c r="F71" s="16" t="s">
        <v>18</v>
      </c>
      <c r="G71" s="16" t="s">
        <v>1791</v>
      </c>
      <c r="I71" s="16" t="s">
        <v>1103</v>
      </c>
      <c r="J71" s="16" t="s">
        <v>33</v>
      </c>
    </row>
    <row r="72" spans="1:14" hidden="1" x14ac:dyDescent="0.3">
      <c r="A72" s="16" t="s">
        <v>1210</v>
      </c>
      <c r="B72" s="16"/>
      <c r="C72" s="16"/>
      <c r="D72" s="16" t="s">
        <v>1211</v>
      </c>
      <c r="E72" s="16" t="s">
        <v>1778</v>
      </c>
      <c r="F72" s="16" t="s">
        <v>18</v>
      </c>
      <c r="G72" s="16" t="s">
        <v>1791</v>
      </c>
      <c r="I72" s="16" t="s">
        <v>1103</v>
      </c>
      <c r="J72" s="16" t="s">
        <v>33</v>
      </c>
    </row>
    <row r="73" spans="1:14" hidden="1" x14ac:dyDescent="0.3">
      <c r="A73" s="16" t="s">
        <v>1427</v>
      </c>
      <c r="B73" s="16"/>
      <c r="C73" s="16"/>
      <c r="D73" s="16" t="s">
        <v>1428</v>
      </c>
      <c r="E73" s="16" t="s">
        <v>1779</v>
      </c>
      <c r="F73" s="16" t="s">
        <v>18</v>
      </c>
      <c r="G73" s="16" t="s">
        <v>617</v>
      </c>
      <c r="I73" s="16" t="s">
        <v>1127</v>
      </c>
      <c r="J73" s="16" t="s">
        <v>33</v>
      </c>
    </row>
    <row r="74" spans="1:14" hidden="1" x14ac:dyDescent="0.3">
      <c r="A74" s="16" t="s">
        <v>1879</v>
      </c>
      <c r="B74" s="16"/>
      <c r="C74" s="16"/>
      <c r="D74" s="16" t="s">
        <v>1880</v>
      </c>
      <c r="E74" s="16" t="s">
        <v>1779</v>
      </c>
      <c r="F74" s="16" t="s">
        <v>18</v>
      </c>
      <c r="G74" s="16" t="s">
        <v>539</v>
      </c>
      <c r="I74" s="16" t="s">
        <v>1770</v>
      </c>
      <c r="J74" s="16" t="s">
        <v>33</v>
      </c>
    </row>
    <row r="75" spans="1:14" hidden="1" x14ac:dyDescent="0.3">
      <c r="A75" s="16" t="s">
        <v>1212</v>
      </c>
      <c r="B75" s="16"/>
      <c r="C75" s="16"/>
      <c r="D75" s="16" t="s">
        <v>1429</v>
      </c>
      <c r="E75" s="16" t="s">
        <v>1779</v>
      </c>
      <c r="F75" s="16" t="s">
        <v>18</v>
      </c>
      <c r="G75" s="16" t="s">
        <v>539</v>
      </c>
      <c r="I75" s="16" t="s">
        <v>1103</v>
      </c>
      <c r="J75" s="16" t="s">
        <v>33</v>
      </c>
    </row>
    <row r="76" spans="1:14" hidden="1" x14ac:dyDescent="0.3">
      <c r="A76" s="16" t="s">
        <v>1212</v>
      </c>
      <c r="B76" s="16"/>
      <c r="C76" s="16"/>
      <c r="D76" s="16" t="s">
        <v>1213</v>
      </c>
      <c r="E76" s="16" t="s">
        <v>1778</v>
      </c>
      <c r="F76" s="16" t="s">
        <v>18</v>
      </c>
      <c r="G76" s="16" t="s">
        <v>539</v>
      </c>
      <c r="I76" s="16" t="s">
        <v>1103</v>
      </c>
      <c r="J76" s="16" t="s">
        <v>33</v>
      </c>
    </row>
    <row r="77" spans="1:14" hidden="1" x14ac:dyDescent="0.3">
      <c r="A77" s="16" t="s">
        <v>300</v>
      </c>
      <c r="B77" s="16"/>
      <c r="C77" s="16"/>
      <c r="D77" s="16" t="s">
        <v>301</v>
      </c>
      <c r="E77" s="16" t="s">
        <v>1779</v>
      </c>
      <c r="F77" s="16" t="s">
        <v>18</v>
      </c>
      <c r="G77" s="16" t="s">
        <v>539</v>
      </c>
      <c r="I77" s="16" t="s">
        <v>1127</v>
      </c>
      <c r="J77" s="16" t="s">
        <v>33</v>
      </c>
    </row>
    <row r="78" spans="1:14" hidden="1" x14ac:dyDescent="0.3">
      <c r="A78" s="16" t="s">
        <v>304</v>
      </c>
      <c r="B78" s="16"/>
      <c r="C78" s="16"/>
      <c r="D78" s="16" t="s">
        <v>499</v>
      </c>
      <c r="E78" s="16" t="s">
        <v>1779</v>
      </c>
      <c r="F78" s="16" t="s">
        <v>50</v>
      </c>
      <c r="G78" s="16" t="s">
        <v>684</v>
      </c>
      <c r="J78" s="16" t="s">
        <v>33</v>
      </c>
    </row>
    <row r="79" spans="1:14" hidden="1" x14ac:dyDescent="0.3">
      <c r="A79" s="16" t="s">
        <v>1430</v>
      </c>
      <c r="B79" s="16"/>
      <c r="C79" s="16"/>
      <c r="D79" s="16" t="s">
        <v>1431</v>
      </c>
      <c r="E79" s="16" t="s">
        <v>1779</v>
      </c>
      <c r="F79" s="16" t="s">
        <v>18</v>
      </c>
      <c r="G79" s="16" t="s">
        <v>588</v>
      </c>
      <c r="I79" s="16" t="s">
        <v>1103</v>
      </c>
      <c r="J79" s="16" t="s">
        <v>33</v>
      </c>
    </row>
    <row r="80" spans="1:14" hidden="1" x14ac:dyDescent="0.3">
      <c r="A80" s="16" t="s">
        <v>1432</v>
      </c>
      <c r="B80" s="16"/>
      <c r="C80" s="16"/>
      <c r="D80" s="16" t="s">
        <v>1433</v>
      </c>
      <c r="E80" s="16" t="s">
        <v>1779</v>
      </c>
      <c r="F80" s="16" t="s">
        <v>18</v>
      </c>
      <c r="G80" s="16" t="s">
        <v>588</v>
      </c>
      <c r="I80" s="16" t="s">
        <v>1103</v>
      </c>
      <c r="J80" s="16" t="s">
        <v>33</v>
      </c>
    </row>
    <row r="81" spans="1:10" hidden="1" x14ac:dyDescent="0.3">
      <c r="A81" s="16" t="s">
        <v>1434</v>
      </c>
      <c r="B81" s="16"/>
      <c r="C81" s="16"/>
      <c r="D81" s="16" t="s">
        <v>1435</v>
      </c>
      <c r="E81" s="16" t="s">
        <v>1779</v>
      </c>
      <c r="F81" s="16" t="s">
        <v>133</v>
      </c>
      <c r="G81" s="16" t="s">
        <v>588</v>
      </c>
      <c r="J81" s="16" t="s">
        <v>33</v>
      </c>
    </row>
    <row r="82" spans="1:10" hidden="1" x14ac:dyDescent="0.3">
      <c r="A82" s="16" t="s">
        <v>1436</v>
      </c>
      <c r="B82" s="16"/>
      <c r="C82" s="16"/>
      <c r="D82" s="16" t="s">
        <v>1437</v>
      </c>
      <c r="E82" s="16" t="s">
        <v>1779</v>
      </c>
      <c r="F82" s="16" t="s">
        <v>133</v>
      </c>
      <c r="G82" s="16" t="s">
        <v>588</v>
      </c>
      <c r="J82" s="16" t="s">
        <v>33</v>
      </c>
    </row>
    <row r="83" spans="1:10" hidden="1" x14ac:dyDescent="0.3">
      <c r="A83" s="16" t="s">
        <v>1438</v>
      </c>
      <c r="B83" s="16"/>
      <c r="C83" s="16"/>
      <c r="D83" s="16" t="s">
        <v>1439</v>
      </c>
      <c r="E83" s="16" t="s">
        <v>1779</v>
      </c>
      <c r="F83" s="16" t="s">
        <v>18</v>
      </c>
      <c r="G83" s="16" t="s">
        <v>1791</v>
      </c>
      <c r="I83" s="16" t="s">
        <v>1127</v>
      </c>
      <c r="J83" s="16" t="s">
        <v>33</v>
      </c>
    </row>
    <row r="84" spans="1:10" hidden="1" x14ac:dyDescent="0.3">
      <c r="A84" s="16" t="s">
        <v>1440</v>
      </c>
      <c r="B84" s="16"/>
      <c r="C84" s="16"/>
      <c r="D84" s="16" t="s">
        <v>1441</v>
      </c>
      <c r="E84" s="16" t="s">
        <v>1779</v>
      </c>
      <c r="F84" s="16" t="s">
        <v>18</v>
      </c>
      <c r="G84" s="16" t="s">
        <v>1791</v>
      </c>
      <c r="I84" s="16" t="s">
        <v>1127</v>
      </c>
      <c r="J84" s="16" t="s">
        <v>33</v>
      </c>
    </row>
    <row r="85" spans="1:10" hidden="1" x14ac:dyDescent="0.3">
      <c r="A85" s="16" t="s">
        <v>1881</v>
      </c>
      <c r="B85" s="16"/>
      <c r="C85" s="16"/>
      <c r="D85" s="16" t="s">
        <v>1882</v>
      </c>
      <c r="E85" s="16" t="s">
        <v>1779</v>
      </c>
      <c r="F85" s="16" t="s">
        <v>50</v>
      </c>
      <c r="G85" s="16" t="s">
        <v>617</v>
      </c>
      <c r="J85" s="16" t="s">
        <v>33</v>
      </c>
    </row>
    <row r="86" spans="1:10" hidden="1" x14ac:dyDescent="0.3">
      <c r="A86" s="16" t="s">
        <v>1442</v>
      </c>
      <c r="B86" s="16"/>
      <c r="C86" s="16"/>
      <c r="D86" s="16" t="s">
        <v>1443</v>
      </c>
      <c r="E86" s="16" t="s">
        <v>1779</v>
      </c>
      <c r="F86" s="16" t="s">
        <v>18</v>
      </c>
      <c r="G86" s="16" t="s">
        <v>1791</v>
      </c>
      <c r="I86" s="16" t="s">
        <v>1127</v>
      </c>
      <c r="J86" s="16" t="s">
        <v>33</v>
      </c>
    </row>
    <row r="87" spans="1:10" hidden="1" x14ac:dyDescent="0.3">
      <c r="A87" s="16" t="s">
        <v>302</v>
      </c>
      <c r="B87" s="16"/>
      <c r="C87" s="16"/>
      <c r="D87" s="16" t="s">
        <v>303</v>
      </c>
      <c r="E87" s="16" t="s">
        <v>1779</v>
      </c>
      <c r="F87" s="16" t="s">
        <v>18</v>
      </c>
      <c r="G87" s="16" t="s">
        <v>617</v>
      </c>
      <c r="I87" s="16" t="s">
        <v>1127</v>
      </c>
      <c r="J87" s="16" t="s">
        <v>33</v>
      </c>
    </row>
    <row r="88" spans="1:10" hidden="1" x14ac:dyDescent="0.3">
      <c r="A88" s="16" t="s">
        <v>1883</v>
      </c>
      <c r="B88" s="16"/>
      <c r="C88" s="16"/>
      <c r="D88" s="16" t="s">
        <v>1884</v>
      </c>
      <c r="E88" s="16" t="s">
        <v>1808</v>
      </c>
      <c r="F88" s="16" t="s">
        <v>133</v>
      </c>
      <c r="G88" s="16" t="s">
        <v>1885</v>
      </c>
      <c r="J88" s="16" t="s">
        <v>33</v>
      </c>
    </row>
    <row r="89" spans="1:10" hidden="1" x14ac:dyDescent="0.3">
      <c r="A89" s="16" t="s">
        <v>1214</v>
      </c>
      <c r="B89" s="16"/>
      <c r="C89" s="16"/>
      <c r="D89" s="16" t="s">
        <v>1215</v>
      </c>
      <c r="E89" s="16" t="s">
        <v>1778</v>
      </c>
      <c r="F89" s="16" t="s">
        <v>18</v>
      </c>
      <c r="G89" s="16" t="s">
        <v>588</v>
      </c>
      <c r="I89" s="16" t="s">
        <v>1103</v>
      </c>
      <c r="J89" s="16" t="s">
        <v>33</v>
      </c>
    </row>
    <row r="90" spans="1:10" hidden="1" x14ac:dyDescent="0.3">
      <c r="A90" s="16" t="s">
        <v>1216</v>
      </c>
      <c r="B90" s="16"/>
      <c r="C90" s="16"/>
      <c r="D90" s="16" t="s">
        <v>1217</v>
      </c>
      <c r="E90" s="16" t="s">
        <v>1778</v>
      </c>
      <c r="F90" s="16" t="s">
        <v>18</v>
      </c>
      <c r="G90" s="16" t="s">
        <v>588</v>
      </c>
      <c r="I90" s="16" t="s">
        <v>1103</v>
      </c>
      <c r="J90" s="16" t="s">
        <v>33</v>
      </c>
    </row>
    <row r="91" spans="1:10" hidden="1" x14ac:dyDescent="0.3">
      <c r="A91" s="16" t="s">
        <v>1886</v>
      </c>
      <c r="B91" s="16"/>
      <c r="C91" s="16"/>
      <c r="D91" s="16" t="s">
        <v>1887</v>
      </c>
      <c r="E91" s="16" t="s">
        <v>1778</v>
      </c>
      <c r="F91" s="16" t="s">
        <v>133</v>
      </c>
      <c r="G91" s="16" t="s">
        <v>588</v>
      </c>
      <c r="J91" s="16" t="s">
        <v>33</v>
      </c>
    </row>
    <row r="92" spans="1:10" hidden="1" x14ac:dyDescent="0.3">
      <c r="A92" s="16" t="s">
        <v>1888</v>
      </c>
      <c r="B92" s="16"/>
      <c r="C92" s="16"/>
      <c r="D92" s="16" t="s">
        <v>1889</v>
      </c>
      <c r="E92" s="16" t="s">
        <v>1778</v>
      </c>
      <c r="F92" s="16" t="s">
        <v>133</v>
      </c>
      <c r="G92" s="16" t="s">
        <v>588</v>
      </c>
      <c r="J92" s="16" t="s">
        <v>33</v>
      </c>
    </row>
    <row r="93" spans="1:10" hidden="1" x14ac:dyDescent="0.3">
      <c r="A93" s="16" t="s">
        <v>1218</v>
      </c>
      <c r="B93" s="16"/>
      <c r="C93" s="16"/>
      <c r="D93" s="16" t="s">
        <v>1444</v>
      </c>
      <c r="E93" s="16" t="s">
        <v>1779</v>
      </c>
      <c r="F93" s="16" t="s">
        <v>18</v>
      </c>
      <c r="G93" s="16" t="s">
        <v>1791</v>
      </c>
      <c r="I93" s="16" t="s">
        <v>1103</v>
      </c>
      <c r="J93" s="16" t="s">
        <v>33</v>
      </c>
    </row>
    <row r="94" spans="1:10" hidden="1" x14ac:dyDescent="0.3">
      <c r="A94" s="16" t="s">
        <v>1218</v>
      </c>
      <c r="B94" s="16"/>
      <c r="C94" s="16"/>
      <c r="D94" s="16" t="s">
        <v>1219</v>
      </c>
      <c r="E94" s="16" t="s">
        <v>1778</v>
      </c>
      <c r="F94" s="16" t="s">
        <v>18</v>
      </c>
      <c r="G94" s="16" t="s">
        <v>1791</v>
      </c>
      <c r="I94" s="16" t="s">
        <v>1103</v>
      </c>
      <c r="J94" s="16" t="s">
        <v>33</v>
      </c>
    </row>
    <row r="95" spans="1:10" hidden="1" x14ac:dyDescent="0.3">
      <c r="A95" s="16" t="s">
        <v>1220</v>
      </c>
      <c r="B95" s="16"/>
      <c r="C95" s="16"/>
      <c r="D95" s="16" t="s">
        <v>1221</v>
      </c>
      <c r="E95" s="16" t="s">
        <v>1778</v>
      </c>
      <c r="F95" s="16" t="s">
        <v>18</v>
      </c>
      <c r="G95" s="16" t="s">
        <v>539</v>
      </c>
      <c r="I95" s="16" t="s">
        <v>1103</v>
      </c>
      <c r="J95" s="16" t="s">
        <v>33</v>
      </c>
    </row>
    <row r="96" spans="1:10" hidden="1" x14ac:dyDescent="0.3">
      <c r="A96" s="16" t="s">
        <v>1222</v>
      </c>
      <c r="B96" s="16"/>
      <c r="C96" s="16"/>
      <c r="D96" s="16" t="s">
        <v>1223</v>
      </c>
      <c r="E96" s="16" t="s">
        <v>1778</v>
      </c>
      <c r="F96" s="16" t="s">
        <v>18</v>
      </c>
      <c r="G96" s="16" t="s">
        <v>539</v>
      </c>
      <c r="I96" s="16" t="s">
        <v>1103</v>
      </c>
      <c r="J96" s="16" t="s">
        <v>33</v>
      </c>
    </row>
    <row r="97" spans="1:10" hidden="1" x14ac:dyDescent="0.3">
      <c r="A97" s="16" t="s">
        <v>1222</v>
      </c>
      <c r="B97" s="16"/>
      <c r="C97" s="16"/>
      <c r="D97" s="16" t="s">
        <v>1445</v>
      </c>
      <c r="E97" s="16" t="s">
        <v>1779</v>
      </c>
      <c r="F97" s="16" t="s">
        <v>18</v>
      </c>
      <c r="G97" s="16" t="s">
        <v>539</v>
      </c>
      <c r="I97" s="16" t="s">
        <v>1103</v>
      </c>
      <c r="J97" s="16" t="s">
        <v>33</v>
      </c>
    </row>
    <row r="98" spans="1:10" hidden="1" x14ac:dyDescent="0.3">
      <c r="A98" s="16" t="s">
        <v>1224</v>
      </c>
      <c r="B98" s="16"/>
      <c r="C98" s="16"/>
      <c r="D98" s="16" t="s">
        <v>1446</v>
      </c>
      <c r="E98" s="16" t="s">
        <v>1779</v>
      </c>
      <c r="F98" s="16" t="s">
        <v>18</v>
      </c>
      <c r="G98" s="16" t="s">
        <v>539</v>
      </c>
      <c r="I98" s="16" t="s">
        <v>1103</v>
      </c>
      <c r="J98" s="16" t="s">
        <v>33</v>
      </c>
    </row>
    <row r="99" spans="1:10" hidden="1" x14ac:dyDescent="0.3">
      <c r="A99" s="16" t="s">
        <v>1224</v>
      </c>
      <c r="B99" s="16"/>
      <c r="C99" s="16"/>
      <c r="D99" s="16" t="s">
        <v>1225</v>
      </c>
      <c r="E99" s="16" t="s">
        <v>1778</v>
      </c>
      <c r="F99" s="16" t="s">
        <v>18</v>
      </c>
      <c r="G99" s="16" t="s">
        <v>539</v>
      </c>
      <c r="I99" s="16" t="s">
        <v>1103</v>
      </c>
      <c r="J99" s="16" t="s">
        <v>33</v>
      </c>
    </row>
    <row r="100" spans="1:10" hidden="1" x14ac:dyDescent="0.3">
      <c r="A100" s="16" t="s">
        <v>1226</v>
      </c>
      <c r="B100" s="16"/>
      <c r="C100" s="16"/>
      <c r="D100" s="16" t="s">
        <v>1447</v>
      </c>
      <c r="E100" s="16" t="s">
        <v>1779</v>
      </c>
      <c r="F100" s="16" t="s">
        <v>18</v>
      </c>
      <c r="G100" s="16" t="s">
        <v>1791</v>
      </c>
      <c r="I100" s="16" t="s">
        <v>1103</v>
      </c>
      <c r="J100" s="16" t="s">
        <v>33</v>
      </c>
    </row>
    <row r="101" spans="1:10" hidden="1" x14ac:dyDescent="0.3">
      <c r="A101" s="16" t="s">
        <v>1226</v>
      </c>
      <c r="B101" s="16"/>
      <c r="C101" s="16"/>
      <c r="D101" s="16" t="s">
        <v>1227</v>
      </c>
      <c r="E101" s="16" t="s">
        <v>1778</v>
      </c>
      <c r="F101" s="16" t="s">
        <v>18</v>
      </c>
      <c r="G101" s="16" t="s">
        <v>1791</v>
      </c>
      <c r="I101" s="16" t="s">
        <v>1103</v>
      </c>
      <c r="J101" s="16" t="s">
        <v>33</v>
      </c>
    </row>
    <row r="102" spans="1:10" hidden="1" x14ac:dyDescent="0.3">
      <c r="A102" s="16" t="s">
        <v>1228</v>
      </c>
      <c r="B102" s="16"/>
      <c r="C102" s="16"/>
      <c r="D102" s="16" t="s">
        <v>1448</v>
      </c>
      <c r="E102" s="16" t="s">
        <v>1779</v>
      </c>
      <c r="F102" s="16" t="s">
        <v>18</v>
      </c>
      <c r="G102" s="16" t="s">
        <v>539</v>
      </c>
      <c r="I102" s="16" t="s">
        <v>1103</v>
      </c>
      <c r="J102" s="16" t="s">
        <v>33</v>
      </c>
    </row>
    <row r="103" spans="1:10" hidden="1" x14ac:dyDescent="0.3">
      <c r="A103" s="16" t="s">
        <v>1228</v>
      </c>
      <c r="B103" s="16"/>
      <c r="C103" s="16"/>
      <c r="D103" s="16" t="s">
        <v>1229</v>
      </c>
      <c r="E103" s="16" t="s">
        <v>1778</v>
      </c>
      <c r="F103" s="16" t="s">
        <v>18</v>
      </c>
      <c r="G103" s="16" t="s">
        <v>539</v>
      </c>
      <c r="I103" s="16" t="s">
        <v>1103</v>
      </c>
      <c r="J103" s="16" t="s">
        <v>33</v>
      </c>
    </row>
    <row r="104" spans="1:10" hidden="1" x14ac:dyDescent="0.3">
      <c r="A104" s="16" t="s">
        <v>1230</v>
      </c>
      <c r="B104" s="16"/>
      <c r="C104" s="16"/>
      <c r="D104" s="16" t="s">
        <v>1449</v>
      </c>
      <c r="E104" s="16" t="s">
        <v>1779</v>
      </c>
      <c r="F104" s="16" t="s">
        <v>18</v>
      </c>
      <c r="G104" s="16" t="s">
        <v>1791</v>
      </c>
      <c r="I104" s="16" t="s">
        <v>1103</v>
      </c>
      <c r="J104" s="16" t="s">
        <v>33</v>
      </c>
    </row>
    <row r="105" spans="1:10" hidden="1" x14ac:dyDescent="0.3">
      <c r="A105" s="16" t="s">
        <v>1230</v>
      </c>
      <c r="B105" s="16"/>
      <c r="C105" s="16"/>
      <c r="D105" s="16" t="s">
        <v>1231</v>
      </c>
      <c r="E105" s="16" t="s">
        <v>1778</v>
      </c>
      <c r="F105" s="16" t="s">
        <v>18</v>
      </c>
      <c r="G105" s="16" t="s">
        <v>1791</v>
      </c>
      <c r="I105" s="16" t="s">
        <v>1103</v>
      </c>
      <c r="J105" s="16" t="s">
        <v>33</v>
      </c>
    </row>
    <row r="106" spans="1:10" hidden="1" x14ac:dyDescent="0.3">
      <c r="A106" s="16" t="s">
        <v>1232</v>
      </c>
      <c r="B106" s="16"/>
      <c r="C106" s="16"/>
      <c r="D106" s="16" t="s">
        <v>1450</v>
      </c>
      <c r="E106" s="16" t="s">
        <v>1779</v>
      </c>
      <c r="F106" s="16" t="s">
        <v>18</v>
      </c>
      <c r="G106" s="16" t="s">
        <v>1791</v>
      </c>
      <c r="I106" s="16" t="s">
        <v>1103</v>
      </c>
      <c r="J106" s="16" t="s">
        <v>33</v>
      </c>
    </row>
    <row r="107" spans="1:10" hidden="1" x14ac:dyDescent="0.3">
      <c r="A107" s="16" t="s">
        <v>1232</v>
      </c>
      <c r="B107" s="16"/>
      <c r="C107" s="16"/>
      <c r="D107" s="16" t="s">
        <v>1233</v>
      </c>
      <c r="E107" s="16" t="s">
        <v>1778</v>
      </c>
      <c r="F107" s="16" t="s">
        <v>18</v>
      </c>
      <c r="G107" s="16" t="s">
        <v>1791</v>
      </c>
      <c r="I107" s="16" t="s">
        <v>1103</v>
      </c>
      <c r="J107" s="16" t="s">
        <v>33</v>
      </c>
    </row>
    <row r="108" spans="1:10" hidden="1" x14ac:dyDescent="0.3">
      <c r="A108" s="16" t="s">
        <v>1234</v>
      </c>
      <c r="B108" s="16"/>
      <c r="C108" s="16"/>
      <c r="D108" s="16" t="s">
        <v>1235</v>
      </c>
      <c r="E108" s="16" t="s">
        <v>1778</v>
      </c>
      <c r="F108" s="16" t="s">
        <v>18</v>
      </c>
      <c r="G108" s="16" t="s">
        <v>588</v>
      </c>
      <c r="I108" s="16" t="s">
        <v>1103</v>
      </c>
      <c r="J108" s="16" t="s">
        <v>33</v>
      </c>
    </row>
    <row r="109" spans="1:10" hidden="1" x14ac:dyDescent="0.3">
      <c r="A109" s="16" t="s">
        <v>1234</v>
      </c>
      <c r="B109" s="16"/>
      <c r="C109" s="16"/>
      <c r="D109" s="16" t="s">
        <v>1451</v>
      </c>
      <c r="E109" s="16" t="s">
        <v>1779</v>
      </c>
      <c r="F109" s="16" t="s">
        <v>18</v>
      </c>
      <c r="G109" s="16" t="s">
        <v>588</v>
      </c>
      <c r="I109" s="16" t="s">
        <v>1103</v>
      </c>
      <c r="J109" s="16" t="s">
        <v>33</v>
      </c>
    </row>
    <row r="110" spans="1:10" hidden="1" x14ac:dyDescent="0.3">
      <c r="A110" s="16" t="s">
        <v>1236</v>
      </c>
      <c r="B110" s="16"/>
      <c r="C110" s="16"/>
      <c r="D110" s="16" t="s">
        <v>1237</v>
      </c>
      <c r="E110" s="16" t="s">
        <v>1778</v>
      </c>
      <c r="F110" s="16" t="s">
        <v>18</v>
      </c>
      <c r="G110" s="16" t="s">
        <v>588</v>
      </c>
      <c r="I110" s="16" t="s">
        <v>1103</v>
      </c>
      <c r="J110" s="16" t="s">
        <v>33</v>
      </c>
    </row>
    <row r="111" spans="1:10" hidden="1" x14ac:dyDescent="0.3">
      <c r="A111" s="16" t="s">
        <v>1236</v>
      </c>
      <c r="B111" s="16"/>
      <c r="C111" s="16"/>
      <c r="D111" s="16" t="s">
        <v>1452</v>
      </c>
      <c r="E111" s="16" t="s">
        <v>1779</v>
      </c>
      <c r="F111" s="16" t="s">
        <v>18</v>
      </c>
      <c r="G111" s="16" t="s">
        <v>588</v>
      </c>
      <c r="I111" s="16" t="s">
        <v>1103</v>
      </c>
      <c r="J111" s="16" t="s">
        <v>33</v>
      </c>
    </row>
    <row r="112" spans="1:10" hidden="1" x14ac:dyDescent="0.3">
      <c r="A112" s="16" t="s">
        <v>1238</v>
      </c>
      <c r="B112" s="16"/>
      <c r="C112" s="16"/>
      <c r="D112" s="16" t="s">
        <v>1453</v>
      </c>
      <c r="E112" s="16" t="s">
        <v>1779</v>
      </c>
      <c r="F112" s="16" t="s">
        <v>18</v>
      </c>
      <c r="G112" s="16" t="s">
        <v>1791</v>
      </c>
      <c r="I112" s="16" t="s">
        <v>1103</v>
      </c>
      <c r="J112" s="16" t="s">
        <v>33</v>
      </c>
    </row>
    <row r="113" spans="1:10" hidden="1" x14ac:dyDescent="0.3">
      <c r="A113" s="16" t="s">
        <v>1238</v>
      </c>
      <c r="B113" s="16"/>
      <c r="C113" s="16"/>
      <c r="D113" s="16" t="s">
        <v>1239</v>
      </c>
      <c r="E113" s="16" t="s">
        <v>1778</v>
      </c>
      <c r="F113" s="16" t="s">
        <v>18</v>
      </c>
      <c r="G113" s="16" t="s">
        <v>1791</v>
      </c>
      <c r="I113" s="16" t="s">
        <v>1103</v>
      </c>
      <c r="J113" s="16" t="s">
        <v>33</v>
      </c>
    </row>
    <row r="114" spans="1:10" hidden="1" x14ac:dyDescent="0.3">
      <c r="A114" s="16" t="s">
        <v>1240</v>
      </c>
      <c r="B114" s="16"/>
      <c r="C114" s="16"/>
      <c r="D114" s="16" t="s">
        <v>1454</v>
      </c>
      <c r="E114" s="16" t="s">
        <v>1779</v>
      </c>
      <c r="F114" s="16" t="s">
        <v>18</v>
      </c>
      <c r="G114" s="16" t="s">
        <v>1791</v>
      </c>
      <c r="I114" s="16" t="s">
        <v>1103</v>
      </c>
      <c r="J114" s="16" t="s">
        <v>33</v>
      </c>
    </row>
    <row r="115" spans="1:10" hidden="1" x14ac:dyDescent="0.3">
      <c r="A115" s="16" t="s">
        <v>1240</v>
      </c>
      <c r="B115" s="16"/>
      <c r="C115" s="16"/>
      <c r="D115" s="16" t="s">
        <v>1241</v>
      </c>
      <c r="E115" s="16" t="s">
        <v>1778</v>
      </c>
      <c r="F115" s="16" t="s">
        <v>18</v>
      </c>
      <c r="G115" s="16" t="s">
        <v>1791</v>
      </c>
      <c r="I115" s="16" t="s">
        <v>1103</v>
      </c>
      <c r="J115" s="16" t="s">
        <v>33</v>
      </c>
    </row>
    <row r="116" spans="1:10" hidden="1" x14ac:dyDescent="0.3">
      <c r="A116" s="16" t="s">
        <v>1242</v>
      </c>
      <c r="B116" s="16"/>
      <c r="C116" s="16"/>
      <c r="D116" s="16" t="s">
        <v>1243</v>
      </c>
      <c r="E116" s="16" t="s">
        <v>1778</v>
      </c>
      <c r="F116" s="16" t="s">
        <v>18</v>
      </c>
      <c r="G116" s="16" t="s">
        <v>1791</v>
      </c>
      <c r="I116" s="16" t="s">
        <v>1103</v>
      </c>
      <c r="J116" s="16" t="s">
        <v>33</v>
      </c>
    </row>
    <row r="117" spans="1:10" hidden="1" x14ac:dyDescent="0.3">
      <c r="A117" s="16" t="s">
        <v>1242</v>
      </c>
      <c r="B117" s="16"/>
      <c r="C117" s="16"/>
      <c r="D117" s="16" t="s">
        <v>1455</v>
      </c>
      <c r="E117" s="16" t="s">
        <v>1779</v>
      </c>
      <c r="F117" s="16" t="s">
        <v>18</v>
      </c>
      <c r="G117" s="16" t="s">
        <v>1791</v>
      </c>
      <c r="I117" s="16" t="s">
        <v>1103</v>
      </c>
      <c r="J117" s="16" t="s">
        <v>33</v>
      </c>
    </row>
    <row r="118" spans="1:10" hidden="1" x14ac:dyDescent="0.3">
      <c r="A118" s="16" t="s">
        <v>1244</v>
      </c>
      <c r="B118" s="16"/>
      <c r="C118" s="16"/>
      <c r="D118" s="16" t="s">
        <v>1456</v>
      </c>
      <c r="E118" s="16" t="s">
        <v>1779</v>
      </c>
      <c r="F118" s="16" t="s">
        <v>18</v>
      </c>
      <c r="G118" s="16" t="s">
        <v>588</v>
      </c>
      <c r="I118" s="16" t="s">
        <v>1103</v>
      </c>
      <c r="J118" s="16" t="s">
        <v>33</v>
      </c>
    </row>
    <row r="119" spans="1:10" hidden="1" x14ac:dyDescent="0.3">
      <c r="A119" s="16" t="s">
        <v>1244</v>
      </c>
      <c r="B119" s="16"/>
      <c r="C119" s="16"/>
      <c r="D119" s="16" t="s">
        <v>1245</v>
      </c>
      <c r="E119" s="16" t="s">
        <v>1778</v>
      </c>
      <c r="F119" s="16" t="s">
        <v>18</v>
      </c>
      <c r="G119" s="16" t="s">
        <v>588</v>
      </c>
      <c r="I119" s="16" t="s">
        <v>1103</v>
      </c>
      <c r="J119" s="16" t="s">
        <v>33</v>
      </c>
    </row>
    <row r="120" spans="1:10" hidden="1" x14ac:dyDescent="0.3">
      <c r="A120" s="16" t="s">
        <v>1246</v>
      </c>
      <c r="B120" s="16"/>
      <c r="C120" s="16"/>
      <c r="D120" s="16" t="s">
        <v>1457</v>
      </c>
      <c r="E120" s="16" t="s">
        <v>1779</v>
      </c>
      <c r="F120" s="16" t="s">
        <v>18</v>
      </c>
      <c r="G120" s="16" t="s">
        <v>588</v>
      </c>
      <c r="I120" s="16" t="s">
        <v>1103</v>
      </c>
      <c r="J120" s="16" t="s">
        <v>33</v>
      </c>
    </row>
    <row r="121" spans="1:10" hidden="1" x14ac:dyDescent="0.3">
      <c r="A121" s="16" t="s">
        <v>1246</v>
      </c>
      <c r="B121" s="16"/>
      <c r="C121" s="16"/>
      <c r="D121" s="16" t="s">
        <v>1247</v>
      </c>
      <c r="E121" s="16" t="s">
        <v>1778</v>
      </c>
      <c r="F121" s="16" t="s">
        <v>18</v>
      </c>
      <c r="G121" s="16" t="s">
        <v>588</v>
      </c>
      <c r="I121" s="16" t="s">
        <v>1103</v>
      </c>
      <c r="J121" s="16" t="s">
        <v>33</v>
      </c>
    </row>
    <row r="122" spans="1:10" hidden="1" x14ac:dyDescent="0.3">
      <c r="A122" s="16" t="s">
        <v>1248</v>
      </c>
      <c r="B122" s="16"/>
      <c r="C122" s="16"/>
      <c r="D122" s="16" t="s">
        <v>1249</v>
      </c>
      <c r="E122" s="16" t="s">
        <v>1778</v>
      </c>
      <c r="F122" s="16" t="s">
        <v>18</v>
      </c>
      <c r="G122" s="16" t="s">
        <v>1791</v>
      </c>
      <c r="I122" s="16" t="s">
        <v>1103</v>
      </c>
      <c r="J122" s="16" t="s">
        <v>33</v>
      </c>
    </row>
    <row r="123" spans="1:10" hidden="1" x14ac:dyDescent="0.3">
      <c r="A123" s="16" t="s">
        <v>1248</v>
      </c>
      <c r="B123" s="16"/>
      <c r="C123" s="16"/>
      <c r="D123" s="16" t="s">
        <v>1458</v>
      </c>
      <c r="E123" s="16" t="s">
        <v>1779</v>
      </c>
      <c r="F123" s="16" t="s">
        <v>18</v>
      </c>
      <c r="G123" s="16" t="s">
        <v>1791</v>
      </c>
      <c r="I123" s="16" t="s">
        <v>1103</v>
      </c>
      <c r="J123" s="16" t="s">
        <v>33</v>
      </c>
    </row>
    <row r="124" spans="1:10" hidden="1" x14ac:dyDescent="0.3">
      <c r="A124" s="16" t="s">
        <v>1250</v>
      </c>
      <c r="B124" s="16"/>
      <c r="C124" s="16"/>
      <c r="D124" s="16" t="s">
        <v>1251</v>
      </c>
      <c r="E124" s="16" t="s">
        <v>1778</v>
      </c>
      <c r="F124" s="16" t="s">
        <v>18</v>
      </c>
      <c r="G124" s="16" t="s">
        <v>1791</v>
      </c>
      <c r="I124" s="16" t="s">
        <v>1103</v>
      </c>
      <c r="J124" s="16" t="s">
        <v>33</v>
      </c>
    </row>
    <row r="125" spans="1:10" hidden="1" x14ac:dyDescent="0.3">
      <c r="A125" s="16" t="s">
        <v>1250</v>
      </c>
      <c r="B125" s="16"/>
      <c r="C125" s="16"/>
      <c r="D125" s="16" t="s">
        <v>1459</v>
      </c>
      <c r="E125" s="16" t="s">
        <v>1779</v>
      </c>
      <c r="F125" s="16" t="s">
        <v>18</v>
      </c>
      <c r="G125" s="16" t="s">
        <v>1791</v>
      </c>
      <c r="I125" s="16" t="s">
        <v>1103</v>
      </c>
      <c r="J125" s="16" t="s">
        <v>33</v>
      </c>
    </row>
    <row r="126" spans="1:10" hidden="1" x14ac:dyDescent="0.3">
      <c r="A126" s="16" t="s">
        <v>1252</v>
      </c>
      <c r="B126" s="16"/>
      <c r="C126" s="16"/>
      <c r="D126" s="16" t="s">
        <v>1460</v>
      </c>
      <c r="E126" s="16" t="s">
        <v>1779</v>
      </c>
      <c r="F126" s="16" t="s">
        <v>18</v>
      </c>
      <c r="G126" s="16" t="s">
        <v>1791</v>
      </c>
      <c r="I126" s="16" t="s">
        <v>1103</v>
      </c>
      <c r="J126" s="16" t="s">
        <v>33</v>
      </c>
    </row>
    <row r="127" spans="1:10" hidden="1" x14ac:dyDescent="0.3">
      <c r="A127" s="16" t="s">
        <v>1252</v>
      </c>
      <c r="B127" s="16"/>
      <c r="C127" s="16"/>
      <c r="D127" s="16" t="s">
        <v>1253</v>
      </c>
      <c r="E127" s="16" t="s">
        <v>1778</v>
      </c>
      <c r="F127" s="16" t="s">
        <v>18</v>
      </c>
      <c r="G127" s="16" t="s">
        <v>1791</v>
      </c>
      <c r="I127" s="16" t="s">
        <v>1103</v>
      </c>
      <c r="J127" s="16" t="s">
        <v>33</v>
      </c>
    </row>
    <row r="128" spans="1:10" hidden="1" x14ac:dyDescent="0.3">
      <c r="A128" s="16" t="s">
        <v>1254</v>
      </c>
      <c r="B128" s="16"/>
      <c r="C128" s="16"/>
      <c r="D128" s="16" t="s">
        <v>1255</v>
      </c>
      <c r="E128" s="16" t="s">
        <v>1778</v>
      </c>
      <c r="F128" s="16" t="s">
        <v>18</v>
      </c>
      <c r="G128" s="16" t="s">
        <v>1791</v>
      </c>
      <c r="I128" s="16" t="s">
        <v>1103</v>
      </c>
      <c r="J128" s="16" t="s">
        <v>33</v>
      </c>
    </row>
    <row r="129" spans="1:12" hidden="1" x14ac:dyDescent="0.3">
      <c r="A129" s="16" t="s">
        <v>1254</v>
      </c>
      <c r="B129" s="16"/>
      <c r="C129" s="16"/>
      <c r="D129" s="16" t="s">
        <v>1461</v>
      </c>
      <c r="E129" s="16" t="s">
        <v>1779</v>
      </c>
      <c r="F129" s="16" t="s">
        <v>18</v>
      </c>
      <c r="G129" s="16" t="s">
        <v>1791</v>
      </c>
      <c r="I129" s="16" t="s">
        <v>1103</v>
      </c>
      <c r="J129" s="16" t="s">
        <v>33</v>
      </c>
    </row>
    <row r="130" spans="1:12" hidden="1" x14ac:dyDescent="0.3">
      <c r="A130" s="16" t="s">
        <v>1256</v>
      </c>
      <c r="B130" s="16"/>
      <c r="C130" s="16"/>
      <c r="D130" s="16" t="s">
        <v>1257</v>
      </c>
      <c r="E130" s="16" t="s">
        <v>1778</v>
      </c>
      <c r="F130" s="16" t="s">
        <v>18</v>
      </c>
      <c r="G130" s="16" t="s">
        <v>588</v>
      </c>
      <c r="I130" s="16" t="s">
        <v>1103</v>
      </c>
      <c r="J130" s="16" t="s">
        <v>33</v>
      </c>
    </row>
    <row r="131" spans="1:12" hidden="1" x14ac:dyDescent="0.3">
      <c r="A131" s="16" t="s">
        <v>1256</v>
      </c>
      <c r="B131" s="16"/>
      <c r="C131" s="16"/>
      <c r="D131" s="16" t="s">
        <v>1462</v>
      </c>
      <c r="E131" s="16" t="s">
        <v>1779</v>
      </c>
      <c r="F131" s="16" t="s">
        <v>18</v>
      </c>
      <c r="G131" s="16" t="s">
        <v>588</v>
      </c>
      <c r="I131" s="16" t="s">
        <v>1103</v>
      </c>
      <c r="J131" s="16" t="s">
        <v>33</v>
      </c>
    </row>
    <row r="132" spans="1:12" hidden="1" x14ac:dyDescent="0.3">
      <c r="A132" s="16" t="s">
        <v>1258</v>
      </c>
      <c r="B132" s="16"/>
      <c r="C132" s="16"/>
      <c r="D132" s="16" t="s">
        <v>1463</v>
      </c>
      <c r="E132" s="16" t="s">
        <v>1779</v>
      </c>
      <c r="F132" s="16" t="s">
        <v>18</v>
      </c>
      <c r="G132" s="16" t="s">
        <v>588</v>
      </c>
      <c r="I132" s="16" t="s">
        <v>1103</v>
      </c>
      <c r="J132" s="16" t="s">
        <v>33</v>
      </c>
    </row>
    <row r="133" spans="1:12" hidden="1" x14ac:dyDescent="0.3">
      <c r="A133" s="16" t="s">
        <v>1258</v>
      </c>
      <c r="B133" s="16"/>
      <c r="C133" s="16"/>
      <c r="D133" s="16" t="s">
        <v>1259</v>
      </c>
      <c r="E133" s="16" t="s">
        <v>1778</v>
      </c>
      <c r="F133" s="16" t="s">
        <v>18</v>
      </c>
      <c r="G133" s="16" t="s">
        <v>588</v>
      </c>
      <c r="I133" s="16" t="s">
        <v>1103</v>
      </c>
      <c r="J133" s="16" t="s">
        <v>33</v>
      </c>
    </row>
    <row r="134" spans="1:12" hidden="1" x14ac:dyDescent="0.3">
      <c r="A134" s="16" t="s">
        <v>1260</v>
      </c>
      <c r="B134" s="16"/>
      <c r="C134" s="16"/>
      <c r="D134" s="16" t="s">
        <v>1464</v>
      </c>
      <c r="E134" s="16" t="s">
        <v>1779</v>
      </c>
      <c r="F134" s="16" t="s">
        <v>18</v>
      </c>
      <c r="G134" s="16" t="s">
        <v>539</v>
      </c>
      <c r="I134" s="16" t="s">
        <v>1103</v>
      </c>
      <c r="J134" s="16" t="s">
        <v>33</v>
      </c>
    </row>
    <row r="135" spans="1:12" hidden="1" x14ac:dyDescent="0.3">
      <c r="A135" s="16" t="s">
        <v>1260</v>
      </c>
      <c r="B135" s="16"/>
      <c r="C135" s="16"/>
      <c r="D135" s="16" t="s">
        <v>1261</v>
      </c>
      <c r="E135" s="16" t="s">
        <v>1778</v>
      </c>
      <c r="F135" s="16" t="s">
        <v>18</v>
      </c>
      <c r="G135" s="16" t="s">
        <v>539</v>
      </c>
      <c r="I135" s="16" t="s">
        <v>1103</v>
      </c>
      <c r="J135" s="16" t="s">
        <v>33</v>
      </c>
    </row>
    <row r="136" spans="1:12" hidden="1" x14ac:dyDescent="0.3">
      <c r="A136" s="16" t="s">
        <v>1262</v>
      </c>
      <c r="B136" s="16"/>
      <c r="C136" s="16"/>
      <c r="D136" s="16" t="s">
        <v>1465</v>
      </c>
      <c r="E136" s="16" t="s">
        <v>1779</v>
      </c>
      <c r="F136" s="16" t="s">
        <v>18</v>
      </c>
      <c r="G136" s="16" t="s">
        <v>588</v>
      </c>
      <c r="I136" s="16" t="s">
        <v>1103</v>
      </c>
      <c r="J136" s="16" t="s">
        <v>33</v>
      </c>
    </row>
    <row r="137" spans="1:12" hidden="1" x14ac:dyDescent="0.3">
      <c r="A137" s="16" t="s">
        <v>1262</v>
      </c>
      <c r="B137" s="16"/>
      <c r="C137" s="16"/>
      <c r="D137" s="16" t="s">
        <v>1263</v>
      </c>
      <c r="E137" s="16" t="s">
        <v>1778</v>
      </c>
      <c r="F137" s="16" t="s">
        <v>18</v>
      </c>
      <c r="G137" s="16" t="s">
        <v>588</v>
      </c>
      <c r="I137" s="16" t="s">
        <v>1103</v>
      </c>
      <c r="J137" s="16" t="s">
        <v>33</v>
      </c>
    </row>
    <row r="138" spans="1:12" hidden="1" x14ac:dyDescent="0.3">
      <c r="A138" s="16" t="s">
        <v>1264</v>
      </c>
      <c r="B138" s="16"/>
      <c r="C138" s="16"/>
      <c r="D138" s="16" t="s">
        <v>1265</v>
      </c>
      <c r="E138" s="16" t="s">
        <v>1778</v>
      </c>
      <c r="F138" s="16" t="s">
        <v>18</v>
      </c>
      <c r="G138" s="16" t="s">
        <v>539</v>
      </c>
      <c r="I138" s="16" t="s">
        <v>1103</v>
      </c>
      <c r="J138" s="16" t="s">
        <v>33</v>
      </c>
    </row>
    <row r="139" spans="1:12" hidden="1" x14ac:dyDescent="0.3">
      <c r="A139" s="16" t="s">
        <v>1264</v>
      </c>
      <c r="B139" s="16"/>
      <c r="C139" s="16"/>
      <c r="D139" s="16" t="s">
        <v>1466</v>
      </c>
      <c r="E139" s="16" t="s">
        <v>1779</v>
      </c>
      <c r="F139" s="16" t="s">
        <v>18</v>
      </c>
      <c r="G139" s="16" t="s">
        <v>539</v>
      </c>
      <c r="I139" s="16" t="s">
        <v>1103</v>
      </c>
      <c r="J139" s="16" t="s">
        <v>33</v>
      </c>
    </row>
    <row r="140" spans="1:12" hidden="1" x14ac:dyDescent="0.3">
      <c r="A140" s="16" t="s">
        <v>1890</v>
      </c>
      <c r="B140" s="16"/>
      <c r="C140" s="16"/>
      <c r="D140" s="16" t="s">
        <v>1891</v>
      </c>
      <c r="E140" s="16" t="s">
        <v>1777</v>
      </c>
      <c r="F140" s="16" t="s">
        <v>388</v>
      </c>
      <c r="G140" s="16" t="s">
        <v>539</v>
      </c>
      <c r="J140" s="16" t="s">
        <v>33</v>
      </c>
      <c r="L140" s="16" t="s">
        <v>32</v>
      </c>
    </row>
    <row r="141" spans="1:12" hidden="1" x14ac:dyDescent="0.3">
      <c r="A141" s="16" t="s">
        <v>1892</v>
      </c>
      <c r="B141" s="16"/>
      <c r="C141" s="16"/>
      <c r="D141" s="16" t="s">
        <v>1893</v>
      </c>
      <c r="E141" s="16" t="s">
        <v>1778</v>
      </c>
      <c r="F141" s="16" t="s">
        <v>18</v>
      </c>
      <c r="G141" s="16" t="s">
        <v>539</v>
      </c>
      <c r="I141" s="16" t="s">
        <v>1770</v>
      </c>
      <c r="J141" s="16" t="s">
        <v>33</v>
      </c>
    </row>
    <row r="142" spans="1:12" hidden="1" x14ac:dyDescent="0.3">
      <c r="A142" s="16" t="s">
        <v>1894</v>
      </c>
      <c r="B142" s="16"/>
      <c r="C142" s="16"/>
      <c r="D142" s="16" t="s">
        <v>1895</v>
      </c>
      <c r="E142" s="16" t="s">
        <v>1779</v>
      </c>
      <c r="F142" s="16" t="s">
        <v>18</v>
      </c>
      <c r="G142" s="16" t="s">
        <v>539</v>
      </c>
      <c r="I142" s="16" t="s">
        <v>1770</v>
      </c>
      <c r="J142" s="16" t="s">
        <v>33</v>
      </c>
    </row>
    <row r="143" spans="1:12" hidden="1" x14ac:dyDescent="0.3">
      <c r="A143" s="16" t="s">
        <v>1896</v>
      </c>
      <c r="B143" s="16"/>
      <c r="C143" s="16"/>
      <c r="D143" s="16" t="s">
        <v>1897</v>
      </c>
      <c r="E143" s="16" t="s">
        <v>1779</v>
      </c>
      <c r="F143" s="16" t="s">
        <v>133</v>
      </c>
      <c r="G143" s="16" t="s">
        <v>1791</v>
      </c>
      <c r="J143" s="16" t="s">
        <v>33</v>
      </c>
    </row>
    <row r="144" spans="1:12" hidden="1" x14ac:dyDescent="0.3">
      <c r="A144" s="16" t="s">
        <v>1898</v>
      </c>
      <c r="B144" s="16"/>
      <c r="C144" s="16"/>
      <c r="D144" s="16" t="s">
        <v>150</v>
      </c>
      <c r="E144" s="16" t="s">
        <v>1779</v>
      </c>
      <c r="F144" s="16" t="s">
        <v>133</v>
      </c>
      <c r="G144" s="16" t="s">
        <v>539</v>
      </c>
      <c r="J144" s="16" t="s">
        <v>33</v>
      </c>
    </row>
    <row r="145" spans="1:12" hidden="1" x14ac:dyDescent="0.3">
      <c r="A145" s="16" t="s">
        <v>1899</v>
      </c>
      <c r="B145" s="16"/>
      <c r="C145" s="16"/>
      <c r="D145" s="16" t="s">
        <v>306</v>
      </c>
      <c r="E145" s="16" t="s">
        <v>1779</v>
      </c>
      <c r="F145" s="16" t="s">
        <v>18</v>
      </c>
      <c r="G145" s="16" t="s">
        <v>539</v>
      </c>
      <c r="I145" s="16" t="s">
        <v>1770</v>
      </c>
      <c r="J145" s="16" t="s">
        <v>33</v>
      </c>
    </row>
    <row r="146" spans="1:12" hidden="1" x14ac:dyDescent="0.3">
      <c r="A146" s="16" t="s">
        <v>1900</v>
      </c>
      <c r="B146" s="16"/>
      <c r="C146" s="16"/>
      <c r="D146" s="16" t="s">
        <v>1901</v>
      </c>
      <c r="E146" s="16" t="s">
        <v>1779</v>
      </c>
      <c r="F146" s="16" t="s">
        <v>18</v>
      </c>
      <c r="G146" s="16" t="s">
        <v>539</v>
      </c>
      <c r="I146" s="16" t="s">
        <v>1770</v>
      </c>
      <c r="J146" s="16" t="s">
        <v>33</v>
      </c>
    </row>
    <row r="147" spans="1:12" hidden="1" x14ac:dyDescent="0.3">
      <c r="A147" s="16" t="s">
        <v>1902</v>
      </c>
      <c r="B147" s="16"/>
      <c r="C147" s="16"/>
      <c r="D147" s="16" t="s">
        <v>1903</v>
      </c>
      <c r="E147" s="16" t="s">
        <v>1808</v>
      </c>
      <c r="F147" s="16" t="s">
        <v>133</v>
      </c>
      <c r="G147" s="16" t="s">
        <v>1885</v>
      </c>
      <c r="J147" s="16" t="s">
        <v>33</v>
      </c>
    </row>
    <row r="148" spans="1:12" hidden="1" x14ac:dyDescent="0.3">
      <c r="A148" s="16" t="s">
        <v>1904</v>
      </c>
      <c r="B148" s="16"/>
      <c r="C148" s="16"/>
      <c r="D148" s="16" t="s">
        <v>1905</v>
      </c>
      <c r="E148" s="16" t="s">
        <v>1779</v>
      </c>
      <c r="F148" s="16" t="s">
        <v>133</v>
      </c>
      <c r="G148" s="16" t="s">
        <v>1791</v>
      </c>
      <c r="J148" s="16" t="s">
        <v>33</v>
      </c>
    </row>
    <row r="149" spans="1:12" hidden="1" x14ac:dyDescent="0.3">
      <c r="A149" s="16" t="s">
        <v>1906</v>
      </c>
      <c r="B149" s="16"/>
      <c r="C149" s="16"/>
      <c r="D149" s="16" t="s">
        <v>1907</v>
      </c>
      <c r="E149" s="16" t="s">
        <v>1779</v>
      </c>
      <c r="F149" s="16" t="s">
        <v>133</v>
      </c>
      <c r="G149" s="16" t="s">
        <v>661</v>
      </c>
      <c r="I149" s="16" t="s">
        <v>662</v>
      </c>
      <c r="J149" s="16" t="s">
        <v>33</v>
      </c>
    </row>
    <row r="150" spans="1:12" hidden="1" x14ac:dyDescent="0.3">
      <c r="A150" s="16" t="s">
        <v>1908</v>
      </c>
      <c r="B150" s="16"/>
      <c r="C150" s="16"/>
      <c r="D150" s="16" t="s">
        <v>1909</v>
      </c>
      <c r="E150" s="16" t="s">
        <v>1910</v>
      </c>
      <c r="F150" s="16" t="s">
        <v>388</v>
      </c>
      <c r="G150" s="16" t="s">
        <v>539</v>
      </c>
      <c r="J150" s="16" t="s">
        <v>33</v>
      </c>
      <c r="L150" s="16" t="s">
        <v>32</v>
      </c>
    </row>
    <row r="151" spans="1:12" hidden="1" x14ac:dyDescent="0.3">
      <c r="A151" s="16" t="s">
        <v>413</v>
      </c>
      <c r="B151" s="16"/>
      <c r="C151" s="16"/>
      <c r="D151" s="16" t="s">
        <v>414</v>
      </c>
      <c r="E151" s="16" t="s">
        <v>1777</v>
      </c>
      <c r="F151" s="16" t="s">
        <v>18</v>
      </c>
      <c r="G151" s="16" t="s">
        <v>539</v>
      </c>
      <c r="I151" s="16" t="s">
        <v>1127</v>
      </c>
      <c r="J151" s="16" t="s">
        <v>33</v>
      </c>
    </row>
    <row r="152" spans="1:12" hidden="1" x14ac:dyDescent="0.3">
      <c r="A152" s="16" t="s">
        <v>413</v>
      </c>
      <c r="B152" s="16"/>
      <c r="C152" s="16"/>
      <c r="D152" s="16" t="s">
        <v>1266</v>
      </c>
      <c r="E152" s="16" t="s">
        <v>1778</v>
      </c>
      <c r="F152" s="16" t="s">
        <v>18</v>
      </c>
      <c r="G152" s="16" t="s">
        <v>539</v>
      </c>
      <c r="I152" s="16" t="s">
        <v>1127</v>
      </c>
      <c r="J152" s="16" t="s">
        <v>33</v>
      </c>
    </row>
    <row r="153" spans="1:12" hidden="1" x14ac:dyDescent="0.3">
      <c r="A153" s="16" t="s">
        <v>1911</v>
      </c>
      <c r="B153" s="16"/>
      <c r="C153" s="16"/>
      <c r="D153" s="16" t="s">
        <v>1912</v>
      </c>
      <c r="E153" s="16" t="s">
        <v>1779</v>
      </c>
      <c r="F153" s="16" t="s">
        <v>133</v>
      </c>
      <c r="G153" s="16" t="s">
        <v>1791</v>
      </c>
      <c r="J153" s="16" t="s">
        <v>33</v>
      </c>
    </row>
    <row r="154" spans="1:12" hidden="1" x14ac:dyDescent="0.3">
      <c r="A154" s="16" t="s">
        <v>1913</v>
      </c>
      <c r="B154" s="16"/>
      <c r="C154" s="16"/>
      <c r="D154" s="16" t="s">
        <v>1914</v>
      </c>
      <c r="E154" s="16" t="s">
        <v>1915</v>
      </c>
      <c r="F154" s="16" t="s">
        <v>133</v>
      </c>
      <c r="G154" s="16" t="s">
        <v>1791</v>
      </c>
      <c r="J154" s="16" t="s">
        <v>33</v>
      </c>
    </row>
    <row r="155" spans="1:12" hidden="1" x14ac:dyDescent="0.3">
      <c r="A155" s="16" t="s">
        <v>1916</v>
      </c>
      <c r="B155" s="16"/>
      <c r="C155" s="16"/>
      <c r="D155" s="16" t="s">
        <v>1917</v>
      </c>
      <c r="E155" s="16" t="s">
        <v>1779</v>
      </c>
      <c r="F155" s="16" t="s">
        <v>388</v>
      </c>
      <c r="G155" s="16" t="s">
        <v>539</v>
      </c>
      <c r="J155" s="16" t="s">
        <v>33</v>
      </c>
      <c r="L155" s="16" t="s">
        <v>32</v>
      </c>
    </row>
    <row r="156" spans="1:12" hidden="1" x14ac:dyDescent="0.3">
      <c r="A156" s="16" t="s">
        <v>1918</v>
      </c>
      <c r="B156" s="16"/>
      <c r="C156" s="16"/>
      <c r="D156" s="16" t="s">
        <v>1919</v>
      </c>
      <c r="E156" s="16" t="s">
        <v>1779</v>
      </c>
      <c r="F156" s="16" t="s">
        <v>133</v>
      </c>
      <c r="G156" s="16" t="s">
        <v>661</v>
      </c>
      <c r="I156" s="16" t="s">
        <v>662</v>
      </c>
      <c r="J156" s="16" t="s">
        <v>33</v>
      </c>
    </row>
    <row r="157" spans="1:12" hidden="1" x14ac:dyDescent="0.3">
      <c r="A157" s="16" t="s">
        <v>1920</v>
      </c>
      <c r="B157" s="16"/>
      <c r="C157" s="16"/>
      <c r="D157" s="16" t="s">
        <v>1921</v>
      </c>
      <c r="E157" s="16" t="s">
        <v>1779</v>
      </c>
      <c r="F157" s="16" t="s">
        <v>133</v>
      </c>
      <c r="G157" s="16" t="s">
        <v>661</v>
      </c>
      <c r="I157" s="16" t="s">
        <v>662</v>
      </c>
      <c r="J157" s="16" t="s">
        <v>33</v>
      </c>
    </row>
    <row r="158" spans="1:12" hidden="1" x14ac:dyDescent="0.3">
      <c r="A158" s="16" t="s">
        <v>1922</v>
      </c>
      <c r="B158" s="16"/>
      <c r="C158" s="16"/>
      <c r="D158" s="16" t="s">
        <v>1923</v>
      </c>
      <c r="E158" s="16" t="s">
        <v>1779</v>
      </c>
      <c r="F158" s="16" t="s">
        <v>133</v>
      </c>
      <c r="G158" s="16" t="s">
        <v>661</v>
      </c>
      <c r="I158" s="16" t="s">
        <v>662</v>
      </c>
      <c r="J158" s="16" t="s">
        <v>33</v>
      </c>
    </row>
    <row r="159" spans="1:12" hidden="1" x14ac:dyDescent="0.3">
      <c r="A159" s="16" t="s">
        <v>1924</v>
      </c>
      <c r="B159" s="16"/>
      <c r="C159" s="16"/>
      <c r="D159" s="16" t="s">
        <v>1925</v>
      </c>
      <c r="E159" s="16" t="s">
        <v>1779</v>
      </c>
      <c r="F159" s="16" t="s">
        <v>133</v>
      </c>
      <c r="G159" s="16" t="s">
        <v>661</v>
      </c>
      <c r="I159" s="16" t="s">
        <v>662</v>
      </c>
      <c r="J159" s="16" t="s">
        <v>33</v>
      </c>
    </row>
    <row r="160" spans="1:12" hidden="1" x14ac:dyDescent="0.3">
      <c r="A160" s="16" t="s">
        <v>1926</v>
      </c>
      <c r="B160" s="16"/>
      <c r="C160" s="16"/>
      <c r="D160" s="16" t="s">
        <v>1927</v>
      </c>
      <c r="E160" s="16" t="s">
        <v>1779</v>
      </c>
      <c r="F160" s="16" t="s">
        <v>133</v>
      </c>
      <c r="G160" s="16" t="s">
        <v>661</v>
      </c>
      <c r="J160" s="16" t="s">
        <v>33</v>
      </c>
    </row>
    <row r="161" spans="1:10" hidden="1" x14ac:dyDescent="0.3">
      <c r="A161" s="16" t="s">
        <v>1926</v>
      </c>
      <c r="B161" s="16"/>
      <c r="C161" s="16"/>
      <c r="D161" s="16" t="s">
        <v>1928</v>
      </c>
      <c r="E161" s="16" t="s">
        <v>1915</v>
      </c>
      <c r="F161" s="16" t="s">
        <v>133</v>
      </c>
      <c r="G161" s="16" t="s">
        <v>661</v>
      </c>
      <c r="J161" s="16" t="s">
        <v>33</v>
      </c>
    </row>
    <row r="162" spans="1:10" hidden="1" x14ac:dyDescent="0.3">
      <c r="A162" s="16" t="s">
        <v>1929</v>
      </c>
      <c r="B162" s="16"/>
      <c r="C162" s="16"/>
      <c r="D162" s="16" t="s">
        <v>1930</v>
      </c>
      <c r="E162" s="16" t="s">
        <v>1779</v>
      </c>
      <c r="F162" s="16" t="s">
        <v>133</v>
      </c>
      <c r="G162" s="16" t="s">
        <v>661</v>
      </c>
      <c r="J162" s="16" t="s">
        <v>33</v>
      </c>
    </row>
    <row r="163" spans="1:10" hidden="1" x14ac:dyDescent="0.3">
      <c r="A163" s="16" t="s">
        <v>1929</v>
      </c>
      <c r="B163" s="16"/>
      <c r="C163" s="16"/>
      <c r="D163" s="16" t="s">
        <v>1931</v>
      </c>
      <c r="E163" s="16" t="s">
        <v>1778</v>
      </c>
      <c r="F163" s="16" t="s">
        <v>133</v>
      </c>
      <c r="G163" s="16" t="s">
        <v>661</v>
      </c>
      <c r="J163" s="16" t="s">
        <v>33</v>
      </c>
    </row>
    <row r="164" spans="1:10" hidden="1" x14ac:dyDescent="0.3">
      <c r="A164" s="16" t="s">
        <v>1932</v>
      </c>
      <c r="B164" s="16"/>
      <c r="C164" s="16"/>
      <c r="D164" s="16" t="s">
        <v>1933</v>
      </c>
      <c r="E164" s="16" t="s">
        <v>1779</v>
      </c>
      <c r="F164" s="16" t="s">
        <v>133</v>
      </c>
      <c r="G164" s="16" t="s">
        <v>255</v>
      </c>
      <c r="J164" s="16" t="s">
        <v>33</v>
      </c>
    </row>
    <row r="165" spans="1:10" hidden="1" x14ac:dyDescent="0.3">
      <c r="A165" s="16" t="s">
        <v>1934</v>
      </c>
      <c r="B165" s="16"/>
      <c r="C165" s="16"/>
      <c r="D165" s="16" t="s">
        <v>1935</v>
      </c>
      <c r="E165" s="16" t="s">
        <v>1779</v>
      </c>
      <c r="F165" s="16" t="s">
        <v>133</v>
      </c>
      <c r="G165" s="16" t="s">
        <v>661</v>
      </c>
      <c r="J165" s="16" t="s">
        <v>33</v>
      </c>
    </row>
    <row r="166" spans="1:10" hidden="1" x14ac:dyDescent="0.3">
      <c r="A166" s="16" t="s">
        <v>1934</v>
      </c>
      <c r="B166" s="16"/>
      <c r="C166" s="16"/>
      <c r="D166" s="16" t="s">
        <v>1936</v>
      </c>
      <c r="E166" s="16" t="s">
        <v>1915</v>
      </c>
      <c r="F166" s="16" t="s">
        <v>133</v>
      </c>
      <c r="G166" s="16" t="s">
        <v>661</v>
      </c>
      <c r="J166" s="16" t="s">
        <v>33</v>
      </c>
    </row>
    <row r="167" spans="1:10" hidden="1" x14ac:dyDescent="0.3">
      <c r="A167" s="16" t="s">
        <v>1937</v>
      </c>
      <c r="B167" s="16"/>
      <c r="C167" s="16"/>
      <c r="D167" s="16" t="s">
        <v>1938</v>
      </c>
      <c r="E167" s="16" t="s">
        <v>1779</v>
      </c>
      <c r="F167" s="16" t="s">
        <v>133</v>
      </c>
      <c r="G167" s="16" t="s">
        <v>661</v>
      </c>
      <c r="J167" s="16" t="s">
        <v>33</v>
      </c>
    </row>
    <row r="168" spans="1:10" hidden="1" x14ac:dyDescent="0.3">
      <c r="A168" s="16" t="s">
        <v>1939</v>
      </c>
      <c r="B168" s="16"/>
      <c r="C168" s="16"/>
      <c r="D168" s="16" t="s">
        <v>1940</v>
      </c>
      <c r="E168" s="16" t="s">
        <v>1779</v>
      </c>
      <c r="F168" s="16" t="s">
        <v>133</v>
      </c>
      <c r="G168" s="16" t="s">
        <v>588</v>
      </c>
      <c r="J168" s="16" t="s">
        <v>33</v>
      </c>
    </row>
    <row r="169" spans="1:10" hidden="1" x14ac:dyDescent="0.3">
      <c r="A169" s="16" t="s">
        <v>1941</v>
      </c>
      <c r="B169" s="16"/>
      <c r="C169" s="16"/>
      <c r="D169" s="16" t="s">
        <v>1942</v>
      </c>
      <c r="E169" s="16" t="s">
        <v>1779</v>
      </c>
      <c r="F169" s="16" t="s">
        <v>133</v>
      </c>
      <c r="G169" s="16" t="s">
        <v>1791</v>
      </c>
      <c r="J169" s="16" t="s">
        <v>33</v>
      </c>
    </row>
    <row r="170" spans="1:10" hidden="1" x14ac:dyDescent="0.3">
      <c r="A170" s="16" t="s">
        <v>1943</v>
      </c>
      <c r="B170" s="16"/>
      <c r="C170" s="16"/>
      <c r="D170" s="16" t="s">
        <v>1944</v>
      </c>
      <c r="E170" s="16" t="s">
        <v>1779</v>
      </c>
      <c r="F170" s="16" t="s">
        <v>133</v>
      </c>
      <c r="G170" s="16" t="s">
        <v>1791</v>
      </c>
      <c r="J170" s="16" t="s">
        <v>33</v>
      </c>
    </row>
    <row r="171" spans="1:10" hidden="1" x14ac:dyDescent="0.3">
      <c r="A171" s="16" t="s">
        <v>1945</v>
      </c>
      <c r="B171" s="16"/>
      <c r="C171" s="16"/>
      <c r="D171" s="16" t="s">
        <v>1946</v>
      </c>
      <c r="E171" s="16" t="s">
        <v>1779</v>
      </c>
      <c r="F171" s="16" t="s">
        <v>133</v>
      </c>
      <c r="G171" s="16" t="s">
        <v>661</v>
      </c>
      <c r="J171" s="16" t="s">
        <v>33</v>
      </c>
    </row>
    <row r="172" spans="1:10" hidden="1" x14ac:dyDescent="0.3">
      <c r="A172" s="16" t="s">
        <v>1945</v>
      </c>
      <c r="B172" s="16"/>
      <c r="C172" s="16"/>
      <c r="D172" s="16" t="s">
        <v>1947</v>
      </c>
      <c r="E172" s="16" t="s">
        <v>1915</v>
      </c>
      <c r="F172" s="16" t="s">
        <v>133</v>
      </c>
      <c r="G172" s="16" t="s">
        <v>661</v>
      </c>
      <c r="J172" s="16" t="s">
        <v>33</v>
      </c>
    </row>
    <row r="173" spans="1:10" hidden="1" x14ac:dyDescent="0.3">
      <c r="A173" s="16" t="s">
        <v>1948</v>
      </c>
      <c r="B173" s="16"/>
      <c r="C173" s="16"/>
      <c r="D173" s="16" t="s">
        <v>1949</v>
      </c>
      <c r="E173" s="16" t="s">
        <v>1779</v>
      </c>
      <c r="F173" s="16" t="s">
        <v>133</v>
      </c>
      <c r="G173" s="16" t="s">
        <v>661</v>
      </c>
      <c r="J173" s="16" t="s">
        <v>33</v>
      </c>
    </row>
    <row r="174" spans="1:10" hidden="1" x14ac:dyDescent="0.3">
      <c r="A174" s="16" t="s">
        <v>1948</v>
      </c>
      <c r="B174" s="16"/>
      <c r="C174" s="16"/>
      <c r="D174" s="16" t="s">
        <v>1950</v>
      </c>
      <c r="E174" s="16" t="s">
        <v>1778</v>
      </c>
      <c r="F174" s="16" t="s">
        <v>133</v>
      </c>
      <c r="G174" s="16" t="s">
        <v>661</v>
      </c>
      <c r="J174" s="16" t="s">
        <v>33</v>
      </c>
    </row>
    <row r="175" spans="1:10" hidden="1" x14ac:dyDescent="0.3">
      <c r="A175" s="16" t="s">
        <v>1951</v>
      </c>
      <c r="B175" s="16"/>
      <c r="C175" s="16"/>
      <c r="D175" s="16" t="s">
        <v>1952</v>
      </c>
      <c r="E175" s="16" t="s">
        <v>1779</v>
      </c>
      <c r="F175" s="16" t="s">
        <v>133</v>
      </c>
      <c r="G175" s="16" t="s">
        <v>661</v>
      </c>
      <c r="J175" s="16" t="s">
        <v>33</v>
      </c>
    </row>
    <row r="176" spans="1:10" hidden="1" x14ac:dyDescent="0.3">
      <c r="A176" s="16" t="s">
        <v>1951</v>
      </c>
      <c r="B176" s="16"/>
      <c r="C176" s="16"/>
      <c r="D176" s="16" t="s">
        <v>1953</v>
      </c>
      <c r="E176" s="16" t="s">
        <v>1915</v>
      </c>
      <c r="F176" s="16" t="s">
        <v>133</v>
      </c>
      <c r="G176" s="16" t="s">
        <v>661</v>
      </c>
      <c r="J176" s="16" t="s">
        <v>33</v>
      </c>
    </row>
    <row r="177" spans="1:11" hidden="1" x14ac:dyDescent="0.3">
      <c r="A177" s="16" t="s">
        <v>1954</v>
      </c>
      <c r="B177" s="16"/>
      <c r="C177" s="16"/>
      <c r="D177" s="16" t="s">
        <v>1955</v>
      </c>
      <c r="E177" s="16" t="s">
        <v>1779</v>
      </c>
      <c r="F177" s="16" t="s">
        <v>133</v>
      </c>
      <c r="G177" s="16" t="s">
        <v>661</v>
      </c>
      <c r="J177" s="16" t="s">
        <v>33</v>
      </c>
    </row>
    <row r="178" spans="1:11" hidden="1" x14ac:dyDescent="0.3">
      <c r="A178" s="16" t="s">
        <v>1954</v>
      </c>
      <c r="B178" s="16"/>
      <c r="C178" s="16"/>
      <c r="D178" s="16" t="s">
        <v>1956</v>
      </c>
      <c r="E178" s="16" t="s">
        <v>1778</v>
      </c>
      <c r="F178" s="16" t="s">
        <v>133</v>
      </c>
      <c r="G178" s="16" t="s">
        <v>661</v>
      </c>
      <c r="J178" s="16" t="s">
        <v>33</v>
      </c>
    </row>
    <row r="179" spans="1:11" hidden="1" x14ac:dyDescent="0.3">
      <c r="A179" s="16" t="s">
        <v>1957</v>
      </c>
      <c r="B179" s="16"/>
      <c r="C179" s="16"/>
      <c r="D179" s="16" t="s">
        <v>1958</v>
      </c>
      <c r="E179" s="16" t="s">
        <v>1779</v>
      </c>
      <c r="F179" s="16" t="s">
        <v>133</v>
      </c>
      <c r="G179" s="16" t="s">
        <v>539</v>
      </c>
      <c r="J179" s="16" t="s">
        <v>33</v>
      </c>
    </row>
    <row r="180" spans="1:11" hidden="1" x14ac:dyDescent="0.3">
      <c r="A180" s="16" t="s">
        <v>1959</v>
      </c>
      <c r="B180" s="16"/>
      <c r="C180" s="16"/>
      <c r="D180" s="16" t="s">
        <v>1960</v>
      </c>
      <c r="E180" s="16" t="s">
        <v>1779</v>
      </c>
      <c r="F180" s="16" t="s">
        <v>133</v>
      </c>
      <c r="G180" s="16" t="s">
        <v>588</v>
      </c>
      <c r="J180" s="16" t="s">
        <v>33</v>
      </c>
    </row>
    <row r="181" spans="1:11" hidden="1" x14ac:dyDescent="0.3">
      <c r="A181" s="16" t="s">
        <v>1267</v>
      </c>
      <c r="B181" s="16"/>
      <c r="C181" s="16"/>
      <c r="D181" s="16" t="s">
        <v>1268</v>
      </c>
      <c r="E181" s="16" t="s">
        <v>1778</v>
      </c>
      <c r="F181" s="16" t="s">
        <v>18</v>
      </c>
      <c r="G181" s="16" t="s">
        <v>539</v>
      </c>
      <c r="I181" s="16" t="s">
        <v>1127</v>
      </c>
      <c r="J181" s="16" t="s">
        <v>33</v>
      </c>
    </row>
    <row r="182" spans="1:11" hidden="1" x14ac:dyDescent="0.3">
      <c r="A182" s="16" t="s">
        <v>1961</v>
      </c>
      <c r="B182" s="16"/>
      <c r="C182" s="16"/>
      <c r="D182" s="16" t="s">
        <v>1962</v>
      </c>
      <c r="E182" s="16" t="s">
        <v>1963</v>
      </c>
      <c r="F182" s="16" t="s">
        <v>18</v>
      </c>
      <c r="G182" s="16" t="s">
        <v>555</v>
      </c>
      <c r="I182" s="16" t="s">
        <v>1127</v>
      </c>
      <c r="J182" s="16" t="s">
        <v>33</v>
      </c>
    </row>
    <row r="183" spans="1:11" hidden="1" x14ac:dyDescent="0.3">
      <c r="A183" s="16" t="s">
        <v>1106</v>
      </c>
      <c r="B183" s="16"/>
      <c r="C183" s="16"/>
      <c r="D183" s="16" t="s">
        <v>1107</v>
      </c>
      <c r="E183" s="16" t="s">
        <v>1812</v>
      </c>
      <c r="F183" s="16" t="s">
        <v>18</v>
      </c>
      <c r="G183" s="16" t="s">
        <v>539</v>
      </c>
      <c r="I183" s="16" t="s">
        <v>1103</v>
      </c>
      <c r="J183" s="16" t="s">
        <v>33</v>
      </c>
    </row>
    <row r="184" spans="1:11" hidden="1" x14ac:dyDescent="0.3">
      <c r="A184" s="16" t="s">
        <v>1467</v>
      </c>
      <c r="B184" s="16"/>
      <c r="C184" s="16"/>
      <c r="D184" s="16" t="s">
        <v>1468</v>
      </c>
      <c r="E184" s="16" t="s">
        <v>1779</v>
      </c>
      <c r="F184" s="16" t="s">
        <v>18</v>
      </c>
      <c r="G184" s="16" t="s">
        <v>539</v>
      </c>
      <c r="I184" s="16" t="s">
        <v>1103</v>
      </c>
      <c r="J184" s="16" t="s">
        <v>33</v>
      </c>
    </row>
    <row r="185" spans="1:11" hidden="1" x14ac:dyDescent="0.3">
      <c r="A185" s="16" t="s">
        <v>24</v>
      </c>
      <c r="B185" s="16"/>
      <c r="C185" s="16"/>
      <c r="D185" s="16" t="s">
        <v>1166</v>
      </c>
      <c r="E185" s="16" t="s">
        <v>1777</v>
      </c>
      <c r="F185" s="16" t="s">
        <v>18</v>
      </c>
      <c r="G185" s="16" t="s">
        <v>539</v>
      </c>
      <c r="I185" s="16" t="s">
        <v>1127</v>
      </c>
      <c r="J185" s="16" t="s">
        <v>33</v>
      </c>
      <c r="K185" s="16" t="s">
        <v>33</v>
      </c>
    </row>
    <row r="186" spans="1:11" hidden="1" x14ac:dyDescent="0.3">
      <c r="A186" s="16" t="s">
        <v>24</v>
      </c>
      <c r="B186" s="16"/>
      <c r="C186" s="16"/>
      <c r="D186" s="16" t="s">
        <v>1269</v>
      </c>
      <c r="E186" s="16" t="s">
        <v>1778</v>
      </c>
      <c r="F186" s="16" t="s">
        <v>18</v>
      </c>
      <c r="G186" s="16" t="s">
        <v>539</v>
      </c>
      <c r="I186" s="16" t="s">
        <v>1103</v>
      </c>
      <c r="J186" s="16" t="s">
        <v>33</v>
      </c>
    </row>
    <row r="187" spans="1:11" hidden="1" x14ac:dyDescent="0.3">
      <c r="A187" s="16" t="s">
        <v>1964</v>
      </c>
      <c r="B187" s="16"/>
      <c r="C187" s="16"/>
      <c r="D187" s="16" t="s">
        <v>1965</v>
      </c>
      <c r="E187" s="16" t="s">
        <v>1779</v>
      </c>
      <c r="F187" s="16" t="s">
        <v>133</v>
      </c>
      <c r="G187" s="16" t="s">
        <v>661</v>
      </c>
      <c r="I187" s="16" t="s">
        <v>662</v>
      </c>
      <c r="J187" s="16" t="s">
        <v>33</v>
      </c>
    </row>
    <row r="188" spans="1:11" hidden="1" x14ac:dyDescent="0.3">
      <c r="A188" s="16" t="s">
        <v>1966</v>
      </c>
      <c r="B188" s="16"/>
      <c r="C188" s="16"/>
      <c r="D188" s="16" t="s">
        <v>1967</v>
      </c>
      <c r="E188" s="16" t="s">
        <v>1779</v>
      </c>
      <c r="F188" s="16" t="s">
        <v>133</v>
      </c>
      <c r="G188" s="16" t="s">
        <v>661</v>
      </c>
      <c r="I188" s="16" t="s">
        <v>662</v>
      </c>
      <c r="J188" s="16" t="s">
        <v>33</v>
      </c>
    </row>
    <row r="189" spans="1:11" hidden="1" x14ac:dyDescent="0.3">
      <c r="A189" s="16" t="s">
        <v>324</v>
      </c>
      <c r="B189" s="16"/>
      <c r="C189" s="16"/>
      <c r="D189" s="16" t="s">
        <v>325</v>
      </c>
      <c r="E189" s="16" t="s">
        <v>1779</v>
      </c>
      <c r="F189" s="16" t="s">
        <v>18</v>
      </c>
      <c r="G189" s="16" t="s">
        <v>539</v>
      </c>
      <c r="I189" s="16" t="s">
        <v>1127</v>
      </c>
      <c r="J189" s="16" t="s">
        <v>33</v>
      </c>
    </row>
    <row r="190" spans="1:11" hidden="1" x14ac:dyDescent="0.3">
      <c r="A190" s="16" t="s">
        <v>1968</v>
      </c>
      <c r="B190" s="16"/>
      <c r="C190" s="16"/>
      <c r="D190" s="16" t="s">
        <v>1969</v>
      </c>
      <c r="E190" s="16" t="s">
        <v>1915</v>
      </c>
      <c r="F190" s="16" t="s">
        <v>133</v>
      </c>
      <c r="G190" s="16" t="s">
        <v>539</v>
      </c>
      <c r="J190" s="16" t="s">
        <v>33</v>
      </c>
    </row>
    <row r="191" spans="1:11" hidden="1" x14ac:dyDescent="0.3">
      <c r="A191" s="16" t="s">
        <v>1968</v>
      </c>
      <c r="B191" s="16"/>
      <c r="C191" s="16"/>
      <c r="D191" s="16" t="s">
        <v>1970</v>
      </c>
      <c r="E191" s="16" t="s">
        <v>1778</v>
      </c>
      <c r="F191" s="16" t="s">
        <v>18</v>
      </c>
      <c r="G191" s="16" t="s">
        <v>539</v>
      </c>
      <c r="I191" s="16" t="s">
        <v>1770</v>
      </c>
      <c r="J191" s="16" t="s">
        <v>33</v>
      </c>
    </row>
    <row r="192" spans="1:11" hidden="1" x14ac:dyDescent="0.3">
      <c r="A192" s="16" t="s">
        <v>1136</v>
      </c>
      <c r="B192" s="16"/>
      <c r="C192" s="16"/>
      <c r="D192" s="16" t="s">
        <v>1137</v>
      </c>
      <c r="E192" s="16" t="s">
        <v>1915</v>
      </c>
      <c r="F192" s="16" t="s">
        <v>18</v>
      </c>
      <c r="G192" s="16" t="s">
        <v>539</v>
      </c>
      <c r="I192" s="16" t="s">
        <v>1127</v>
      </c>
      <c r="J192" s="16" t="s">
        <v>33</v>
      </c>
    </row>
    <row r="193" spans="1:14" hidden="1" x14ac:dyDescent="0.3">
      <c r="A193" s="16" t="s">
        <v>167</v>
      </c>
      <c r="B193" s="16"/>
      <c r="C193" s="16"/>
      <c r="D193" s="16" t="s">
        <v>1167</v>
      </c>
      <c r="E193" s="16" t="s">
        <v>1777</v>
      </c>
      <c r="F193" s="16" t="s">
        <v>18</v>
      </c>
      <c r="G193" s="16" t="s">
        <v>539</v>
      </c>
      <c r="I193" s="16" t="s">
        <v>1127</v>
      </c>
      <c r="J193" s="16" t="s">
        <v>33</v>
      </c>
    </row>
    <row r="194" spans="1:14" hidden="1" x14ac:dyDescent="0.3">
      <c r="A194" s="16" t="s">
        <v>167</v>
      </c>
      <c r="B194" s="16"/>
      <c r="C194" s="16"/>
      <c r="D194" s="16" t="s">
        <v>1270</v>
      </c>
      <c r="E194" s="16" t="s">
        <v>1778</v>
      </c>
      <c r="F194" s="16" t="s">
        <v>18</v>
      </c>
      <c r="G194" s="16" t="s">
        <v>539</v>
      </c>
      <c r="I194" s="16" t="s">
        <v>1127</v>
      </c>
      <c r="J194" s="16" t="s">
        <v>33</v>
      </c>
    </row>
    <row r="195" spans="1:14" hidden="1" x14ac:dyDescent="0.3">
      <c r="A195" s="16" t="s">
        <v>167</v>
      </c>
      <c r="B195" s="16"/>
      <c r="C195" s="16"/>
      <c r="D195" s="16" t="s">
        <v>168</v>
      </c>
      <c r="E195" s="16" t="s">
        <v>1779</v>
      </c>
      <c r="F195" s="16" t="s">
        <v>18</v>
      </c>
      <c r="G195" s="16" t="s">
        <v>539</v>
      </c>
      <c r="I195" s="16" t="s">
        <v>1127</v>
      </c>
      <c r="J195" s="16" t="s">
        <v>33</v>
      </c>
    </row>
    <row r="196" spans="1:14" hidden="1" x14ac:dyDescent="0.3">
      <c r="A196" s="16" t="s">
        <v>1971</v>
      </c>
      <c r="B196" s="16"/>
      <c r="C196" s="16"/>
      <c r="D196" s="16" t="s">
        <v>1972</v>
      </c>
      <c r="E196" s="16" t="s">
        <v>1779</v>
      </c>
      <c r="F196" s="16" t="s">
        <v>133</v>
      </c>
      <c r="G196" s="16" t="s">
        <v>539</v>
      </c>
      <c r="J196" s="16" t="s">
        <v>33</v>
      </c>
    </row>
    <row r="197" spans="1:14" hidden="1" x14ac:dyDescent="0.3">
      <c r="A197" s="16" t="s">
        <v>1168</v>
      </c>
      <c r="B197" s="16"/>
      <c r="C197" s="16"/>
      <c r="D197" s="16" t="s">
        <v>1169</v>
      </c>
      <c r="E197" s="16" t="s">
        <v>1777</v>
      </c>
      <c r="F197" s="16" t="s">
        <v>18</v>
      </c>
      <c r="G197" s="16" t="s">
        <v>539</v>
      </c>
      <c r="I197" s="16" t="s">
        <v>1127</v>
      </c>
      <c r="J197" s="16" t="s">
        <v>33</v>
      </c>
    </row>
    <row r="198" spans="1:14" hidden="1" x14ac:dyDescent="0.3">
      <c r="A198" s="16" t="s">
        <v>1469</v>
      </c>
      <c r="B198" s="16"/>
      <c r="C198" s="16"/>
      <c r="D198" s="16" t="s">
        <v>1470</v>
      </c>
      <c r="E198" s="16" t="s">
        <v>1779</v>
      </c>
      <c r="F198" s="16" t="s">
        <v>18</v>
      </c>
      <c r="G198" s="16" t="s">
        <v>1791</v>
      </c>
      <c r="I198" s="16" t="s">
        <v>1127</v>
      </c>
      <c r="J198" s="16" t="s">
        <v>33</v>
      </c>
    </row>
    <row r="199" spans="1:14" hidden="1" x14ac:dyDescent="0.3">
      <c r="A199" s="16" t="s">
        <v>1973</v>
      </c>
      <c r="B199" s="16"/>
      <c r="C199" s="16"/>
      <c r="D199" s="16" t="s">
        <v>1974</v>
      </c>
      <c r="E199" s="16" t="s">
        <v>1779</v>
      </c>
      <c r="F199" s="16" t="s">
        <v>388</v>
      </c>
      <c r="G199" s="16" t="s">
        <v>539</v>
      </c>
      <c r="L199" s="16" t="s">
        <v>32</v>
      </c>
      <c r="M199" s="16" t="s">
        <v>1975</v>
      </c>
      <c r="N199" s="16" t="s">
        <v>33</v>
      </c>
    </row>
    <row r="200" spans="1:14" hidden="1" x14ac:dyDescent="0.3">
      <c r="A200" s="16" t="s">
        <v>1976</v>
      </c>
      <c r="B200" s="16"/>
      <c r="C200" s="16"/>
      <c r="D200" s="16" t="s">
        <v>1977</v>
      </c>
      <c r="E200" s="16" t="s">
        <v>1769</v>
      </c>
      <c r="F200" s="16" t="s">
        <v>133</v>
      </c>
      <c r="G200" s="16" t="s">
        <v>661</v>
      </c>
      <c r="J200" s="16" t="s">
        <v>33</v>
      </c>
    </row>
    <row r="201" spans="1:14" hidden="1" x14ac:dyDescent="0.3">
      <c r="A201" s="16" t="s">
        <v>1978</v>
      </c>
      <c r="B201" s="16"/>
      <c r="C201" s="16"/>
      <c r="D201" s="16" t="s">
        <v>1979</v>
      </c>
      <c r="E201" s="16" t="s">
        <v>1769</v>
      </c>
      <c r="F201" s="16" t="s">
        <v>133</v>
      </c>
      <c r="G201" s="16" t="s">
        <v>661</v>
      </c>
      <c r="J201" s="16" t="s">
        <v>33</v>
      </c>
    </row>
    <row r="202" spans="1:14" hidden="1" x14ac:dyDescent="0.3">
      <c r="A202" s="16" t="s">
        <v>1980</v>
      </c>
      <c r="B202" s="16"/>
      <c r="C202" s="16"/>
      <c r="D202" s="16" t="s">
        <v>1981</v>
      </c>
      <c r="E202" s="16" t="s">
        <v>1779</v>
      </c>
      <c r="F202" s="16" t="s">
        <v>388</v>
      </c>
      <c r="G202" s="16" t="s">
        <v>539</v>
      </c>
      <c r="J202" s="16" t="s">
        <v>33</v>
      </c>
      <c r="L202" s="16" t="s">
        <v>32</v>
      </c>
    </row>
    <row r="203" spans="1:14" hidden="1" x14ac:dyDescent="0.3">
      <c r="A203" s="16" t="s">
        <v>1982</v>
      </c>
      <c r="B203" s="16"/>
      <c r="C203" s="16"/>
      <c r="D203" s="16" t="s">
        <v>1983</v>
      </c>
      <c r="E203" s="16" t="s">
        <v>1779</v>
      </c>
      <c r="F203" s="16" t="s">
        <v>388</v>
      </c>
      <c r="G203" s="16" t="s">
        <v>539</v>
      </c>
      <c r="J203" s="16" t="s">
        <v>33</v>
      </c>
      <c r="L203" s="16" t="s">
        <v>32</v>
      </c>
    </row>
    <row r="204" spans="1:14" hidden="1" x14ac:dyDescent="0.3">
      <c r="A204" s="16" t="s">
        <v>1984</v>
      </c>
      <c r="B204" s="16"/>
      <c r="C204" s="16"/>
      <c r="D204" s="16" t="s">
        <v>1985</v>
      </c>
      <c r="E204" s="16" t="s">
        <v>1778</v>
      </c>
      <c r="F204" s="16" t="s">
        <v>18</v>
      </c>
      <c r="G204" s="16" t="s">
        <v>539</v>
      </c>
      <c r="I204" s="16" t="s">
        <v>1770</v>
      </c>
      <c r="J204" s="16" t="s">
        <v>33</v>
      </c>
    </row>
    <row r="205" spans="1:14" hidden="1" x14ac:dyDescent="0.3">
      <c r="A205" s="16" t="s">
        <v>1271</v>
      </c>
      <c r="B205" s="16"/>
      <c r="C205" s="16"/>
      <c r="D205" s="16" t="s">
        <v>1272</v>
      </c>
      <c r="E205" s="16" t="s">
        <v>1778</v>
      </c>
      <c r="F205" s="16" t="s">
        <v>18</v>
      </c>
      <c r="G205" s="16" t="s">
        <v>539</v>
      </c>
      <c r="I205" s="16" t="s">
        <v>1127</v>
      </c>
      <c r="J205" s="16" t="s">
        <v>33</v>
      </c>
    </row>
    <row r="206" spans="1:14" hidden="1" x14ac:dyDescent="0.3">
      <c r="A206" s="16" t="s">
        <v>1986</v>
      </c>
      <c r="B206" s="16"/>
      <c r="C206" s="16"/>
      <c r="D206" s="16" t="s">
        <v>1987</v>
      </c>
      <c r="E206" s="16" t="s">
        <v>1779</v>
      </c>
      <c r="F206" s="16" t="s">
        <v>388</v>
      </c>
      <c r="G206" s="16" t="s">
        <v>539</v>
      </c>
      <c r="J206" s="16" t="s">
        <v>33</v>
      </c>
      <c r="L206" s="16" t="s">
        <v>32</v>
      </c>
    </row>
    <row r="207" spans="1:14" hidden="1" x14ac:dyDescent="0.3">
      <c r="A207" s="16" t="s">
        <v>234</v>
      </c>
      <c r="B207" s="16"/>
      <c r="C207" s="16"/>
      <c r="D207" s="16" t="s">
        <v>152</v>
      </c>
      <c r="E207" s="16" t="s">
        <v>1779</v>
      </c>
      <c r="F207" s="16" t="s">
        <v>388</v>
      </c>
      <c r="G207" s="16" t="s">
        <v>539</v>
      </c>
      <c r="J207" s="16" t="s">
        <v>33</v>
      </c>
      <c r="L207" s="16" t="s">
        <v>1988</v>
      </c>
    </row>
    <row r="208" spans="1:14" hidden="1" x14ac:dyDescent="0.3">
      <c r="A208" s="16" t="s">
        <v>235</v>
      </c>
      <c r="B208" s="16"/>
      <c r="C208" s="16"/>
      <c r="D208" s="16" t="s">
        <v>1989</v>
      </c>
      <c r="E208" s="16" t="s">
        <v>1779</v>
      </c>
      <c r="F208" s="16" t="s">
        <v>388</v>
      </c>
      <c r="G208" s="16" t="s">
        <v>539</v>
      </c>
      <c r="J208" s="16" t="s">
        <v>33</v>
      </c>
      <c r="L208" s="16" t="s">
        <v>1988</v>
      </c>
    </row>
    <row r="209" spans="1:12" hidden="1" x14ac:dyDescent="0.3">
      <c r="A209" s="16" t="s">
        <v>233</v>
      </c>
      <c r="B209" s="16"/>
      <c r="C209" s="16"/>
      <c r="D209" s="16" t="s">
        <v>65</v>
      </c>
      <c r="E209" s="16" t="s">
        <v>1779</v>
      </c>
      <c r="F209" s="16" t="s">
        <v>388</v>
      </c>
      <c r="G209" s="16" t="s">
        <v>539</v>
      </c>
      <c r="J209" s="16" t="s">
        <v>33</v>
      </c>
      <c r="L209" s="16" t="s">
        <v>32</v>
      </c>
    </row>
    <row r="210" spans="1:12" hidden="1" x14ac:dyDescent="0.3">
      <c r="A210" s="16" t="s">
        <v>1990</v>
      </c>
      <c r="B210" s="16"/>
      <c r="C210" s="16"/>
      <c r="D210" s="16" t="s">
        <v>59</v>
      </c>
      <c r="E210" s="16" t="s">
        <v>1779</v>
      </c>
      <c r="F210" s="16" t="s">
        <v>388</v>
      </c>
      <c r="G210" s="16" t="s">
        <v>539</v>
      </c>
      <c r="J210" s="16" t="s">
        <v>33</v>
      </c>
      <c r="L210" s="16" t="s">
        <v>32</v>
      </c>
    </row>
    <row r="211" spans="1:12" hidden="1" x14ac:dyDescent="0.3">
      <c r="A211" s="16" t="s">
        <v>237</v>
      </c>
      <c r="B211" s="16"/>
      <c r="C211" s="16"/>
      <c r="D211" s="16" t="s">
        <v>238</v>
      </c>
      <c r="E211" s="16" t="s">
        <v>1779</v>
      </c>
      <c r="F211" s="16" t="s">
        <v>388</v>
      </c>
      <c r="G211" s="16" t="s">
        <v>539</v>
      </c>
      <c r="J211" s="16" t="s">
        <v>33</v>
      </c>
      <c r="L211" s="16" t="s">
        <v>32</v>
      </c>
    </row>
    <row r="212" spans="1:12" hidden="1" x14ac:dyDescent="0.3">
      <c r="A212" s="16" t="s">
        <v>1273</v>
      </c>
      <c r="B212" s="16"/>
      <c r="C212" s="16"/>
      <c r="D212" s="16" t="s">
        <v>1274</v>
      </c>
      <c r="E212" s="16" t="s">
        <v>1778</v>
      </c>
      <c r="F212" s="16" t="s">
        <v>18</v>
      </c>
      <c r="G212" s="16" t="s">
        <v>539</v>
      </c>
      <c r="I212" s="16" t="s">
        <v>1127</v>
      </c>
      <c r="J212" s="16" t="s">
        <v>33</v>
      </c>
    </row>
    <row r="213" spans="1:12" hidden="1" x14ac:dyDescent="0.3">
      <c r="A213" s="16" t="s">
        <v>1273</v>
      </c>
      <c r="B213" s="16"/>
      <c r="C213" s="16"/>
      <c r="D213" s="16" t="s">
        <v>1471</v>
      </c>
      <c r="E213" s="16" t="s">
        <v>1779</v>
      </c>
      <c r="F213" s="16" t="s">
        <v>18</v>
      </c>
      <c r="G213" s="16" t="s">
        <v>539</v>
      </c>
      <c r="I213" s="16" t="s">
        <v>1127</v>
      </c>
      <c r="J213" s="16" t="s">
        <v>33</v>
      </c>
    </row>
    <row r="214" spans="1:12" hidden="1" x14ac:dyDescent="0.3">
      <c r="A214" s="16" t="s">
        <v>239</v>
      </c>
      <c r="B214" s="16"/>
      <c r="C214" s="16"/>
      <c r="D214" s="16" t="s">
        <v>240</v>
      </c>
      <c r="E214" s="16" t="s">
        <v>1779</v>
      </c>
      <c r="F214" s="16" t="s">
        <v>388</v>
      </c>
      <c r="G214" s="16" t="s">
        <v>539</v>
      </c>
      <c r="J214" s="16" t="s">
        <v>33</v>
      </c>
      <c r="L214" s="16" t="s">
        <v>32</v>
      </c>
    </row>
    <row r="215" spans="1:12" hidden="1" x14ac:dyDescent="0.3">
      <c r="A215" s="16" t="s">
        <v>1991</v>
      </c>
      <c r="B215" s="16"/>
      <c r="C215" s="16"/>
      <c r="D215" s="16" t="s">
        <v>1992</v>
      </c>
      <c r="E215" s="16" t="s">
        <v>1779</v>
      </c>
      <c r="F215" s="16" t="s">
        <v>133</v>
      </c>
      <c r="G215" s="16" t="s">
        <v>1791</v>
      </c>
      <c r="J215" s="16" t="s">
        <v>33</v>
      </c>
    </row>
    <row r="216" spans="1:12" hidden="1" x14ac:dyDescent="0.3">
      <c r="A216" s="16" t="s">
        <v>1993</v>
      </c>
      <c r="B216" s="16"/>
      <c r="C216" s="16"/>
      <c r="D216" s="16" t="s">
        <v>1994</v>
      </c>
      <c r="E216" s="16" t="s">
        <v>1779</v>
      </c>
      <c r="F216" s="16" t="s">
        <v>133</v>
      </c>
      <c r="G216" s="16" t="s">
        <v>1791</v>
      </c>
      <c r="J216" s="16" t="s">
        <v>33</v>
      </c>
    </row>
    <row r="217" spans="1:12" hidden="1" x14ac:dyDescent="0.3">
      <c r="A217" s="16" t="s">
        <v>1995</v>
      </c>
      <c r="B217" s="16"/>
      <c r="C217" s="16"/>
      <c r="D217" s="16" t="s">
        <v>1996</v>
      </c>
      <c r="E217" s="16" t="s">
        <v>1915</v>
      </c>
      <c r="F217" s="16" t="s">
        <v>133</v>
      </c>
      <c r="G217" s="16" t="s">
        <v>1791</v>
      </c>
      <c r="J217" s="16" t="s">
        <v>33</v>
      </c>
    </row>
    <row r="218" spans="1:12" hidden="1" x14ac:dyDescent="0.3">
      <c r="A218" s="16" t="s">
        <v>1997</v>
      </c>
      <c r="B218" s="16"/>
      <c r="C218" s="16"/>
      <c r="D218" s="16" t="s">
        <v>1998</v>
      </c>
      <c r="E218" s="16" t="s">
        <v>1778</v>
      </c>
      <c r="F218" s="16" t="s">
        <v>18</v>
      </c>
      <c r="G218" s="16" t="s">
        <v>539</v>
      </c>
      <c r="I218" s="16" t="s">
        <v>1770</v>
      </c>
      <c r="J218" s="16" t="s">
        <v>33</v>
      </c>
    </row>
    <row r="219" spans="1:12" hidden="1" x14ac:dyDescent="0.3">
      <c r="A219" s="16" t="s">
        <v>1275</v>
      </c>
      <c r="B219" s="16"/>
      <c r="C219" s="16"/>
      <c r="D219" s="16" t="s">
        <v>1276</v>
      </c>
      <c r="E219" s="16" t="s">
        <v>1778</v>
      </c>
      <c r="F219" s="16" t="s">
        <v>18</v>
      </c>
      <c r="G219" s="16" t="s">
        <v>555</v>
      </c>
      <c r="I219" s="16" t="s">
        <v>1127</v>
      </c>
      <c r="J219" s="16" t="s">
        <v>33</v>
      </c>
    </row>
    <row r="220" spans="1:12" hidden="1" x14ac:dyDescent="0.3">
      <c r="A220" s="16" t="s">
        <v>1999</v>
      </c>
      <c r="B220" s="16"/>
      <c r="C220" s="16"/>
      <c r="D220" s="16" t="s">
        <v>2000</v>
      </c>
      <c r="E220" s="16" t="s">
        <v>1779</v>
      </c>
      <c r="F220" s="16" t="s">
        <v>388</v>
      </c>
      <c r="G220" s="16" t="s">
        <v>539</v>
      </c>
      <c r="J220" s="16" t="s">
        <v>33</v>
      </c>
      <c r="L220" s="16" t="s">
        <v>32</v>
      </c>
    </row>
    <row r="221" spans="1:12" hidden="1" x14ac:dyDescent="0.3">
      <c r="A221" s="16" t="s">
        <v>1277</v>
      </c>
      <c r="B221" s="16"/>
      <c r="C221" s="16"/>
      <c r="D221" s="16" t="s">
        <v>1278</v>
      </c>
      <c r="E221" s="16" t="s">
        <v>1778</v>
      </c>
      <c r="F221" s="16" t="s">
        <v>18</v>
      </c>
      <c r="G221" s="16" t="s">
        <v>539</v>
      </c>
      <c r="I221" s="16" t="s">
        <v>1127</v>
      </c>
      <c r="J221" s="16" t="s">
        <v>33</v>
      </c>
    </row>
    <row r="222" spans="1:12" hidden="1" x14ac:dyDescent="0.3">
      <c r="A222" s="16" t="s">
        <v>2001</v>
      </c>
      <c r="B222" s="16"/>
      <c r="C222" s="16"/>
      <c r="D222" s="16" t="s">
        <v>2002</v>
      </c>
      <c r="E222" s="16" t="s">
        <v>1779</v>
      </c>
      <c r="F222" s="16" t="s">
        <v>388</v>
      </c>
      <c r="G222" s="16" t="s">
        <v>539</v>
      </c>
      <c r="J222" s="16" t="s">
        <v>33</v>
      </c>
      <c r="L222" s="16" t="s">
        <v>32</v>
      </c>
    </row>
    <row r="223" spans="1:12" hidden="1" x14ac:dyDescent="0.3">
      <c r="A223" s="16" t="s">
        <v>1279</v>
      </c>
      <c r="B223" s="16"/>
      <c r="C223" s="16"/>
      <c r="D223" s="16" t="s">
        <v>1280</v>
      </c>
      <c r="E223" s="16" t="s">
        <v>1778</v>
      </c>
      <c r="F223" s="16" t="s">
        <v>18</v>
      </c>
      <c r="G223" s="16" t="s">
        <v>539</v>
      </c>
      <c r="I223" s="16" t="s">
        <v>1127</v>
      </c>
      <c r="J223" s="16" t="s">
        <v>33</v>
      </c>
    </row>
    <row r="224" spans="1:12" hidden="1" x14ac:dyDescent="0.3">
      <c r="A224" s="16" t="s">
        <v>2003</v>
      </c>
      <c r="B224" s="16"/>
      <c r="C224" s="16"/>
      <c r="D224" s="16" t="s">
        <v>2004</v>
      </c>
      <c r="E224" s="16" t="s">
        <v>1779</v>
      </c>
      <c r="F224" s="16" t="s">
        <v>133</v>
      </c>
      <c r="G224" s="16" t="s">
        <v>661</v>
      </c>
      <c r="I224" s="16" t="s">
        <v>662</v>
      </c>
      <c r="J224" s="16" t="s">
        <v>33</v>
      </c>
    </row>
    <row r="225" spans="1:12" hidden="1" x14ac:dyDescent="0.3">
      <c r="A225" s="16" t="s">
        <v>2005</v>
      </c>
      <c r="B225" s="16"/>
      <c r="C225" s="16"/>
      <c r="D225" s="16" t="s">
        <v>2006</v>
      </c>
      <c r="E225" s="16" t="s">
        <v>1779</v>
      </c>
      <c r="F225" s="16" t="s">
        <v>133</v>
      </c>
      <c r="G225" s="16" t="s">
        <v>661</v>
      </c>
      <c r="I225" s="16" t="s">
        <v>662</v>
      </c>
      <c r="J225" s="16" t="s">
        <v>33</v>
      </c>
    </row>
    <row r="226" spans="1:12" hidden="1" x14ac:dyDescent="0.3">
      <c r="A226" s="16" t="s">
        <v>2007</v>
      </c>
      <c r="B226" s="16"/>
      <c r="C226" s="16"/>
      <c r="D226" s="16" t="s">
        <v>2008</v>
      </c>
      <c r="E226" s="16" t="s">
        <v>1779</v>
      </c>
      <c r="F226" s="16" t="s">
        <v>388</v>
      </c>
      <c r="G226" s="16" t="s">
        <v>539</v>
      </c>
      <c r="J226" s="16" t="s">
        <v>33</v>
      </c>
      <c r="L226" s="16" t="s">
        <v>32</v>
      </c>
    </row>
    <row r="227" spans="1:12" hidden="1" x14ac:dyDescent="0.3">
      <c r="A227" s="16" t="s">
        <v>2009</v>
      </c>
      <c r="B227" s="16"/>
      <c r="C227" s="16"/>
      <c r="D227" s="16" t="s">
        <v>2009</v>
      </c>
      <c r="E227" s="16" t="s">
        <v>2010</v>
      </c>
      <c r="F227" s="16" t="s">
        <v>388</v>
      </c>
      <c r="G227" s="16" t="s">
        <v>539</v>
      </c>
      <c r="J227" s="16" t="s">
        <v>33</v>
      </c>
      <c r="L227" s="16" t="s">
        <v>32</v>
      </c>
    </row>
    <row r="228" spans="1:12" hidden="1" x14ac:dyDescent="0.3">
      <c r="A228" s="16" t="s">
        <v>2011</v>
      </c>
      <c r="B228" s="16"/>
      <c r="C228" s="16"/>
      <c r="D228" s="16" t="s">
        <v>2011</v>
      </c>
      <c r="E228" s="16" t="s">
        <v>2010</v>
      </c>
      <c r="F228" s="16" t="s">
        <v>388</v>
      </c>
      <c r="G228" s="16" t="s">
        <v>539</v>
      </c>
      <c r="J228" s="16" t="s">
        <v>33</v>
      </c>
      <c r="L228" s="16" t="s">
        <v>32</v>
      </c>
    </row>
    <row r="229" spans="1:12" hidden="1" x14ac:dyDescent="0.3">
      <c r="A229" s="16" t="s">
        <v>2012</v>
      </c>
      <c r="B229" s="16"/>
      <c r="C229" s="16"/>
      <c r="D229" s="16" t="s">
        <v>2012</v>
      </c>
      <c r="E229" s="16" t="s">
        <v>2010</v>
      </c>
      <c r="F229" s="16" t="s">
        <v>388</v>
      </c>
      <c r="G229" s="16" t="s">
        <v>539</v>
      </c>
      <c r="J229" s="16" t="s">
        <v>33</v>
      </c>
      <c r="L229" s="16" t="s">
        <v>32</v>
      </c>
    </row>
    <row r="230" spans="1:12" hidden="1" x14ac:dyDescent="0.3">
      <c r="A230" s="16" t="s">
        <v>1108</v>
      </c>
      <c r="B230" s="16"/>
      <c r="C230" s="16"/>
      <c r="D230" s="16" t="s">
        <v>1109</v>
      </c>
      <c r="E230" s="16" t="s">
        <v>1812</v>
      </c>
      <c r="F230" s="16" t="s">
        <v>18</v>
      </c>
      <c r="G230" s="16" t="s">
        <v>539</v>
      </c>
      <c r="I230" s="16" t="s">
        <v>1103</v>
      </c>
      <c r="J230" s="16" t="s">
        <v>33</v>
      </c>
    </row>
    <row r="231" spans="1:12" hidden="1" x14ac:dyDescent="0.3">
      <c r="A231" s="16" t="s">
        <v>2013</v>
      </c>
      <c r="B231" s="16"/>
      <c r="C231" s="16"/>
      <c r="D231" s="16" t="s">
        <v>2014</v>
      </c>
      <c r="E231" s="16" t="s">
        <v>1779</v>
      </c>
      <c r="F231" s="16" t="s">
        <v>18</v>
      </c>
      <c r="G231" s="16" t="s">
        <v>539</v>
      </c>
      <c r="I231" s="16" t="s">
        <v>1770</v>
      </c>
      <c r="J231" s="16" t="s">
        <v>33</v>
      </c>
    </row>
    <row r="232" spans="1:12" hidden="1" x14ac:dyDescent="0.3">
      <c r="A232" s="16" t="s">
        <v>2013</v>
      </c>
      <c r="B232" s="16"/>
      <c r="C232" s="16"/>
      <c r="D232" s="16" t="s">
        <v>2015</v>
      </c>
      <c r="E232" s="16" t="s">
        <v>1778</v>
      </c>
      <c r="F232" s="16" t="s">
        <v>18</v>
      </c>
      <c r="G232" s="16" t="s">
        <v>539</v>
      </c>
      <c r="I232" s="16" t="s">
        <v>1770</v>
      </c>
      <c r="J232" s="16" t="s">
        <v>33</v>
      </c>
    </row>
    <row r="233" spans="1:12" hidden="1" x14ac:dyDescent="0.3">
      <c r="A233" s="16" t="s">
        <v>2016</v>
      </c>
      <c r="B233" s="16"/>
      <c r="C233" s="16"/>
      <c r="D233" s="16" t="s">
        <v>2017</v>
      </c>
      <c r="E233" s="16" t="s">
        <v>1779</v>
      </c>
      <c r="F233" s="16" t="s">
        <v>133</v>
      </c>
      <c r="G233" s="16" t="s">
        <v>588</v>
      </c>
      <c r="J233" s="16" t="s">
        <v>33</v>
      </c>
    </row>
    <row r="234" spans="1:12" hidden="1" x14ac:dyDescent="0.3">
      <c r="A234" s="16" t="s">
        <v>2018</v>
      </c>
      <c r="B234" s="16"/>
      <c r="C234" s="16"/>
      <c r="D234" s="16" t="s">
        <v>2019</v>
      </c>
      <c r="E234" s="16" t="s">
        <v>1779</v>
      </c>
      <c r="F234" s="16" t="s">
        <v>133</v>
      </c>
      <c r="G234" s="16" t="s">
        <v>539</v>
      </c>
      <c r="J234" s="16" t="s">
        <v>33</v>
      </c>
    </row>
    <row r="235" spans="1:12" hidden="1" x14ac:dyDescent="0.3">
      <c r="A235" s="16" t="s">
        <v>2020</v>
      </c>
      <c r="B235" s="16"/>
      <c r="C235" s="16"/>
      <c r="D235" s="16" t="s">
        <v>2021</v>
      </c>
      <c r="E235" s="16" t="s">
        <v>1910</v>
      </c>
      <c r="F235" s="16" t="s">
        <v>388</v>
      </c>
      <c r="G235" s="16" t="s">
        <v>539</v>
      </c>
      <c r="L235" s="16" t="s">
        <v>32</v>
      </c>
    </row>
    <row r="236" spans="1:12" hidden="1" x14ac:dyDescent="0.3">
      <c r="A236" s="16" t="s">
        <v>2022</v>
      </c>
      <c r="B236" s="16"/>
      <c r="C236" s="16"/>
      <c r="D236" s="16" t="s">
        <v>2023</v>
      </c>
      <c r="E236" s="16" t="s">
        <v>1910</v>
      </c>
      <c r="F236" s="16" t="s">
        <v>388</v>
      </c>
      <c r="G236" s="16" t="s">
        <v>539</v>
      </c>
      <c r="L236" s="16" t="s">
        <v>32</v>
      </c>
    </row>
    <row r="237" spans="1:12" hidden="1" x14ac:dyDescent="0.3">
      <c r="A237" s="16" t="s">
        <v>2024</v>
      </c>
      <c r="B237" s="16"/>
      <c r="C237" s="16"/>
      <c r="D237" s="16" t="s">
        <v>2025</v>
      </c>
      <c r="E237" s="16" t="s">
        <v>1910</v>
      </c>
      <c r="F237" s="16" t="s">
        <v>388</v>
      </c>
      <c r="G237" s="16" t="s">
        <v>539</v>
      </c>
      <c r="L237" s="16" t="s">
        <v>32</v>
      </c>
    </row>
    <row r="238" spans="1:12" hidden="1" x14ac:dyDescent="0.3">
      <c r="A238" s="16" t="s">
        <v>2026</v>
      </c>
      <c r="B238" s="16"/>
      <c r="C238" s="16"/>
      <c r="D238" s="16" t="s">
        <v>2027</v>
      </c>
      <c r="E238" s="16" t="s">
        <v>1910</v>
      </c>
      <c r="F238" s="16" t="s">
        <v>388</v>
      </c>
      <c r="G238" s="16" t="s">
        <v>539</v>
      </c>
      <c r="L238" s="16" t="s">
        <v>32</v>
      </c>
    </row>
    <row r="239" spans="1:12" hidden="1" x14ac:dyDescent="0.3">
      <c r="A239" s="16" t="s">
        <v>2028</v>
      </c>
      <c r="B239" s="16"/>
      <c r="C239" s="16"/>
      <c r="D239" s="16" t="s">
        <v>2029</v>
      </c>
      <c r="E239" s="16" t="s">
        <v>1910</v>
      </c>
      <c r="F239" s="16" t="s">
        <v>388</v>
      </c>
      <c r="G239" s="16" t="s">
        <v>539</v>
      </c>
      <c r="L239" s="16" t="s">
        <v>32</v>
      </c>
    </row>
    <row r="240" spans="1:12" hidden="1" x14ac:dyDescent="0.3">
      <c r="A240" s="16" t="s">
        <v>2030</v>
      </c>
      <c r="B240" s="16"/>
      <c r="C240" s="16"/>
      <c r="D240" s="16" t="s">
        <v>2031</v>
      </c>
      <c r="E240" s="16" t="s">
        <v>1779</v>
      </c>
      <c r="F240" s="16" t="s">
        <v>133</v>
      </c>
      <c r="G240" s="16" t="s">
        <v>1791</v>
      </c>
      <c r="J240" s="16" t="s">
        <v>33</v>
      </c>
    </row>
    <row r="241" spans="1:13" hidden="1" x14ac:dyDescent="0.3">
      <c r="A241" s="16" t="s">
        <v>2032</v>
      </c>
      <c r="B241" s="16"/>
      <c r="C241" s="16"/>
      <c r="D241" s="16" t="s">
        <v>2033</v>
      </c>
      <c r="E241" s="16" t="s">
        <v>2010</v>
      </c>
      <c r="F241" s="16" t="s">
        <v>388</v>
      </c>
      <c r="G241" s="16" t="s">
        <v>539</v>
      </c>
      <c r="J241" s="16" t="s">
        <v>33</v>
      </c>
      <c r="L241" s="16" t="s">
        <v>32</v>
      </c>
      <c r="M241" s="16" t="s">
        <v>2034</v>
      </c>
    </row>
    <row r="242" spans="1:13" hidden="1" x14ac:dyDescent="0.3">
      <c r="A242" s="16" t="s">
        <v>2035</v>
      </c>
      <c r="B242" s="16"/>
      <c r="C242" s="16"/>
      <c r="D242" s="16" t="s">
        <v>2036</v>
      </c>
      <c r="E242" s="16" t="s">
        <v>2010</v>
      </c>
      <c r="F242" s="16" t="s">
        <v>388</v>
      </c>
      <c r="G242" s="16" t="s">
        <v>539</v>
      </c>
      <c r="J242" s="16" t="s">
        <v>33</v>
      </c>
      <c r="L242" s="16" t="s">
        <v>32</v>
      </c>
      <c r="M242" s="16" t="s">
        <v>2037</v>
      </c>
    </row>
    <row r="243" spans="1:13" hidden="1" x14ac:dyDescent="0.3">
      <c r="A243" s="16" t="s">
        <v>2038</v>
      </c>
      <c r="B243" s="16"/>
      <c r="C243" s="16"/>
      <c r="D243" s="16" t="s">
        <v>2039</v>
      </c>
      <c r="E243" s="16" t="s">
        <v>1779</v>
      </c>
      <c r="F243" s="16" t="s">
        <v>133</v>
      </c>
      <c r="G243" s="16" t="s">
        <v>661</v>
      </c>
      <c r="J243" s="16" t="s">
        <v>33</v>
      </c>
    </row>
    <row r="244" spans="1:13" hidden="1" x14ac:dyDescent="0.3">
      <c r="A244" s="16" t="s">
        <v>2040</v>
      </c>
      <c r="B244" s="16"/>
      <c r="C244" s="16"/>
      <c r="D244" s="16" t="s">
        <v>2041</v>
      </c>
      <c r="E244" s="16" t="s">
        <v>1779</v>
      </c>
      <c r="F244" s="16" t="s">
        <v>2042</v>
      </c>
      <c r="G244" s="16" t="s">
        <v>555</v>
      </c>
      <c r="J244" s="16" t="s">
        <v>33</v>
      </c>
    </row>
    <row r="245" spans="1:13" hidden="1" x14ac:dyDescent="0.3">
      <c r="A245" s="16" t="s">
        <v>2040</v>
      </c>
      <c r="B245" s="16"/>
      <c r="C245" s="16"/>
      <c r="D245" s="16" t="s">
        <v>2041</v>
      </c>
      <c r="E245" s="16" t="s">
        <v>1915</v>
      </c>
      <c r="F245" s="16" t="s">
        <v>2042</v>
      </c>
      <c r="G245" s="16" t="s">
        <v>555</v>
      </c>
      <c r="J245" s="16" t="s">
        <v>33</v>
      </c>
    </row>
    <row r="246" spans="1:13" hidden="1" x14ac:dyDescent="0.3">
      <c r="A246" s="16" t="s">
        <v>2040</v>
      </c>
      <c r="B246" s="16"/>
      <c r="C246" s="16"/>
      <c r="D246" s="16" t="s">
        <v>2041</v>
      </c>
      <c r="E246" s="16" t="s">
        <v>1778</v>
      </c>
      <c r="F246" s="16" t="s">
        <v>2042</v>
      </c>
      <c r="G246" s="16" t="s">
        <v>555</v>
      </c>
      <c r="J246" s="16" t="s">
        <v>33</v>
      </c>
    </row>
    <row r="247" spans="1:13" hidden="1" x14ac:dyDescent="0.3">
      <c r="A247" s="16" t="s">
        <v>2040</v>
      </c>
      <c r="B247" s="16"/>
      <c r="C247" s="16"/>
      <c r="D247" s="16" t="s">
        <v>2043</v>
      </c>
      <c r="E247" s="16" t="s">
        <v>1779</v>
      </c>
      <c r="F247" s="16" t="s">
        <v>18</v>
      </c>
      <c r="G247" s="16" t="s">
        <v>555</v>
      </c>
      <c r="I247" s="16" t="s">
        <v>1770</v>
      </c>
      <c r="J247" s="16" t="s">
        <v>33</v>
      </c>
    </row>
    <row r="248" spans="1:13" hidden="1" x14ac:dyDescent="0.3">
      <c r="A248" s="16" t="s">
        <v>2040</v>
      </c>
      <c r="B248" s="16"/>
      <c r="C248" s="16"/>
      <c r="D248" s="16" t="s">
        <v>2044</v>
      </c>
      <c r="E248" s="16" t="s">
        <v>1915</v>
      </c>
      <c r="F248" s="16" t="s">
        <v>18</v>
      </c>
      <c r="G248" s="16" t="s">
        <v>555</v>
      </c>
      <c r="I248" s="16" t="s">
        <v>1770</v>
      </c>
      <c r="J248" s="16" t="s">
        <v>33</v>
      </c>
    </row>
    <row r="249" spans="1:13" hidden="1" x14ac:dyDescent="0.3">
      <c r="A249" s="16" t="s">
        <v>2040</v>
      </c>
      <c r="B249" s="16"/>
      <c r="C249" s="16"/>
      <c r="D249" s="16" t="s">
        <v>2045</v>
      </c>
      <c r="E249" s="16" t="s">
        <v>1778</v>
      </c>
      <c r="F249" s="16" t="s">
        <v>18</v>
      </c>
      <c r="G249" s="16" t="s">
        <v>555</v>
      </c>
      <c r="I249" s="16" t="s">
        <v>1770</v>
      </c>
      <c r="J249" s="16" t="s">
        <v>33</v>
      </c>
    </row>
    <row r="250" spans="1:13" hidden="1" x14ac:dyDescent="0.3">
      <c r="A250" s="16" t="s">
        <v>2046</v>
      </c>
      <c r="B250" s="16"/>
      <c r="C250" s="16"/>
      <c r="D250" s="16" t="s">
        <v>2047</v>
      </c>
      <c r="E250" s="16" t="s">
        <v>1778</v>
      </c>
      <c r="F250" s="16" t="s">
        <v>2042</v>
      </c>
      <c r="G250" s="16" t="s">
        <v>555</v>
      </c>
      <c r="J250" s="16" t="s">
        <v>33</v>
      </c>
    </row>
    <row r="251" spans="1:13" hidden="1" x14ac:dyDescent="0.3">
      <c r="A251" s="16" t="s">
        <v>2046</v>
      </c>
      <c r="B251" s="16"/>
      <c r="C251" s="16"/>
      <c r="D251" s="16" t="s">
        <v>2048</v>
      </c>
      <c r="E251" s="16" t="s">
        <v>1778</v>
      </c>
      <c r="F251" s="16" t="s">
        <v>18</v>
      </c>
      <c r="G251" s="16" t="s">
        <v>555</v>
      </c>
      <c r="I251" s="16" t="s">
        <v>1770</v>
      </c>
      <c r="J251" s="16" t="s">
        <v>33</v>
      </c>
    </row>
    <row r="252" spans="1:13" hidden="1" x14ac:dyDescent="0.3">
      <c r="A252" s="16" t="s">
        <v>2049</v>
      </c>
      <c r="B252" s="16"/>
      <c r="C252" s="16"/>
      <c r="D252" s="16" t="s">
        <v>2050</v>
      </c>
      <c r="E252" s="16" t="s">
        <v>1779</v>
      </c>
      <c r="F252" s="16" t="s">
        <v>2042</v>
      </c>
      <c r="G252" s="16" t="s">
        <v>555</v>
      </c>
      <c r="J252" s="16" t="s">
        <v>33</v>
      </c>
    </row>
    <row r="253" spans="1:13" hidden="1" x14ac:dyDescent="0.3">
      <c r="A253" s="16" t="s">
        <v>2049</v>
      </c>
      <c r="B253" s="16"/>
      <c r="C253" s="16"/>
      <c r="D253" s="16" t="s">
        <v>2050</v>
      </c>
      <c r="E253" s="16" t="s">
        <v>1915</v>
      </c>
      <c r="F253" s="16" t="s">
        <v>2042</v>
      </c>
      <c r="G253" s="16" t="s">
        <v>555</v>
      </c>
      <c r="J253" s="16" t="s">
        <v>33</v>
      </c>
    </row>
    <row r="254" spans="1:13" hidden="1" x14ac:dyDescent="0.3">
      <c r="A254" s="16" t="s">
        <v>2049</v>
      </c>
      <c r="B254" s="16"/>
      <c r="C254" s="16"/>
      <c r="D254" s="16" t="s">
        <v>2050</v>
      </c>
      <c r="E254" s="16" t="s">
        <v>1778</v>
      </c>
      <c r="F254" s="16" t="s">
        <v>2042</v>
      </c>
      <c r="G254" s="16" t="s">
        <v>555</v>
      </c>
      <c r="J254" s="16" t="s">
        <v>33</v>
      </c>
    </row>
    <row r="255" spans="1:13" hidden="1" x14ac:dyDescent="0.3">
      <c r="A255" s="16" t="s">
        <v>2049</v>
      </c>
      <c r="B255" s="16"/>
      <c r="C255" s="16"/>
      <c r="D255" s="16" t="s">
        <v>2051</v>
      </c>
      <c r="E255" s="16" t="s">
        <v>1779</v>
      </c>
      <c r="F255" s="16" t="s">
        <v>18</v>
      </c>
      <c r="G255" s="16" t="s">
        <v>555</v>
      </c>
      <c r="I255" s="16" t="s">
        <v>1770</v>
      </c>
      <c r="J255" s="16" t="s">
        <v>33</v>
      </c>
    </row>
    <row r="256" spans="1:13" hidden="1" x14ac:dyDescent="0.3">
      <c r="A256" s="16" t="s">
        <v>2049</v>
      </c>
      <c r="B256" s="16"/>
      <c r="C256" s="16"/>
      <c r="D256" s="16" t="s">
        <v>2052</v>
      </c>
      <c r="E256" s="16" t="s">
        <v>1915</v>
      </c>
      <c r="F256" s="16" t="s">
        <v>18</v>
      </c>
      <c r="G256" s="16" t="s">
        <v>555</v>
      </c>
      <c r="I256" s="16" t="s">
        <v>1770</v>
      </c>
      <c r="J256" s="16" t="s">
        <v>33</v>
      </c>
    </row>
    <row r="257" spans="1:10" hidden="1" x14ac:dyDescent="0.3">
      <c r="A257" s="16" t="s">
        <v>2049</v>
      </c>
      <c r="B257" s="16"/>
      <c r="C257" s="16"/>
      <c r="D257" s="16" t="s">
        <v>2053</v>
      </c>
      <c r="E257" s="16" t="s">
        <v>1778</v>
      </c>
      <c r="F257" s="16" t="s">
        <v>18</v>
      </c>
      <c r="G257" s="16" t="s">
        <v>555</v>
      </c>
      <c r="I257" s="16" t="s">
        <v>1770</v>
      </c>
      <c r="J257" s="16" t="s">
        <v>33</v>
      </c>
    </row>
    <row r="258" spans="1:10" hidden="1" x14ac:dyDescent="0.3">
      <c r="A258" s="16" t="s">
        <v>2054</v>
      </c>
      <c r="B258" s="16"/>
      <c r="C258" s="16"/>
      <c r="D258" s="16" t="s">
        <v>2055</v>
      </c>
      <c r="E258" s="16" t="s">
        <v>1778</v>
      </c>
      <c r="F258" s="16" t="s">
        <v>2042</v>
      </c>
      <c r="G258" s="16" t="s">
        <v>555</v>
      </c>
      <c r="J258" s="16" t="s">
        <v>33</v>
      </c>
    </row>
    <row r="259" spans="1:10" hidden="1" x14ac:dyDescent="0.3">
      <c r="A259" s="16" t="s">
        <v>2054</v>
      </c>
      <c r="B259" s="16"/>
      <c r="C259" s="16"/>
      <c r="D259" s="16" t="s">
        <v>2056</v>
      </c>
      <c r="E259" s="16" t="s">
        <v>1778</v>
      </c>
      <c r="F259" s="16" t="s">
        <v>18</v>
      </c>
      <c r="G259" s="16" t="s">
        <v>555</v>
      </c>
      <c r="I259" s="16" t="s">
        <v>1770</v>
      </c>
      <c r="J259" s="16" t="s">
        <v>33</v>
      </c>
    </row>
    <row r="260" spans="1:10" hidden="1" x14ac:dyDescent="0.3">
      <c r="A260" s="16" t="s">
        <v>2057</v>
      </c>
      <c r="B260" s="16"/>
      <c r="C260" s="16"/>
      <c r="D260" s="16" t="s">
        <v>2058</v>
      </c>
      <c r="E260" s="16" t="s">
        <v>1779</v>
      </c>
      <c r="F260" s="16" t="s">
        <v>2042</v>
      </c>
      <c r="G260" s="16" t="s">
        <v>555</v>
      </c>
      <c r="J260" s="16" t="s">
        <v>33</v>
      </c>
    </row>
    <row r="261" spans="1:10" hidden="1" x14ac:dyDescent="0.3">
      <c r="A261" s="16" t="s">
        <v>2057</v>
      </c>
      <c r="B261" s="16"/>
      <c r="C261" s="16"/>
      <c r="D261" s="16" t="s">
        <v>2058</v>
      </c>
      <c r="E261" s="16" t="s">
        <v>1915</v>
      </c>
      <c r="F261" s="16" t="s">
        <v>2042</v>
      </c>
      <c r="G261" s="16" t="s">
        <v>555</v>
      </c>
      <c r="J261" s="16" t="s">
        <v>33</v>
      </c>
    </row>
    <row r="262" spans="1:10" hidden="1" x14ac:dyDescent="0.3">
      <c r="A262" s="16" t="s">
        <v>2057</v>
      </c>
      <c r="B262" s="16"/>
      <c r="C262" s="16"/>
      <c r="D262" s="16" t="s">
        <v>2058</v>
      </c>
      <c r="E262" s="16" t="s">
        <v>1778</v>
      </c>
      <c r="F262" s="16" t="s">
        <v>2042</v>
      </c>
      <c r="G262" s="16" t="s">
        <v>555</v>
      </c>
      <c r="J262" s="16" t="s">
        <v>33</v>
      </c>
    </row>
    <row r="263" spans="1:10" hidden="1" x14ac:dyDescent="0.3">
      <c r="A263" s="16" t="s">
        <v>2057</v>
      </c>
      <c r="B263" s="16"/>
      <c r="C263" s="16"/>
      <c r="D263" s="16" t="s">
        <v>2059</v>
      </c>
      <c r="E263" s="16" t="s">
        <v>1779</v>
      </c>
      <c r="F263" s="16" t="s">
        <v>18</v>
      </c>
      <c r="G263" s="16" t="s">
        <v>555</v>
      </c>
      <c r="I263" s="16" t="s">
        <v>1770</v>
      </c>
      <c r="J263" s="16" t="s">
        <v>33</v>
      </c>
    </row>
    <row r="264" spans="1:10" hidden="1" x14ac:dyDescent="0.3">
      <c r="A264" s="16" t="s">
        <v>2057</v>
      </c>
      <c r="B264" s="16"/>
      <c r="C264" s="16"/>
      <c r="D264" s="16" t="s">
        <v>2060</v>
      </c>
      <c r="E264" s="16" t="s">
        <v>1915</v>
      </c>
      <c r="F264" s="16" t="s">
        <v>18</v>
      </c>
      <c r="G264" s="16" t="s">
        <v>555</v>
      </c>
      <c r="I264" s="16" t="s">
        <v>1770</v>
      </c>
      <c r="J264" s="16" t="s">
        <v>33</v>
      </c>
    </row>
    <row r="265" spans="1:10" hidden="1" x14ac:dyDescent="0.3">
      <c r="A265" s="16" t="s">
        <v>2057</v>
      </c>
      <c r="B265" s="16"/>
      <c r="C265" s="16"/>
      <c r="D265" s="16" t="s">
        <v>2061</v>
      </c>
      <c r="E265" s="16" t="s">
        <v>1778</v>
      </c>
      <c r="F265" s="16" t="s">
        <v>18</v>
      </c>
      <c r="G265" s="16" t="s">
        <v>555</v>
      </c>
      <c r="I265" s="16" t="s">
        <v>1770</v>
      </c>
      <c r="J265" s="16" t="s">
        <v>33</v>
      </c>
    </row>
    <row r="266" spans="1:10" hidden="1" x14ac:dyDescent="0.3">
      <c r="A266" s="16" t="s">
        <v>2062</v>
      </c>
      <c r="B266" s="16"/>
      <c r="C266" s="16"/>
      <c r="D266" s="16" t="s">
        <v>2063</v>
      </c>
      <c r="E266" s="16" t="s">
        <v>1779</v>
      </c>
      <c r="F266" s="16" t="s">
        <v>2042</v>
      </c>
      <c r="G266" s="16" t="s">
        <v>555</v>
      </c>
      <c r="J266" s="16" t="s">
        <v>33</v>
      </c>
    </row>
    <row r="267" spans="1:10" hidden="1" x14ac:dyDescent="0.3">
      <c r="A267" s="16" t="s">
        <v>2062</v>
      </c>
      <c r="B267" s="16"/>
      <c r="C267" s="16"/>
      <c r="D267" s="16" t="s">
        <v>2063</v>
      </c>
      <c r="E267" s="16" t="s">
        <v>1915</v>
      </c>
      <c r="F267" s="16" t="s">
        <v>2042</v>
      </c>
      <c r="G267" s="16" t="s">
        <v>555</v>
      </c>
      <c r="J267" s="16" t="s">
        <v>33</v>
      </c>
    </row>
    <row r="268" spans="1:10" hidden="1" x14ac:dyDescent="0.3">
      <c r="A268" s="16" t="s">
        <v>2062</v>
      </c>
      <c r="B268" s="16"/>
      <c r="C268" s="16"/>
      <c r="D268" s="16" t="s">
        <v>2063</v>
      </c>
      <c r="E268" s="16" t="s">
        <v>1778</v>
      </c>
      <c r="F268" s="16" t="s">
        <v>2042</v>
      </c>
      <c r="G268" s="16" t="s">
        <v>555</v>
      </c>
      <c r="J268" s="16" t="s">
        <v>33</v>
      </c>
    </row>
    <row r="269" spans="1:10" hidden="1" x14ac:dyDescent="0.3">
      <c r="A269" s="16" t="s">
        <v>2062</v>
      </c>
      <c r="B269" s="16"/>
      <c r="C269" s="16"/>
      <c r="D269" s="16" t="s">
        <v>2064</v>
      </c>
      <c r="E269" s="16" t="s">
        <v>1779</v>
      </c>
      <c r="F269" s="16" t="s">
        <v>18</v>
      </c>
      <c r="G269" s="16" t="s">
        <v>555</v>
      </c>
      <c r="I269" s="16" t="s">
        <v>1770</v>
      </c>
      <c r="J269" s="16" t="s">
        <v>33</v>
      </c>
    </row>
    <row r="270" spans="1:10" hidden="1" x14ac:dyDescent="0.3">
      <c r="A270" s="16" t="s">
        <v>2062</v>
      </c>
      <c r="B270" s="16"/>
      <c r="C270" s="16"/>
      <c r="D270" s="16" t="s">
        <v>2065</v>
      </c>
      <c r="E270" s="16" t="s">
        <v>1915</v>
      </c>
      <c r="F270" s="16" t="s">
        <v>18</v>
      </c>
      <c r="G270" s="16" t="s">
        <v>555</v>
      </c>
      <c r="I270" s="16" t="s">
        <v>1770</v>
      </c>
      <c r="J270" s="16" t="s">
        <v>33</v>
      </c>
    </row>
    <row r="271" spans="1:10" hidden="1" x14ac:dyDescent="0.3">
      <c r="A271" s="16" t="s">
        <v>2062</v>
      </c>
      <c r="B271" s="16"/>
      <c r="C271" s="16"/>
      <c r="D271" s="16" t="s">
        <v>2066</v>
      </c>
      <c r="E271" s="16" t="s">
        <v>1778</v>
      </c>
      <c r="F271" s="16" t="s">
        <v>18</v>
      </c>
      <c r="G271" s="16" t="s">
        <v>555</v>
      </c>
      <c r="I271" s="16" t="s">
        <v>1770</v>
      </c>
      <c r="J271" s="16" t="s">
        <v>33</v>
      </c>
    </row>
    <row r="272" spans="1:10" hidden="1" x14ac:dyDescent="0.3">
      <c r="A272" s="16" t="s">
        <v>2067</v>
      </c>
      <c r="B272" s="16"/>
      <c r="C272" s="16"/>
      <c r="D272" s="16" t="s">
        <v>2068</v>
      </c>
      <c r="E272" s="16" t="s">
        <v>1779</v>
      </c>
      <c r="F272" s="16" t="s">
        <v>2042</v>
      </c>
      <c r="G272" s="16" t="s">
        <v>555</v>
      </c>
      <c r="J272" s="16" t="s">
        <v>33</v>
      </c>
    </row>
    <row r="273" spans="1:10" hidden="1" x14ac:dyDescent="0.3">
      <c r="A273" s="16" t="s">
        <v>2067</v>
      </c>
      <c r="B273" s="16"/>
      <c r="C273" s="16"/>
      <c r="D273" s="16" t="s">
        <v>2068</v>
      </c>
      <c r="E273" s="16" t="s">
        <v>1915</v>
      </c>
      <c r="F273" s="16" t="s">
        <v>2042</v>
      </c>
      <c r="G273" s="16" t="s">
        <v>555</v>
      </c>
      <c r="J273" s="16" t="s">
        <v>33</v>
      </c>
    </row>
    <row r="274" spans="1:10" hidden="1" x14ac:dyDescent="0.3">
      <c r="A274" s="16" t="s">
        <v>2067</v>
      </c>
      <c r="B274" s="16"/>
      <c r="C274" s="16"/>
      <c r="D274" s="16" t="s">
        <v>2068</v>
      </c>
      <c r="E274" s="16" t="s">
        <v>1778</v>
      </c>
      <c r="F274" s="16" t="s">
        <v>2042</v>
      </c>
      <c r="G274" s="16" t="s">
        <v>555</v>
      </c>
      <c r="J274" s="16" t="s">
        <v>33</v>
      </c>
    </row>
    <row r="275" spans="1:10" hidden="1" x14ac:dyDescent="0.3">
      <c r="A275" s="16" t="s">
        <v>2067</v>
      </c>
      <c r="B275" s="16"/>
      <c r="C275" s="16"/>
      <c r="D275" s="16" t="s">
        <v>2069</v>
      </c>
      <c r="E275" s="16" t="s">
        <v>1779</v>
      </c>
      <c r="F275" s="16" t="s">
        <v>18</v>
      </c>
      <c r="G275" s="16" t="s">
        <v>555</v>
      </c>
      <c r="I275" s="16" t="s">
        <v>1770</v>
      </c>
      <c r="J275" s="16" t="s">
        <v>33</v>
      </c>
    </row>
    <row r="276" spans="1:10" hidden="1" x14ac:dyDescent="0.3">
      <c r="A276" s="16" t="s">
        <v>2067</v>
      </c>
      <c r="B276" s="16"/>
      <c r="C276" s="16"/>
      <c r="D276" s="16" t="s">
        <v>2070</v>
      </c>
      <c r="E276" s="16" t="s">
        <v>1915</v>
      </c>
      <c r="F276" s="16" t="s">
        <v>18</v>
      </c>
      <c r="G276" s="16" t="s">
        <v>555</v>
      </c>
      <c r="I276" s="16" t="s">
        <v>1770</v>
      </c>
      <c r="J276" s="16" t="s">
        <v>33</v>
      </c>
    </row>
    <row r="277" spans="1:10" hidden="1" x14ac:dyDescent="0.3">
      <c r="A277" s="16" t="s">
        <v>2067</v>
      </c>
      <c r="B277" s="16"/>
      <c r="C277" s="16"/>
      <c r="D277" s="16" t="s">
        <v>2071</v>
      </c>
      <c r="E277" s="16" t="s">
        <v>1778</v>
      </c>
      <c r="F277" s="16" t="s">
        <v>18</v>
      </c>
      <c r="G277" s="16" t="s">
        <v>555</v>
      </c>
      <c r="I277" s="16" t="s">
        <v>1770</v>
      </c>
      <c r="J277" s="16" t="s">
        <v>33</v>
      </c>
    </row>
    <row r="278" spans="1:10" hidden="1" x14ac:dyDescent="0.3">
      <c r="A278" s="16" t="s">
        <v>2072</v>
      </c>
      <c r="B278" s="16"/>
      <c r="C278" s="16"/>
      <c r="D278" s="16" t="s">
        <v>2073</v>
      </c>
      <c r="E278" s="16" t="s">
        <v>1778</v>
      </c>
      <c r="F278" s="16" t="s">
        <v>2042</v>
      </c>
      <c r="G278" s="16" t="s">
        <v>555</v>
      </c>
      <c r="J278" s="16" t="s">
        <v>33</v>
      </c>
    </row>
    <row r="279" spans="1:10" hidden="1" x14ac:dyDescent="0.3">
      <c r="A279" s="16" t="s">
        <v>2072</v>
      </c>
      <c r="B279" s="16"/>
      <c r="C279" s="16"/>
      <c r="D279" s="16" t="s">
        <v>2074</v>
      </c>
      <c r="E279" s="16" t="s">
        <v>1778</v>
      </c>
      <c r="F279" s="16" t="s">
        <v>18</v>
      </c>
      <c r="G279" s="16" t="s">
        <v>555</v>
      </c>
      <c r="I279" s="16" t="s">
        <v>1770</v>
      </c>
      <c r="J279" s="16" t="s">
        <v>33</v>
      </c>
    </row>
    <row r="280" spans="1:10" hidden="1" x14ac:dyDescent="0.3">
      <c r="A280" s="16" t="s">
        <v>2075</v>
      </c>
      <c r="B280" s="16"/>
      <c r="C280" s="16"/>
      <c r="D280" s="16" t="s">
        <v>2076</v>
      </c>
      <c r="E280" s="16" t="s">
        <v>1779</v>
      </c>
      <c r="F280" s="16" t="s">
        <v>2042</v>
      </c>
      <c r="G280" s="16" t="s">
        <v>555</v>
      </c>
      <c r="J280" s="16" t="s">
        <v>33</v>
      </c>
    </row>
    <row r="281" spans="1:10" hidden="1" x14ac:dyDescent="0.3">
      <c r="A281" s="16" t="s">
        <v>2075</v>
      </c>
      <c r="B281" s="16"/>
      <c r="C281" s="16"/>
      <c r="D281" s="16" t="s">
        <v>2076</v>
      </c>
      <c r="E281" s="16" t="s">
        <v>1915</v>
      </c>
      <c r="F281" s="16" t="s">
        <v>2042</v>
      </c>
      <c r="G281" s="16" t="s">
        <v>555</v>
      </c>
      <c r="J281" s="16" t="s">
        <v>33</v>
      </c>
    </row>
    <row r="282" spans="1:10" hidden="1" x14ac:dyDescent="0.3">
      <c r="A282" s="16" t="s">
        <v>2075</v>
      </c>
      <c r="B282" s="16"/>
      <c r="C282" s="16"/>
      <c r="D282" s="16" t="s">
        <v>2076</v>
      </c>
      <c r="E282" s="16" t="s">
        <v>1778</v>
      </c>
      <c r="F282" s="16" t="s">
        <v>2042</v>
      </c>
      <c r="G282" s="16" t="s">
        <v>555</v>
      </c>
      <c r="J282" s="16" t="s">
        <v>33</v>
      </c>
    </row>
    <row r="283" spans="1:10" hidden="1" x14ac:dyDescent="0.3">
      <c r="A283" s="16" t="s">
        <v>2075</v>
      </c>
      <c r="B283" s="16"/>
      <c r="C283" s="16"/>
      <c r="D283" s="16" t="s">
        <v>2077</v>
      </c>
      <c r="E283" s="16" t="s">
        <v>1779</v>
      </c>
      <c r="F283" s="16" t="s">
        <v>18</v>
      </c>
      <c r="G283" s="16" t="s">
        <v>555</v>
      </c>
      <c r="I283" s="16" t="s">
        <v>1770</v>
      </c>
      <c r="J283" s="16" t="s">
        <v>33</v>
      </c>
    </row>
    <row r="284" spans="1:10" hidden="1" x14ac:dyDescent="0.3">
      <c r="A284" s="16" t="s">
        <v>2075</v>
      </c>
      <c r="B284" s="16"/>
      <c r="C284" s="16"/>
      <c r="D284" s="16" t="s">
        <v>2078</v>
      </c>
      <c r="E284" s="16" t="s">
        <v>1915</v>
      </c>
      <c r="F284" s="16" t="s">
        <v>18</v>
      </c>
      <c r="G284" s="16" t="s">
        <v>555</v>
      </c>
      <c r="I284" s="16" t="s">
        <v>1770</v>
      </c>
      <c r="J284" s="16" t="s">
        <v>33</v>
      </c>
    </row>
    <row r="285" spans="1:10" hidden="1" x14ac:dyDescent="0.3">
      <c r="A285" s="16" t="s">
        <v>2075</v>
      </c>
      <c r="B285" s="16"/>
      <c r="C285" s="16"/>
      <c r="D285" s="16" t="s">
        <v>2079</v>
      </c>
      <c r="E285" s="16" t="s">
        <v>1778</v>
      </c>
      <c r="F285" s="16" t="s">
        <v>18</v>
      </c>
      <c r="G285" s="16" t="s">
        <v>555</v>
      </c>
      <c r="I285" s="16" t="s">
        <v>1770</v>
      </c>
      <c r="J285" s="16" t="s">
        <v>33</v>
      </c>
    </row>
    <row r="286" spans="1:10" hidden="1" x14ac:dyDescent="0.3">
      <c r="A286" s="16" t="s">
        <v>1472</v>
      </c>
      <c r="B286" s="16"/>
      <c r="C286" s="16"/>
      <c r="D286" s="16" t="s">
        <v>1473</v>
      </c>
      <c r="E286" s="16" t="s">
        <v>1779</v>
      </c>
      <c r="F286" s="16" t="s">
        <v>18</v>
      </c>
      <c r="G286" s="16" t="s">
        <v>1791</v>
      </c>
      <c r="I286" s="16" t="s">
        <v>1127</v>
      </c>
      <c r="J286" s="16" t="s">
        <v>33</v>
      </c>
    </row>
    <row r="287" spans="1:10" hidden="1" x14ac:dyDescent="0.3">
      <c r="A287" s="16" t="s">
        <v>2080</v>
      </c>
      <c r="B287" s="16"/>
      <c r="C287" s="16"/>
      <c r="D287" s="16" t="s">
        <v>2081</v>
      </c>
      <c r="E287" s="16" t="s">
        <v>1779</v>
      </c>
      <c r="F287" s="16" t="s">
        <v>18</v>
      </c>
      <c r="G287" s="16" t="s">
        <v>661</v>
      </c>
      <c r="I287" s="16" t="s">
        <v>1770</v>
      </c>
      <c r="J287" s="16" t="s">
        <v>33</v>
      </c>
    </row>
    <row r="288" spans="1:10" hidden="1" x14ac:dyDescent="0.3">
      <c r="A288" s="16" t="s">
        <v>2082</v>
      </c>
      <c r="B288" s="16"/>
      <c r="C288" s="16"/>
      <c r="D288" s="16" t="s">
        <v>2083</v>
      </c>
      <c r="E288" s="16" t="s">
        <v>1779</v>
      </c>
      <c r="F288" s="16" t="s">
        <v>133</v>
      </c>
      <c r="G288" s="16" t="s">
        <v>588</v>
      </c>
      <c r="I288" s="16" t="s">
        <v>662</v>
      </c>
      <c r="J288" s="16" t="s">
        <v>33</v>
      </c>
    </row>
    <row r="289" spans="1:12" hidden="1" x14ac:dyDescent="0.3">
      <c r="A289" s="16" t="s">
        <v>2082</v>
      </c>
      <c r="B289" s="16"/>
      <c r="C289" s="16"/>
      <c r="D289" s="16" t="s">
        <v>2084</v>
      </c>
      <c r="E289" s="16" t="s">
        <v>1779</v>
      </c>
      <c r="F289" s="16" t="s">
        <v>18</v>
      </c>
      <c r="G289" s="16" t="s">
        <v>588</v>
      </c>
      <c r="I289" s="16" t="s">
        <v>1770</v>
      </c>
      <c r="J289" s="16" t="s">
        <v>33</v>
      </c>
    </row>
    <row r="290" spans="1:12" hidden="1" x14ac:dyDescent="0.3">
      <c r="A290" s="16" t="s">
        <v>229</v>
      </c>
      <c r="B290" s="16"/>
      <c r="C290" s="16"/>
      <c r="D290" s="16" t="s">
        <v>2085</v>
      </c>
      <c r="E290" s="16" t="s">
        <v>1782</v>
      </c>
      <c r="F290" s="16" t="s">
        <v>133</v>
      </c>
      <c r="G290" s="16" t="s">
        <v>539</v>
      </c>
      <c r="J290" s="16" t="s">
        <v>33</v>
      </c>
    </row>
    <row r="291" spans="1:12" hidden="1" x14ac:dyDescent="0.3">
      <c r="A291" s="16" t="s">
        <v>229</v>
      </c>
      <c r="B291" s="16"/>
      <c r="C291" s="16"/>
      <c r="D291" s="16" t="s">
        <v>2086</v>
      </c>
      <c r="E291" s="16" t="s">
        <v>1779</v>
      </c>
      <c r="F291" s="16" t="s">
        <v>18</v>
      </c>
      <c r="G291" s="16" t="s">
        <v>539</v>
      </c>
      <c r="I291" s="16" t="s">
        <v>1770</v>
      </c>
      <c r="J291" s="16" t="s">
        <v>33</v>
      </c>
    </row>
    <row r="292" spans="1:12" hidden="1" x14ac:dyDescent="0.3">
      <c r="A292" s="16" t="s">
        <v>230</v>
      </c>
      <c r="B292" s="16"/>
      <c r="C292" s="16"/>
      <c r="D292" s="16" t="s">
        <v>2087</v>
      </c>
      <c r="E292" s="16" t="s">
        <v>1782</v>
      </c>
      <c r="F292" s="16" t="s">
        <v>133</v>
      </c>
      <c r="G292" s="16" t="s">
        <v>588</v>
      </c>
      <c r="J292" s="16" t="s">
        <v>33</v>
      </c>
    </row>
    <row r="293" spans="1:12" hidden="1" x14ac:dyDescent="0.3">
      <c r="A293" s="16" t="s">
        <v>230</v>
      </c>
      <c r="B293" s="16"/>
      <c r="C293" s="16"/>
      <c r="D293" s="16" t="s">
        <v>2088</v>
      </c>
      <c r="E293" s="16" t="s">
        <v>1779</v>
      </c>
      <c r="F293" s="16" t="s">
        <v>18</v>
      </c>
      <c r="G293" s="16" t="s">
        <v>588</v>
      </c>
      <c r="I293" s="16" t="s">
        <v>1770</v>
      </c>
      <c r="J293" s="16" t="s">
        <v>33</v>
      </c>
    </row>
    <row r="294" spans="1:12" hidden="1" x14ac:dyDescent="0.3">
      <c r="A294" s="16" t="s">
        <v>1281</v>
      </c>
      <c r="B294" s="16"/>
      <c r="C294" s="16"/>
      <c r="D294" s="16" t="s">
        <v>2089</v>
      </c>
      <c r="E294" s="16" t="s">
        <v>1779</v>
      </c>
      <c r="F294" s="16" t="s">
        <v>18</v>
      </c>
      <c r="G294" s="16" t="s">
        <v>539</v>
      </c>
      <c r="I294" s="16" t="s">
        <v>1770</v>
      </c>
      <c r="J294" s="16" t="s">
        <v>33</v>
      </c>
    </row>
    <row r="295" spans="1:12" hidden="1" x14ac:dyDescent="0.3">
      <c r="A295" s="16" t="s">
        <v>1281</v>
      </c>
      <c r="B295" s="16"/>
      <c r="C295" s="16"/>
      <c r="D295" s="16" t="s">
        <v>1282</v>
      </c>
      <c r="E295" s="16" t="s">
        <v>1778</v>
      </c>
      <c r="F295" s="16" t="s">
        <v>18</v>
      </c>
      <c r="G295" s="16" t="s">
        <v>539</v>
      </c>
      <c r="I295" s="16" t="s">
        <v>1103</v>
      </c>
      <c r="J295" s="16" t="s">
        <v>33</v>
      </c>
    </row>
    <row r="296" spans="1:12" hidden="1" x14ac:dyDescent="0.3">
      <c r="A296" s="16" t="s">
        <v>2090</v>
      </c>
      <c r="B296" s="16"/>
      <c r="C296" s="16"/>
      <c r="D296" s="16" t="s">
        <v>2091</v>
      </c>
      <c r="E296" s="16" t="s">
        <v>2092</v>
      </c>
      <c r="F296" s="16" t="s">
        <v>18</v>
      </c>
      <c r="G296" s="16" t="s">
        <v>539</v>
      </c>
      <c r="I296" s="16" t="s">
        <v>1770</v>
      </c>
      <c r="J296" s="16" t="s">
        <v>33</v>
      </c>
      <c r="K296" s="16" t="s">
        <v>33</v>
      </c>
    </row>
    <row r="297" spans="1:12" hidden="1" x14ac:dyDescent="0.3">
      <c r="A297" s="16" t="s">
        <v>2093</v>
      </c>
      <c r="B297" s="16"/>
      <c r="C297" s="16"/>
      <c r="D297" s="16" t="s">
        <v>2094</v>
      </c>
      <c r="E297" s="16" t="s">
        <v>1779</v>
      </c>
      <c r="F297" s="16" t="s">
        <v>388</v>
      </c>
      <c r="G297" s="16" t="s">
        <v>539</v>
      </c>
      <c r="J297" s="16" t="s">
        <v>33</v>
      </c>
      <c r="L297" s="16" t="s">
        <v>32</v>
      </c>
    </row>
    <row r="298" spans="1:12" hidden="1" x14ac:dyDescent="0.3">
      <c r="A298" s="16" t="s">
        <v>2095</v>
      </c>
      <c r="B298" s="16"/>
      <c r="C298" s="16"/>
      <c r="D298" s="16" t="s">
        <v>2096</v>
      </c>
      <c r="E298" s="16" t="s">
        <v>2010</v>
      </c>
      <c r="F298" s="16" t="s">
        <v>388</v>
      </c>
      <c r="G298" s="16" t="s">
        <v>539</v>
      </c>
      <c r="L298" s="16" t="s">
        <v>32</v>
      </c>
    </row>
    <row r="299" spans="1:12" hidden="1" x14ac:dyDescent="0.3">
      <c r="A299" s="16" t="s">
        <v>2095</v>
      </c>
      <c r="B299" s="16"/>
      <c r="C299" s="16"/>
      <c r="D299" s="16" t="s">
        <v>2096</v>
      </c>
      <c r="E299" s="16" t="s">
        <v>1779</v>
      </c>
      <c r="F299" s="16" t="s">
        <v>388</v>
      </c>
      <c r="G299" s="16" t="s">
        <v>539</v>
      </c>
      <c r="J299" s="16" t="s">
        <v>33</v>
      </c>
      <c r="L299" s="16" t="s">
        <v>32</v>
      </c>
    </row>
    <row r="300" spans="1:12" hidden="1" x14ac:dyDescent="0.3">
      <c r="A300" s="16" t="s">
        <v>2095</v>
      </c>
      <c r="B300" s="16"/>
      <c r="C300" s="16"/>
      <c r="D300" s="16" t="s">
        <v>2096</v>
      </c>
      <c r="E300" s="16" t="s">
        <v>1804</v>
      </c>
      <c r="F300" s="16" t="s">
        <v>388</v>
      </c>
      <c r="G300" s="16" t="s">
        <v>539</v>
      </c>
      <c r="J300" s="16" t="s">
        <v>33</v>
      </c>
      <c r="L300" s="16" t="s">
        <v>32</v>
      </c>
    </row>
    <row r="301" spans="1:12" hidden="1" x14ac:dyDescent="0.3">
      <c r="A301" s="16" t="s">
        <v>1283</v>
      </c>
      <c r="B301" s="16"/>
      <c r="C301" s="16"/>
      <c r="D301" s="16" t="s">
        <v>1284</v>
      </c>
      <c r="E301" s="16" t="s">
        <v>1778</v>
      </c>
      <c r="F301" s="16" t="s">
        <v>18</v>
      </c>
      <c r="G301" s="16" t="s">
        <v>539</v>
      </c>
      <c r="I301" s="16" t="s">
        <v>1127</v>
      </c>
      <c r="J301" s="16" t="s">
        <v>33</v>
      </c>
    </row>
    <row r="302" spans="1:12" hidden="1" x14ac:dyDescent="0.3">
      <c r="A302" s="16" t="s">
        <v>2097</v>
      </c>
      <c r="B302" s="16"/>
      <c r="C302" s="16"/>
      <c r="D302" s="16" t="s">
        <v>2098</v>
      </c>
      <c r="E302" s="16" t="s">
        <v>1779</v>
      </c>
      <c r="F302" s="16" t="s">
        <v>18</v>
      </c>
      <c r="G302" s="16" t="s">
        <v>539</v>
      </c>
      <c r="I302" s="16" t="s">
        <v>1770</v>
      </c>
      <c r="J302" s="16" t="s">
        <v>33</v>
      </c>
    </row>
    <row r="303" spans="1:12" hidden="1" x14ac:dyDescent="0.3">
      <c r="A303" s="16" t="s">
        <v>2097</v>
      </c>
      <c r="B303" s="16"/>
      <c r="C303" s="16"/>
      <c r="D303" s="16" t="s">
        <v>2099</v>
      </c>
      <c r="E303" s="16" t="s">
        <v>1778</v>
      </c>
      <c r="F303" s="16" t="s">
        <v>18</v>
      </c>
      <c r="G303" s="16" t="s">
        <v>539</v>
      </c>
      <c r="I303" s="16" t="s">
        <v>1770</v>
      </c>
      <c r="J303" s="16" t="s">
        <v>33</v>
      </c>
    </row>
    <row r="304" spans="1:12" hidden="1" x14ac:dyDescent="0.3">
      <c r="A304" s="16" t="s">
        <v>1285</v>
      </c>
      <c r="B304" s="16"/>
      <c r="C304" s="16"/>
      <c r="D304" s="16" t="s">
        <v>1286</v>
      </c>
      <c r="E304" s="16" t="s">
        <v>1778</v>
      </c>
      <c r="F304" s="16" t="s">
        <v>18</v>
      </c>
      <c r="G304" s="16" t="s">
        <v>555</v>
      </c>
      <c r="I304" s="16" t="s">
        <v>1127</v>
      </c>
      <c r="J304" s="16" t="s">
        <v>33</v>
      </c>
    </row>
    <row r="305" spans="1:12" hidden="1" x14ac:dyDescent="0.3">
      <c r="A305" s="16" t="s">
        <v>2100</v>
      </c>
      <c r="B305" s="16"/>
      <c r="C305" s="16"/>
      <c r="D305" s="16" t="s">
        <v>2101</v>
      </c>
      <c r="E305" s="16" t="s">
        <v>1779</v>
      </c>
      <c r="F305" s="16" t="s">
        <v>388</v>
      </c>
      <c r="G305" s="16" t="s">
        <v>539</v>
      </c>
      <c r="J305" s="16" t="s">
        <v>33</v>
      </c>
      <c r="L305" s="16" t="s">
        <v>32</v>
      </c>
    </row>
    <row r="306" spans="1:12" hidden="1" x14ac:dyDescent="0.3">
      <c r="A306" s="16" t="s">
        <v>1287</v>
      </c>
      <c r="B306" s="16"/>
      <c r="C306" s="16"/>
      <c r="D306" s="16" t="s">
        <v>1288</v>
      </c>
      <c r="E306" s="16" t="s">
        <v>1778</v>
      </c>
      <c r="F306" s="16" t="s">
        <v>18</v>
      </c>
      <c r="G306" s="16" t="s">
        <v>539</v>
      </c>
      <c r="I306" s="16" t="s">
        <v>1127</v>
      </c>
      <c r="J306" s="16" t="s">
        <v>33</v>
      </c>
    </row>
    <row r="307" spans="1:12" hidden="1" x14ac:dyDescent="0.3">
      <c r="A307" s="16" t="s">
        <v>2102</v>
      </c>
      <c r="B307" s="16"/>
      <c r="C307" s="16"/>
      <c r="D307" s="16" t="s">
        <v>2103</v>
      </c>
      <c r="E307" s="16" t="s">
        <v>1779</v>
      </c>
      <c r="F307" s="16" t="s">
        <v>388</v>
      </c>
      <c r="G307" s="16" t="s">
        <v>539</v>
      </c>
      <c r="J307" s="16" t="s">
        <v>33</v>
      </c>
      <c r="L307" s="16" t="s">
        <v>32</v>
      </c>
    </row>
    <row r="308" spans="1:12" hidden="1" x14ac:dyDescent="0.3">
      <c r="A308" s="16" t="s">
        <v>2104</v>
      </c>
      <c r="B308" s="16"/>
      <c r="C308" s="16"/>
      <c r="D308" s="16" t="s">
        <v>2105</v>
      </c>
      <c r="E308" s="16" t="s">
        <v>1777</v>
      </c>
      <c r="F308" s="16" t="s">
        <v>133</v>
      </c>
      <c r="G308" s="16" t="s">
        <v>588</v>
      </c>
      <c r="J308" s="16" t="s">
        <v>33</v>
      </c>
    </row>
    <row r="309" spans="1:12" hidden="1" x14ac:dyDescent="0.3">
      <c r="A309" s="16" t="s">
        <v>2106</v>
      </c>
      <c r="B309" s="16"/>
      <c r="C309" s="16"/>
      <c r="D309" s="16" t="s">
        <v>2107</v>
      </c>
      <c r="E309" s="16" t="s">
        <v>1779</v>
      </c>
      <c r="F309" s="16" t="s">
        <v>133</v>
      </c>
      <c r="G309" s="16" t="s">
        <v>539</v>
      </c>
      <c r="I309" s="16" t="s">
        <v>662</v>
      </c>
      <c r="J309" s="16" t="s">
        <v>33</v>
      </c>
    </row>
    <row r="310" spans="1:12" hidden="1" x14ac:dyDescent="0.3">
      <c r="A310" s="16" t="s">
        <v>2108</v>
      </c>
      <c r="B310" s="16"/>
      <c r="C310" s="16"/>
      <c r="D310" s="16" t="s">
        <v>2109</v>
      </c>
      <c r="E310" s="16" t="s">
        <v>1779</v>
      </c>
      <c r="F310" s="16" t="s">
        <v>388</v>
      </c>
      <c r="G310" s="16" t="s">
        <v>539</v>
      </c>
      <c r="L310" s="16" t="s">
        <v>32</v>
      </c>
    </row>
    <row r="311" spans="1:12" hidden="1" x14ac:dyDescent="0.3">
      <c r="A311" s="16" t="s">
        <v>2110</v>
      </c>
      <c r="B311" s="16"/>
      <c r="C311" s="16"/>
      <c r="D311" s="16" t="s">
        <v>2111</v>
      </c>
      <c r="E311" s="16" t="s">
        <v>1779</v>
      </c>
      <c r="F311" s="16" t="s">
        <v>133</v>
      </c>
      <c r="G311" s="16" t="s">
        <v>539</v>
      </c>
      <c r="J311" s="16" t="s">
        <v>33</v>
      </c>
    </row>
    <row r="312" spans="1:12" hidden="1" x14ac:dyDescent="0.3">
      <c r="A312" s="16" t="s">
        <v>2112</v>
      </c>
      <c r="B312" s="16"/>
      <c r="C312" s="16"/>
      <c r="D312" s="16" t="s">
        <v>2113</v>
      </c>
      <c r="E312" s="16" t="s">
        <v>1779</v>
      </c>
      <c r="F312" s="16" t="s">
        <v>388</v>
      </c>
      <c r="G312" s="16" t="s">
        <v>539</v>
      </c>
      <c r="J312" s="16" t="s">
        <v>33</v>
      </c>
      <c r="L312" s="16" t="s">
        <v>32</v>
      </c>
    </row>
    <row r="313" spans="1:12" hidden="1" x14ac:dyDescent="0.3">
      <c r="A313" s="16" t="s">
        <v>2112</v>
      </c>
      <c r="B313" s="16"/>
      <c r="C313" s="16"/>
      <c r="D313" s="16" t="s">
        <v>2113</v>
      </c>
      <c r="E313" s="16" t="s">
        <v>1777</v>
      </c>
      <c r="F313" s="16" t="s">
        <v>388</v>
      </c>
      <c r="G313" s="16" t="s">
        <v>539</v>
      </c>
      <c r="J313" s="16" t="s">
        <v>33</v>
      </c>
      <c r="L313" s="16" t="s">
        <v>32</v>
      </c>
    </row>
    <row r="314" spans="1:12" hidden="1" x14ac:dyDescent="0.3">
      <c r="A314" s="16" t="s">
        <v>2114</v>
      </c>
      <c r="B314" s="16"/>
      <c r="C314" s="16"/>
      <c r="D314" s="16" t="s">
        <v>492</v>
      </c>
      <c r="E314" s="16" t="s">
        <v>1779</v>
      </c>
      <c r="F314" s="16" t="s">
        <v>388</v>
      </c>
      <c r="G314" s="16" t="s">
        <v>539</v>
      </c>
      <c r="J314" s="16" t="s">
        <v>33</v>
      </c>
      <c r="L314" s="16" t="s">
        <v>32</v>
      </c>
    </row>
    <row r="315" spans="1:12" hidden="1" x14ac:dyDescent="0.3">
      <c r="A315" s="16" t="s">
        <v>2114</v>
      </c>
      <c r="B315" s="16"/>
      <c r="C315" s="16"/>
      <c r="D315" s="16" t="s">
        <v>492</v>
      </c>
      <c r="E315" s="16" t="s">
        <v>1777</v>
      </c>
      <c r="F315" s="16" t="s">
        <v>388</v>
      </c>
      <c r="G315" s="16" t="s">
        <v>539</v>
      </c>
      <c r="J315" s="16" t="s">
        <v>33</v>
      </c>
      <c r="L315" s="16" t="s">
        <v>32</v>
      </c>
    </row>
    <row r="316" spans="1:12" hidden="1" x14ac:dyDescent="0.3">
      <c r="A316" s="16" t="s">
        <v>2115</v>
      </c>
      <c r="B316" s="16"/>
      <c r="C316" s="16"/>
      <c r="D316" s="16" t="s">
        <v>2116</v>
      </c>
      <c r="E316" s="16" t="s">
        <v>1779</v>
      </c>
      <c r="F316" s="16" t="s">
        <v>18</v>
      </c>
      <c r="G316" s="16" t="s">
        <v>539</v>
      </c>
      <c r="I316" s="16" t="s">
        <v>1770</v>
      </c>
      <c r="J316" s="16" t="s">
        <v>33</v>
      </c>
    </row>
    <row r="317" spans="1:12" hidden="1" x14ac:dyDescent="0.3">
      <c r="A317" s="16" t="s">
        <v>428</v>
      </c>
      <c r="B317" s="16"/>
      <c r="C317" s="16"/>
      <c r="D317" s="16" t="s">
        <v>430</v>
      </c>
      <c r="E317" s="16" t="s">
        <v>1779</v>
      </c>
      <c r="F317" s="16" t="s">
        <v>388</v>
      </c>
      <c r="G317" s="16" t="s">
        <v>539</v>
      </c>
      <c r="J317" s="16" t="s">
        <v>33</v>
      </c>
      <c r="L317" s="16" t="s">
        <v>32</v>
      </c>
    </row>
    <row r="318" spans="1:12" hidden="1" x14ac:dyDescent="0.3">
      <c r="A318" s="16" t="s">
        <v>428</v>
      </c>
      <c r="B318" s="16"/>
      <c r="C318" s="16"/>
      <c r="D318" s="16" t="s">
        <v>430</v>
      </c>
      <c r="E318" s="16" t="s">
        <v>1777</v>
      </c>
      <c r="F318" s="16" t="s">
        <v>388</v>
      </c>
      <c r="G318" s="16" t="s">
        <v>539</v>
      </c>
      <c r="J318" s="16" t="s">
        <v>33</v>
      </c>
      <c r="L318" s="16" t="s">
        <v>32</v>
      </c>
    </row>
    <row r="319" spans="1:12" hidden="1" x14ac:dyDescent="0.3">
      <c r="A319" s="16" t="s">
        <v>1474</v>
      </c>
      <c r="B319" s="16"/>
      <c r="C319" s="16"/>
      <c r="D319" s="16" t="s">
        <v>1475</v>
      </c>
      <c r="E319" s="16" t="s">
        <v>1779</v>
      </c>
      <c r="F319" s="16" t="s">
        <v>18</v>
      </c>
      <c r="G319" s="16" t="s">
        <v>539</v>
      </c>
      <c r="I319" s="16" t="s">
        <v>1127</v>
      </c>
      <c r="J319" s="16" t="s">
        <v>33</v>
      </c>
    </row>
    <row r="320" spans="1:12" hidden="1" x14ac:dyDescent="0.3">
      <c r="A320" s="16" t="s">
        <v>154</v>
      </c>
      <c r="B320" s="16"/>
      <c r="C320" s="16"/>
      <c r="D320" s="16" t="s">
        <v>1116</v>
      </c>
      <c r="E320" s="16" t="s">
        <v>2092</v>
      </c>
      <c r="F320" s="16" t="s">
        <v>18</v>
      </c>
      <c r="G320" s="16" t="s">
        <v>539</v>
      </c>
      <c r="I320" s="16" t="s">
        <v>1103</v>
      </c>
      <c r="J320" s="16" t="s">
        <v>33</v>
      </c>
    </row>
    <row r="321" spans="1:12" hidden="1" x14ac:dyDescent="0.3">
      <c r="A321" s="16" t="s">
        <v>154</v>
      </c>
      <c r="B321" s="16"/>
      <c r="C321" s="16"/>
      <c r="D321" s="16" t="s">
        <v>2117</v>
      </c>
      <c r="E321" s="16" t="s">
        <v>1915</v>
      </c>
      <c r="F321" s="16" t="s">
        <v>133</v>
      </c>
      <c r="G321" s="16" t="s">
        <v>539</v>
      </c>
      <c r="J321" s="16" t="s">
        <v>33</v>
      </c>
    </row>
    <row r="322" spans="1:12" hidden="1" x14ac:dyDescent="0.3">
      <c r="A322" s="16" t="s">
        <v>154</v>
      </c>
      <c r="B322" s="16"/>
      <c r="C322" s="16"/>
      <c r="D322" s="16" t="s">
        <v>2118</v>
      </c>
      <c r="E322" s="16" t="s">
        <v>1782</v>
      </c>
      <c r="F322" s="16" t="s">
        <v>18</v>
      </c>
      <c r="G322" s="16" t="s">
        <v>539</v>
      </c>
      <c r="I322" s="16" t="s">
        <v>1103</v>
      </c>
      <c r="J322" s="16" t="s">
        <v>33</v>
      </c>
    </row>
    <row r="323" spans="1:12" hidden="1" x14ac:dyDescent="0.3">
      <c r="A323" s="16" t="s">
        <v>2119</v>
      </c>
      <c r="B323" s="16"/>
      <c r="C323" s="16"/>
      <c r="D323" s="16" t="s">
        <v>2120</v>
      </c>
      <c r="E323" s="16" t="s">
        <v>1769</v>
      </c>
      <c r="F323" s="16" t="s">
        <v>18</v>
      </c>
      <c r="G323" s="16" t="s">
        <v>1791</v>
      </c>
      <c r="I323" s="16" t="s">
        <v>1770</v>
      </c>
      <c r="J323" s="16" t="s">
        <v>33</v>
      </c>
      <c r="K323" s="16" t="s">
        <v>33</v>
      </c>
    </row>
    <row r="324" spans="1:12" hidden="1" x14ac:dyDescent="0.3">
      <c r="A324" s="16" t="s">
        <v>1170</v>
      </c>
      <c r="B324" s="16"/>
      <c r="C324" s="16"/>
      <c r="D324" s="16" t="s">
        <v>1171</v>
      </c>
      <c r="E324" s="16" t="s">
        <v>1777</v>
      </c>
      <c r="F324" s="16" t="s">
        <v>18</v>
      </c>
      <c r="G324" s="16" t="s">
        <v>539</v>
      </c>
      <c r="I324" s="16" t="s">
        <v>1103</v>
      </c>
      <c r="J324" s="16" t="s">
        <v>33</v>
      </c>
    </row>
    <row r="325" spans="1:12" hidden="1" x14ac:dyDescent="0.3">
      <c r="A325" s="16" t="s">
        <v>1476</v>
      </c>
      <c r="B325" s="16"/>
      <c r="C325" s="16"/>
      <c r="D325" s="16" t="s">
        <v>1477</v>
      </c>
      <c r="E325" s="16" t="s">
        <v>1779</v>
      </c>
      <c r="F325" s="16" t="s">
        <v>18</v>
      </c>
      <c r="G325" s="16" t="s">
        <v>539</v>
      </c>
      <c r="I325" s="16" t="s">
        <v>1103</v>
      </c>
      <c r="J325" s="16" t="s">
        <v>33</v>
      </c>
    </row>
    <row r="326" spans="1:12" hidden="1" x14ac:dyDescent="0.3">
      <c r="A326" s="16" t="s">
        <v>1478</v>
      </c>
      <c r="B326" s="16"/>
      <c r="C326" s="16"/>
      <c r="D326" s="16" t="s">
        <v>1479</v>
      </c>
      <c r="E326" s="16" t="s">
        <v>1779</v>
      </c>
      <c r="F326" s="16" t="s">
        <v>18</v>
      </c>
      <c r="G326" s="16" t="s">
        <v>539</v>
      </c>
      <c r="I326" s="16" t="s">
        <v>1103</v>
      </c>
      <c r="J326" s="16" t="s">
        <v>33</v>
      </c>
    </row>
    <row r="327" spans="1:12" hidden="1" x14ac:dyDescent="0.3">
      <c r="A327" s="16" t="s">
        <v>1289</v>
      </c>
      <c r="B327" s="16"/>
      <c r="C327" s="16"/>
      <c r="D327" s="16" t="s">
        <v>1290</v>
      </c>
      <c r="E327" s="16" t="s">
        <v>1778</v>
      </c>
      <c r="F327" s="16" t="s">
        <v>18</v>
      </c>
      <c r="G327" s="16" t="s">
        <v>617</v>
      </c>
      <c r="I327" s="16" t="s">
        <v>1103</v>
      </c>
      <c r="J327" s="16" t="s">
        <v>33</v>
      </c>
    </row>
    <row r="328" spans="1:12" hidden="1" x14ac:dyDescent="0.3">
      <c r="A328" s="16" t="s">
        <v>1289</v>
      </c>
      <c r="B328" s="16"/>
      <c r="C328" s="16"/>
      <c r="D328" s="16" t="s">
        <v>1480</v>
      </c>
      <c r="E328" s="16" t="s">
        <v>1779</v>
      </c>
      <c r="F328" s="16" t="s">
        <v>18</v>
      </c>
      <c r="G328" s="16" t="s">
        <v>617</v>
      </c>
      <c r="I328" s="16" t="s">
        <v>1103</v>
      </c>
      <c r="J328" s="16" t="s">
        <v>33</v>
      </c>
    </row>
    <row r="329" spans="1:12" hidden="1" x14ac:dyDescent="0.3">
      <c r="A329" s="16" t="s">
        <v>1481</v>
      </c>
      <c r="B329" s="16"/>
      <c r="C329" s="16"/>
      <c r="D329" s="16" t="s">
        <v>1482</v>
      </c>
      <c r="E329" s="16" t="s">
        <v>1779</v>
      </c>
      <c r="F329" s="16" t="s">
        <v>18</v>
      </c>
      <c r="G329" s="16" t="s">
        <v>539</v>
      </c>
      <c r="I329" s="16" t="s">
        <v>1103</v>
      </c>
      <c r="J329" s="16" t="s">
        <v>33</v>
      </c>
    </row>
    <row r="330" spans="1:12" hidden="1" x14ac:dyDescent="0.3">
      <c r="A330" s="16" t="s">
        <v>1291</v>
      </c>
      <c r="B330" s="16"/>
      <c r="C330" s="16"/>
      <c r="D330" s="16" t="s">
        <v>1292</v>
      </c>
      <c r="E330" s="16" t="s">
        <v>1778</v>
      </c>
      <c r="F330" s="16" t="s">
        <v>18</v>
      </c>
      <c r="G330" s="16" t="s">
        <v>539</v>
      </c>
      <c r="I330" s="16" t="s">
        <v>1103</v>
      </c>
      <c r="J330" s="16" t="s">
        <v>33</v>
      </c>
    </row>
    <row r="331" spans="1:12" hidden="1" x14ac:dyDescent="0.3">
      <c r="A331" s="16" t="s">
        <v>1483</v>
      </c>
      <c r="B331" s="16"/>
      <c r="C331" s="16"/>
      <c r="D331" s="16" t="s">
        <v>1484</v>
      </c>
      <c r="E331" s="16" t="s">
        <v>1779</v>
      </c>
      <c r="F331" s="16" t="s">
        <v>18</v>
      </c>
      <c r="G331" s="16" t="s">
        <v>539</v>
      </c>
      <c r="I331" s="16" t="s">
        <v>1103</v>
      </c>
      <c r="J331" s="16" t="s">
        <v>33</v>
      </c>
    </row>
    <row r="332" spans="1:12" hidden="1" x14ac:dyDescent="0.3">
      <c r="A332" s="16" t="s">
        <v>1669</v>
      </c>
      <c r="B332" s="16"/>
      <c r="C332" s="16"/>
      <c r="D332" s="16" t="s">
        <v>1670</v>
      </c>
      <c r="E332" s="16" t="s">
        <v>1778</v>
      </c>
      <c r="F332" s="16" t="s">
        <v>18</v>
      </c>
      <c r="G332" s="16" t="s">
        <v>539</v>
      </c>
      <c r="I332" s="16" t="s">
        <v>1103</v>
      </c>
      <c r="J332" s="16" t="s">
        <v>33</v>
      </c>
    </row>
    <row r="333" spans="1:12" hidden="1" x14ac:dyDescent="0.3">
      <c r="A333" s="16" t="s">
        <v>2121</v>
      </c>
      <c r="B333" s="16"/>
      <c r="C333" s="16"/>
      <c r="D333" s="16" t="s">
        <v>2122</v>
      </c>
      <c r="E333" s="16" t="s">
        <v>1779</v>
      </c>
      <c r="F333" s="16" t="s">
        <v>18</v>
      </c>
      <c r="G333" s="16" t="s">
        <v>539</v>
      </c>
      <c r="I333" s="16" t="s">
        <v>1770</v>
      </c>
      <c r="J333" s="16" t="s">
        <v>33</v>
      </c>
    </row>
    <row r="334" spans="1:12" hidden="1" x14ac:dyDescent="0.3">
      <c r="A334" s="16" t="s">
        <v>1172</v>
      </c>
      <c r="B334" s="16"/>
      <c r="C334" s="16"/>
      <c r="D334" s="16" t="s">
        <v>1173</v>
      </c>
      <c r="E334" s="16" t="s">
        <v>1777</v>
      </c>
      <c r="F334" s="16" t="s">
        <v>18</v>
      </c>
      <c r="G334" s="16" t="s">
        <v>588</v>
      </c>
      <c r="I334" s="16" t="s">
        <v>1103</v>
      </c>
      <c r="J334" s="16" t="s">
        <v>33</v>
      </c>
    </row>
    <row r="335" spans="1:12" hidden="1" x14ac:dyDescent="0.3">
      <c r="A335" s="16" t="s">
        <v>1172</v>
      </c>
      <c r="B335" s="16"/>
      <c r="C335" s="16"/>
      <c r="D335" s="16" t="s">
        <v>2123</v>
      </c>
      <c r="E335" s="16" t="s">
        <v>1777</v>
      </c>
      <c r="F335" s="16" t="s">
        <v>18</v>
      </c>
      <c r="G335" s="16" t="s">
        <v>588</v>
      </c>
      <c r="I335" s="16" t="s">
        <v>1103</v>
      </c>
      <c r="J335" s="16" t="s">
        <v>33</v>
      </c>
    </row>
    <row r="336" spans="1:12" hidden="1" x14ac:dyDescent="0.3">
      <c r="A336" s="16" t="s">
        <v>2124</v>
      </c>
      <c r="B336" s="16"/>
      <c r="C336" s="16"/>
      <c r="D336" s="16" t="s">
        <v>2125</v>
      </c>
      <c r="E336" s="16" t="s">
        <v>1779</v>
      </c>
      <c r="F336" s="16" t="s">
        <v>388</v>
      </c>
      <c r="G336" s="16" t="s">
        <v>539</v>
      </c>
      <c r="J336" s="16" t="s">
        <v>33</v>
      </c>
      <c r="L336" s="16" t="s">
        <v>1988</v>
      </c>
    </row>
    <row r="337" spans="1:13" hidden="1" x14ac:dyDescent="0.3">
      <c r="A337" s="16" t="s">
        <v>2126</v>
      </c>
      <c r="B337" s="16"/>
      <c r="C337" s="16"/>
      <c r="D337" s="16" t="s">
        <v>2127</v>
      </c>
      <c r="E337" s="16" t="s">
        <v>1779</v>
      </c>
      <c r="F337" s="16" t="s">
        <v>388</v>
      </c>
      <c r="G337" s="16" t="s">
        <v>539</v>
      </c>
      <c r="J337" s="16" t="s">
        <v>33</v>
      </c>
      <c r="L337" s="16" t="s">
        <v>32</v>
      </c>
    </row>
    <row r="338" spans="1:13" hidden="1" x14ac:dyDescent="0.3">
      <c r="A338" s="16" t="s">
        <v>2126</v>
      </c>
      <c r="B338" s="16"/>
      <c r="C338" s="16"/>
      <c r="D338" s="16" t="s">
        <v>2127</v>
      </c>
      <c r="E338" s="16" t="s">
        <v>1777</v>
      </c>
      <c r="F338" s="16" t="s">
        <v>388</v>
      </c>
      <c r="G338" s="16" t="s">
        <v>539</v>
      </c>
      <c r="J338" s="16" t="s">
        <v>33</v>
      </c>
      <c r="L338" s="16" t="s">
        <v>32</v>
      </c>
    </row>
    <row r="339" spans="1:13" hidden="1" x14ac:dyDescent="0.3">
      <c r="A339" s="16" t="s">
        <v>2128</v>
      </c>
      <c r="B339" s="16"/>
      <c r="C339" s="16"/>
      <c r="D339" s="16" t="s">
        <v>2129</v>
      </c>
      <c r="E339" s="16" t="s">
        <v>1778</v>
      </c>
      <c r="F339" s="16" t="s">
        <v>18</v>
      </c>
      <c r="G339" s="16" t="s">
        <v>539</v>
      </c>
      <c r="I339" s="16" t="s">
        <v>1770</v>
      </c>
      <c r="J339" s="16" t="s">
        <v>33</v>
      </c>
    </row>
    <row r="340" spans="1:13" hidden="1" x14ac:dyDescent="0.3">
      <c r="A340" s="16" t="s">
        <v>2130</v>
      </c>
      <c r="B340" s="16"/>
      <c r="C340" s="16"/>
      <c r="D340" s="16" t="s">
        <v>2131</v>
      </c>
      <c r="E340" s="16" t="s">
        <v>1777</v>
      </c>
      <c r="F340" s="16" t="s">
        <v>388</v>
      </c>
      <c r="G340" s="16" t="s">
        <v>539</v>
      </c>
      <c r="J340" s="16" t="s">
        <v>33</v>
      </c>
      <c r="L340" s="16" t="s">
        <v>32</v>
      </c>
    </row>
    <row r="341" spans="1:13" hidden="1" x14ac:dyDescent="0.3">
      <c r="A341" s="16" t="s">
        <v>2132</v>
      </c>
      <c r="B341" s="16"/>
      <c r="C341" s="16"/>
      <c r="D341" s="16" t="s">
        <v>2133</v>
      </c>
      <c r="E341" s="16" t="s">
        <v>1778</v>
      </c>
      <c r="F341" s="16" t="s">
        <v>18</v>
      </c>
      <c r="G341" s="16" t="s">
        <v>539</v>
      </c>
      <c r="I341" s="16" t="s">
        <v>1770</v>
      </c>
      <c r="J341" s="16" t="s">
        <v>33</v>
      </c>
    </row>
    <row r="342" spans="1:13" hidden="1" x14ac:dyDescent="0.3">
      <c r="A342" s="16" t="s">
        <v>1487</v>
      </c>
      <c r="B342" s="16"/>
      <c r="C342" s="16"/>
      <c r="D342" s="16" t="s">
        <v>1488</v>
      </c>
      <c r="E342" s="16" t="s">
        <v>1779</v>
      </c>
      <c r="F342" s="16" t="s">
        <v>18</v>
      </c>
      <c r="G342" s="16" t="s">
        <v>539</v>
      </c>
      <c r="I342" s="16" t="s">
        <v>1770</v>
      </c>
      <c r="J342" s="16" t="s">
        <v>33</v>
      </c>
    </row>
    <row r="343" spans="1:13" hidden="1" x14ac:dyDescent="0.3">
      <c r="A343" s="16" t="s">
        <v>1489</v>
      </c>
      <c r="B343" s="16"/>
      <c r="C343" s="16"/>
      <c r="D343" s="16" t="s">
        <v>1490</v>
      </c>
      <c r="E343" s="16" t="s">
        <v>1779</v>
      </c>
      <c r="F343" s="16" t="s">
        <v>18</v>
      </c>
      <c r="G343" s="16" t="s">
        <v>539</v>
      </c>
      <c r="I343" s="16" t="s">
        <v>1103</v>
      </c>
      <c r="J343" s="16" t="s">
        <v>33</v>
      </c>
    </row>
    <row r="344" spans="1:13" hidden="1" x14ac:dyDescent="0.3">
      <c r="A344" s="16" t="s">
        <v>2134</v>
      </c>
      <c r="B344" s="16"/>
      <c r="C344" s="16"/>
      <c r="D344" s="16" t="s">
        <v>2135</v>
      </c>
      <c r="E344" s="16" t="s">
        <v>1779</v>
      </c>
      <c r="F344" s="16" t="s">
        <v>388</v>
      </c>
      <c r="G344" s="16" t="s">
        <v>539</v>
      </c>
      <c r="J344" s="16" t="s">
        <v>33</v>
      </c>
      <c r="L344" s="16" t="s">
        <v>32</v>
      </c>
    </row>
    <row r="345" spans="1:13" hidden="1" x14ac:dyDescent="0.3">
      <c r="A345" s="16" t="s">
        <v>2134</v>
      </c>
      <c r="B345" s="16"/>
      <c r="C345" s="16"/>
      <c r="D345" s="16" t="s">
        <v>2135</v>
      </c>
      <c r="E345" s="16" t="s">
        <v>1777</v>
      </c>
      <c r="F345" s="16" t="s">
        <v>388</v>
      </c>
      <c r="G345" s="16" t="s">
        <v>539</v>
      </c>
      <c r="J345" s="16" t="s">
        <v>33</v>
      </c>
      <c r="L345" s="16" t="s">
        <v>32</v>
      </c>
    </row>
    <row r="346" spans="1:13" hidden="1" x14ac:dyDescent="0.3">
      <c r="A346" s="16" t="s">
        <v>2136</v>
      </c>
      <c r="B346" s="16"/>
      <c r="C346" s="16"/>
      <c r="D346" s="16" t="s">
        <v>2137</v>
      </c>
      <c r="E346" s="16" t="s">
        <v>1779</v>
      </c>
      <c r="F346" s="16" t="s">
        <v>18</v>
      </c>
      <c r="G346" s="16" t="s">
        <v>539</v>
      </c>
      <c r="I346" s="16" t="s">
        <v>1770</v>
      </c>
      <c r="J346" s="16" t="s">
        <v>33</v>
      </c>
    </row>
    <row r="347" spans="1:13" hidden="1" x14ac:dyDescent="0.3">
      <c r="A347" s="16" t="s">
        <v>2138</v>
      </c>
      <c r="B347" s="16"/>
      <c r="C347" s="16"/>
      <c r="D347" s="16" t="s">
        <v>2139</v>
      </c>
      <c r="E347" s="16" t="s">
        <v>1778</v>
      </c>
      <c r="F347" s="16" t="s">
        <v>18</v>
      </c>
      <c r="G347" s="16" t="s">
        <v>539</v>
      </c>
      <c r="I347" s="16" t="s">
        <v>1770</v>
      </c>
      <c r="J347" s="16" t="s">
        <v>33</v>
      </c>
    </row>
    <row r="348" spans="1:13" hidden="1" x14ac:dyDescent="0.3">
      <c r="A348" s="16" t="s">
        <v>2140</v>
      </c>
      <c r="B348" s="16"/>
      <c r="C348" s="16"/>
      <c r="D348" s="16" t="s">
        <v>2141</v>
      </c>
      <c r="E348" s="16" t="s">
        <v>1779</v>
      </c>
      <c r="F348" s="16" t="s">
        <v>388</v>
      </c>
      <c r="G348" s="16" t="s">
        <v>539</v>
      </c>
      <c r="J348" s="16" t="s">
        <v>33</v>
      </c>
      <c r="L348" s="16" t="s">
        <v>32</v>
      </c>
      <c r="M348" s="16" t="s">
        <v>2142</v>
      </c>
    </row>
    <row r="349" spans="1:13" hidden="1" x14ac:dyDescent="0.3">
      <c r="A349" s="16" t="s">
        <v>2140</v>
      </c>
      <c r="B349" s="16"/>
      <c r="C349" s="16"/>
      <c r="D349" s="16" t="s">
        <v>2141</v>
      </c>
      <c r="E349" s="16" t="s">
        <v>1777</v>
      </c>
      <c r="F349" s="16" t="s">
        <v>388</v>
      </c>
      <c r="G349" s="16" t="s">
        <v>539</v>
      </c>
      <c r="J349" s="16" t="s">
        <v>33</v>
      </c>
      <c r="L349" s="16" t="s">
        <v>32</v>
      </c>
    </row>
    <row r="350" spans="1:13" hidden="1" x14ac:dyDescent="0.3">
      <c r="A350" s="16" t="s">
        <v>255</v>
      </c>
      <c r="B350" s="16"/>
      <c r="C350" s="16"/>
      <c r="D350" s="16" t="s">
        <v>2143</v>
      </c>
      <c r="E350" s="16" t="s">
        <v>1808</v>
      </c>
      <c r="F350" s="16" t="s">
        <v>133</v>
      </c>
      <c r="G350" s="16" t="s">
        <v>255</v>
      </c>
      <c r="J350" s="16" t="s">
        <v>33</v>
      </c>
    </row>
    <row r="351" spans="1:13" hidden="1" x14ac:dyDescent="0.3">
      <c r="A351" s="16" t="s">
        <v>255</v>
      </c>
      <c r="B351" s="16"/>
      <c r="C351" s="16"/>
      <c r="D351" s="16" t="s">
        <v>256</v>
      </c>
      <c r="E351" s="16" t="s">
        <v>1779</v>
      </c>
      <c r="F351" s="16" t="s">
        <v>133</v>
      </c>
      <c r="G351" s="16" t="s">
        <v>661</v>
      </c>
      <c r="I351" s="16" t="s">
        <v>662</v>
      </c>
      <c r="J351" s="16" t="s">
        <v>33</v>
      </c>
    </row>
    <row r="352" spans="1:13" hidden="1" x14ac:dyDescent="0.3">
      <c r="A352" s="16" t="s">
        <v>2144</v>
      </c>
      <c r="B352" s="16"/>
      <c r="C352" s="16"/>
      <c r="D352" s="16" t="s">
        <v>2145</v>
      </c>
      <c r="E352" s="16" t="s">
        <v>1779</v>
      </c>
      <c r="F352" s="16" t="s">
        <v>133</v>
      </c>
      <c r="G352" s="16" t="s">
        <v>255</v>
      </c>
      <c r="J352" s="16" t="s">
        <v>33</v>
      </c>
    </row>
    <row r="353" spans="1:10" hidden="1" x14ac:dyDescent="0.3">
      <c r="A353" s="16" t="s">
        <v>181</v>
      </c>
      <c r="B353" s="16"/>
      <c r="C353" s="16"/>
      <c r="D353" s="16" t="s">
        <v>1303</v>
      </c>
      <c r="E353" s="16" t="s">
        <v>1778</v>
      </c>
      <c r="F353" s="16" t="s">
        <v>18</v>
      </c>
      <c r="G353" s="16" t="s">
        <v>539</v>
      </c>
      <c r="I353" s="16" t="s">
        <v>1127</v>
      </c>
      <c r="J353" s="16" t="s">
        <v>33</v>
      </c>
    </row>
    <row r="354" spans="1:10" hidden="1" x14ac:dyDescent="0.3">
      <c r="A354" s="16" t="s">
        <v>181</v>
      </c>
      <c r="B354" s="16"/>
      <c r="C354" s="16"/>
      <c r="D354" s="16" t="s">
        <v>182</v>
      </c>
      <c r="E354" s="16" t="s">
        <v>1779</v>
      </c>
      <c r="F354" s="16" t="s">
        <v>18</v>
      </c>
      <c r="G354" s="16" t="s">
        <v>539</v>
      </c>
      <c r="I354" s="16" t="s">
        <v>1127</v>
      </c>
      <c r="J354" s="16" t="s">
        <v>33</v>
      </c>
    </row>
    <row r="355" spans="1:10" hidden="1" x14ac:dyDescent="0.3">
      <c r="A355" s="16" t="s">
        <v>2146</v>
      </c>
      <c r="B355" s="16"/>
      <c r="C355" s="16"/>
      <c r="D355" s="16" t="s">
        <v>2147</v>
      </c>
      <c r="E355" s="16" t="s">
        <v>1779</v>
      </c>
      <c r="F355" s="16" t="s">
        <v>133</v>
      </c>
      <c r="G355" s="16" t="s">
        <v>588</v>
      </c>
      <c r="J355" s="16" t="s">
        <v>33</v>
      </c>
    </row>
    <row r="356" spans="1:10" hidden="1" x14ac:dyDescent="0.3">
      <c r="A356" s="16" t="s">
        <v>2148</v>
      </c>
      <c r="B356" s="16"/>
      <c r="C356" s="16"/>
      <c r="D356" s="16" t="s">
        <v>2149</v>
      </c>
      <c r="E356" s="16" t="s">
        <v>1779</v>
      </c>
      <c r="F356" s="16" t="s">
        <v>133</v>
      </c>
      <c r="G356" s="16" t="s">
        <v>588</v>
      </c>
      <c r="J356" s="16" t="s">
        <v>33</v>
      </c>
    </row>
    <row r="357" spans="1:10" hidden="1" x14ac:dyDescent="0.3">
      <c r="A357" s="16" t="s">
        <v>661</v>
      </c>
      <c r="B357" s="16"/>
      <c r="C357" s="16"/>
      <c r="D357" s="16" t="s">
        <v>2150</v>
      </c>
      <c r="E357" s="16" t="s">
        <v>1808</v>
      </c>
      <c r="F357" s="16" t="s">
        <v>133</v>
      </c>
      <c r="G357" s="16" t="s">
        <v>661</v>
      </c>
      <c r="J357" s="16" t="s">
        <v>33</v>
      </c>
    </row>
    <row r="358" spans="1:10" hidden="1" x14ac:dyDescent="0.3">
      <c r="A358" s="16" t="s">
        <v>2151</v>
      </c>
      <c r="B358" s="16"/>
      <c r="C358" s="16"/>
      <c r="D358" s="16" t="s">
        <v>2152</v>
      </c>
      <c r="E358" s="16" t="s">
        <v>1779</v>
      </c>
      <c r="F358" s="16" t="s">
        <v>133</v>
      </c>
      <c r="G358" s="16" t="s">
        <v>661</v>
      </c>
      <c r="J358" s="16" t="s">
        <v>33</v>
      </c>
    </row>
    <row r="359" spans="1:10" hidden="1" x14ac:dyDescent="0.3">
      <c r="A359" s="16" t="s">
        <v>2151</v>
      </c>
      <c r="B359" s="16"/>
      <c r="C359" s="16"/>
      <c r="D359" s="16" t="s">
        <v>2153</v>
      </c>
      <c r="E359" s="16" t="s">
        <v>1915</v>
      </c>
      <c r="F359" s="16" t="s">
        <v>133</v>
      </c>
      <c r="G359" s="16" t="s">
        <v>661</v>
      </c>
      <c r="J359" s="16" t="s">
        <v>33</v>
      </c>
    </row>
    <row r="360" spans="1:10" hidden="1" x14ac:dyDescent="0.3">
      <c r="A360" s="16" t="s">
        <v>2154</v>
      </c>
      <c r="B360" s="16"/>
      <c r="C360" s="16"/>
      <c r="D360" s="16" t="s">
        <v>2155</v>
      </c>
      <c r="E360" s="16" t="s">
        <v>1779</v>
      </c>
      <c r="F360" s="16" t="s">
        <v>133</v>
      </c>
      <c r="G360" s="16" t="s">
        <v>661</v>
      </c>
      <c r="J360" s="16" t="s">
        <v>33</v>
      </c>
    </row>
    <row r="361" spans="1:10" hidden="1" x14ac:dyDescent="0.3">
      <c r="A361" s="16" t="s">
        <v>2154</v>
      </c>
      <c r="B361" s="16"/>
      <c r="C361" s="16"/>
      <c r="D361" s="16" t="s">
        <v>2156</v>
      </c>
      <c r="E361" s="16" t="s">
        <v>1778</v>
      </c>
      <c r="F361" s="16" t="s">
        <v>133</v>
      </c>
      <c r="G361" s="16" t="s">
        <v>661</v>
      </c>
      <c r="J361" s="16" t="s">
        <v>33</v>
      </c>
    </row>
    <row r="362" spans="1:10" hidden="1" x14ac:dyDescent="0.3">
      <c r="A362" s="16" t="s">
        <v>2157</v>
      </c>
      <c r="B362" s="16"/>
      <c r="C362" s="16"/>
      <c r="D362" s="16" t="s">
        <v>2158</v>
      </c>
      <c r="E362" s="16" t="s">
        <v>1779</v>
      </c>
      <c r="F362" s="16" t="s">
        <v>133</v>
      </c>
      <c r="G362" s="16" t="s">
        <v>661</v>
      </c>
      <c r="J362" s="16" t="s">
        <v>33</v>
      </c>
    </row>
    <row r="363" spans="1:10" hidden="1" x14ac:dyDescent="0.3">
      <c r="A363" s="16" t="s">
        <v>2157</v>
      </c>
      <c r="B363" s="16"/>
      <c r="C363" s="16"/>
      <c r="D363" s="16" t="s">
        <v>2159</v>
      </c>
      <c r="E363" s="16" t="s">
        <v>1915</v>
      </c>
      <c r="F363" s="16" t="s">
        <v>133</v>
      </c>
      <c r="G363" s="16" t="s">
        <v>661</v>
      </c>
      <c r="J363" s="16" t="s">
        <v>33</v>
      </c>
    </row>
    <row r="364" spans="1:10" hidden="1" x14ac:dyDescent="0.3">
      <c r="A364" s="16" t="s">
        <v>2160</v>
      </c>
      <c r="B364" s="16"/>
      <c r="C364" s="16"/>
      <c r="D364" s="16" t="s">
        <v>2161</v>
      </c>
      <c r="E364" s="16" t="s">
        <v>1779</v>
      </c>
      <c r="F364" s="16" t="s">
        <v>133</v>
      </c>
      <c r="G364" s="16" t="s">
        <v>661</v>
      </c>
      <c r="J364" s="16" t="s">
        <v>33</v>
      </c>
    </row>
    <row r="365" spans="1:10" hidden="1" x14ac:dyDescent="0.3">
      <c r="A365" s="16" t="s">
        <v>2160</v>
      </c>
      <c r="B365" s="16"/>
      <c r="C365" s="16"/>
      <c r="D365" s="16" t="s">
        <v>2162</v>
      </c>
      <c r="E365" s="16" t="s">
        <v>1778</v>
      </c>
      <c r="F365" s="16" t="s">
        <v>133</v>
      </c>
      <c r="G365" s="16" t="s">
        <v>661</v>
      </c>
      <c r="J365" s="16" t="s">
        <v>33</v>
      </c>
    </row>
    <row r="366" spans="1:10" hidden="1" x14ac:dyDescent="0.3">
      <c r="A366" s="16" t="s">
        <v>2163</v>
      </c>
      <c r="B366" s="16"/>
      <c r="C366" s="16"/>
      <c r="D366" s="16" t="s">
        <v>2164</v>
      </c>
      <c r="E366" s="16" t="s">
        <v>1779</v>
      </c>
      <c r="F366" s="16" t="s">
        <v>133</v>
      </c>
      <c r="G366" s="16" t="s">
        <v>661</v>
      </c>
      <c r="J366" s="16" t="s">
        <v>33</v>
      </c>
    </row>
    <row r="367" spans="1:10" hidden="1" x14ac:dyDescent="0.3">
      <c r="A367" s="16" t="s">
        <v>1110</v>
      </c>
      <c r="B367" s="16"/>
      <c r="C367" s="16"/>
      <c r="D367" s="16" t="s">
        <v>1111</v>
      </c>
      <c r="E367" s="16" t="s">
        <v>1812</v>
      </c>
      <c r="F367" s="16" t="s">
        <v>18</v>
      </c>
      <c r="G367" s="16" t="s">
        <v>661</v>
      </c>
      <c r="I367" s="16" t="s">
        <v>1103</v>
      </c>
      <c r="J367" s="16" t="s">
        <v>33</v>
      </c>
    </row>
    <row r="368" spans="1:10" hidden="1" x14ac:dyDescent="0.3">
      <c r="A368" s="16" t="s">
        <v>2165</v>
      </c>
      <c r="B368" s="16"/>
      <c r="C368" s="16"/>
      <c r="D368" s="16" t="s">
        <v>2166</v>
      </c>
      <c r="E368" s="16" t="s">
        <v>1779</v>
      </c>
      <c r="F368" s="16" t="s">
        <v>133</v>
      </c>
      <c r="G368" s="16" t="s">
        <v>1791</v>
      </c>
      <c r="J368" s="16" t="s">
        <v>33</v>
      </c>
    </row>
    <row r="369" spans="1:10" hidden="1" x14ac:dyDescent="0.3">
      <c r="A369" s="16" t="s">
        <v>2167</v>
      </c>
      <c r="B369" s="16"/>
      <c r="C369" s="16"/>
      <c r="D369" s="16" t="s">
        <v>2168</v>
      </c>
      <c r="E369" s="16" t="s">
        <v>1779</v>
      </c>
      <c r="F369" s="16" t="s">
        <v>133</v>
      </c>
      <c r="G369" s="16" t="s">
        <v>661</v>
      </c>
      <c r="J369" s="16" t="s">
        <v>33</v>
      </c>
    </row>
    <row r="370" spans="1:10" hidden="1" x14ac:dyDescent="0.3">
      <c r="A370" s="16" t="s">
        <v>2167</v>
      </c>
      <c r="B370" s="16"/>
      <c r="C370" s="16"/>
      <c r="D370" s="16" t="s">
        <v>2169</v>
      </c>
      <c r="E370" s="16" t="s">
        <v>1915</v>
      </c>
      <c r="F370" s="16" t="s">
        <v>133</v>
      </c>
      <c r="G370" s="16" t="s">
        <v>661</v>
      </c>
      <c r="J370" s="16" t="s">
        <v>33</v>
      </c>
    </row>
    <row r="371" spans="1:10" hidden="1" x14ac:dyDescent="0.3">
      <c r="A371" s="16" t="s">
        <v>2170</v>
      </c>
      <c r="B371" s="16"/>
      <c r="C371" s="16"/>
      <c r="D371" s="16" t="s">
        <v>2171</v>
      </c>
      <c r="E371" s="16" t="s">
        <v>1779</v>
      </c>
      <c r="F371" s="16" t="s">
        <v>133</v>
      </c>
      <c r="G371" s="16" t="s">
        <v>661</v>
      </c>
      <c r="J371" s="16" t="s">
        <v>33</v>
      </c>
    </row>
    <row r="372" spans="1:10" hidden="1" x14ac:dyDescent="0.3">
      <c r="A372" s="16" t="s">
        <v>2172</v>
      </c>
      <c r="B372" s="16"/>
      <c r="C372" s="16"/>
      <c r="D372" s="16" t="s">
        <v>2173</v>
      </c>
      <c r="E372" s="16" t="s">
        <v>1779</v>
      </c>
      <c r="F372" s="16" t="s">
        <v>133</v>
      </c>
      <c r="G372" s="16" t="s">
        <v>661</v>
      </c>
      <c r="J372" s="16" t="s">
        <v>33</v>
      </c>
    </row>
    <row r="373" spans="1:10" hidden="1" x14ac:dyDescent="0.3">
      <c r="A373" s="16" t="s">
        <v>2172</v>
      </c>
      <c r="B373" s="16"/>
      <c r="C373" s="16"/>
      <c r="D373" s="16" t="s">
        <v>2174</v>
      </c>
      <c r="E373" s="16" t="s">
        <v>1778</v>
      </c>
      <c r="F373" s="16" t="s">
        <v>133</v>
      </c>
      <c r="G373" s="16" t="s">
        <v>661</v>
      </c>
      <c r="J373" s="16" t="s">
        <v>33</v>
      </c>
    </row>
    <row r="374" spans="1:10" hidden="1" x14ac:dyDescent="0.3">
      <c r="A374" s="16" t="s">
        <v>2175</v>
      </c>
      <c r="B374" s="16"/>
      <c r="C374" s="16"/>
      <c r="D374" s="16" t="s">
        <v>2176</v>
      </c>
      <c r="E374" s="16" t="s">
        <v>1779</v>
      </c>
      <c r="F374" s="16" t="s">
        <v>133</v>
      </c>
      <c r="G374" s="16" t="s">
        <v>661</v>
      </c>
      <c r="J374" s="16" t="s">
        <v>33</v>
      </c>
    </row>
    <row r="375" spans="1:10" hidden="1" x14ac:dyDescent="0.3">
      <c r="A375" s="16" t="s">
        <v>2175</v>
      </c>
      <c r="B375" s="16"/>
      <c r="C375" s="16"/>
      <c r="D375" s="16" t="s">
        <v>2177</v>
      </c>
      <c r="E375" s="16" t="s">
        <v>1915</v>
      </c>
      <c r="F375" s="16" t="s">
        <v>133</v>
      </c>
      <c r="G375" s="16" t="s">
        <v>661</v>
      </c>
      <c r="J375" s="16" t="s">
        <v>33</v>
      </c>
    </row>
    <row r="376" spans="1:10" hidden="1" x14ac:dyDescent="0.3">
      <c r="A376" s="16" t="s">
        <v>2178</v>
      </c>
      <c r="B376" s="16"/>
      <c r="C376" s="16"/>
      <c r="D376" s="16" t="s">
        <v>2179</v>
      </c>
      <c r="E376" s="16" t="s">
        <v>1779</v>
      </c>
      <c r="F376" s="16" t="s">
        <v>133</v>
      </c>
      <c r="G376" s="16" t="s">
        <v>661</v>
      </c>
      <c r="J376" s="16" t="s">
        <v>33</v>
      </c>
    </row>
    <row r="377" spans="1:10" hidden="1" x14ac:dyDescent="0.3">
      <c r="A377" s="16" t="s">
        <v>2180</v>
      </c>
      <c r="B377" s="16"/>
      <c r="C377" s="16"/>
      <c r="D377" s="16" t="s">
        <v>2181</v>
      </c>
      <c r="E377" s="16" t="s">
        <v>1779</v>
      </c>
      <c r="F377" s="16" t="s">
        <v>133</v>
      </c>
      <c r="G377" s="16" t="s">
        <v>661</v>
      </c>
      <c r="J377" s="16" t="s">
        <v>33</v>
      </c>
    </row>
    <row r="378" spans="1:10" hidden="1" x14ac:dyDescent="0.3">
      <c r="A378" s="16" t="s">
        <v>2180</v>
      </c>
      <c r="B378" s="16"/>
      <c r="C378" s="16"/>
      <c r="D378" s="16" t="s">
        <v>2182</v>
      </c>
      <c r="E378" s="16" t="s">
        <v>1778</v>
      </c>
      <c r="F378" s="16" t="s">
        <v>133</v>
      </c>
      <c r="G378" s="16" t="s">
        <v>661</v>
      </c>
      <c r="J378" s="16" t="s">
        <v>33</v>
      </c>
    </row>
    <row r="379" spans="1:10" hidden="1" x14ac:dyDescent="0.3">
      <c r="A379" s="16" t="s">
        <v>2183</v>
      </c>
      <c r="B379" s="16"/>
      <c r="C379" s="16"/>
      <c r="D379" s="16" t="s">
        <v>2184</v>
      </c>
      <c r="E379" s="16" t="s">
        <v>1779</v>
      </c>
      <c r="F379" s="16" t="s">
        <v>133</v>
      </c>
      <c r="G379" s="16" t="s">
        <v>661</v>
      </c>
      <c r="J379" s="16" t="s">
        <v>33</v>
      </c>
    </row>
    <row r="380" spans="1:10" hidden="1" x14ac:dyDescent="0.3">
      <c r="A380" s="16" t="s">
        <v>2185</v>
      </c>
      <c r="B380" s="16"/>
      <c r="C380" s="16"/>
      <c r="D380" s="16" t="s">
        <v>2186</v>
      </c>
      <c r="E380" s="16" t="s">
        <v>1779</v>
      </c>
      <c r="F380" s="16" t="s">
        <v>133</v>
      </c>
      <c r="G380" s="16" t="s">
        <v>661</v>
      </c>
      <c r="J380" s="16" t="s">
        <v>33</v>
      </c>
    </row>
    <row r="381" spans="1:10" hidden="1" x14ac:dyDescent="0.3">
      <c r="A381" s="16" t="s">
        <v>2187</v>
      </c>
      <c r="B381" s="16"/>
      <c r="C381" s="16"/>
      <c r="D381" s="16" t="s">
        <v>2188</v>
      </c>
      <c r="E381" s="16" t="s">
        <v>1779</v>
      </c>
      <c r="F381" s="16" t="s">
        <v>133</v>
      </c>
      <c r="G381" s="16" t="s">
        <v>661</v>
      </c>
      <c r="J381" s="16" t="s">
        <v>33</v>
      </c>
    </row>
    <row r="382" spans="1:10" hidden="1" x14ac:dyDescent="0.3">
      <c r="A382" s="16" t="s">
        <v>2187</v>
      </c>
      <c r="B382" s="16"/>
      <c r="C382" s="16"/>
      <c r="D382" s="16" t="s">
        <v>2189</v>
      </c>
      <c r="E382" s="16" t="s">
        <v>1915</v>
      </c>
      <c r="F382" s="16" t="s">
        <v>133</v>
      </c>
      <c r="G382" s="16" t="s">
        <v>661</v>
      </c>
      <c r="J382" s="16" t="s">
        <v>33</v>
      </c>
    </row>
    <row r="383" spans="1:10" hidden="1" x14ac:dyDescent="0.3">
      <c r="A383" s="16" t="s">
        <v>2190</v>
      </c>
      <c r="B383" s="16"/>
      <c r="C383" s="16"/>
      <c r="D383" s="16" t="s">
        <v>2191</v>
      </c>
      <c r="E383" s="16" t="s">
        <v>1779</v>
      </c>
      <c r="F383" s="16" t="s">
        <v>133</v>
      </c>
      <c r="G383" s="16" t="s">
        <v>661</v>
      </c>
      <c r="J383" s="16" t="s">
        <v>33</v>
      </c>
    </row>
    <row r="384" spans="1:10" hidden="1" x14ac:dyDescent="0.3">
      <c r="A384" s="16" t="s">
        <v>2192</v>
      </c>
      <c r="B384" s="16"/>
      <c r="C384" s="16"/>
      <c r="D384" s="16" t="s">
        <v>2193</v>
      </c>
      <c r="E384" s="16" t="s">
        <v>1779</v>
      </c>
      <c r="F384" s="16" t="s">
        <v>133</v>
      </c>
      <c r="G384" s="16" t="s">
        <v>661</v>
      </c>
      <c r="J384" s="16" t="s">
        <v>33</v>
      </c>
    </row>
    <row r="385" spans="1:10" hidden="1" x14ac:dyDescent="0.3">
      <c r="A385" s="16" t="s">
        <v>2192</v>
      </c>
      <c r="B385" s="16"/>
      <c r="C385" s="16"/>
      <c r="D385" s="16" t="s">
        <v>2194</v>
      </c>
      <c r="E385" s="16" t="s">
        <v>1915</v>
      </c>
      <c r="F385" s="16" t="s">
        <v>133</v>
      </c>
      <c r="G385" s="16" t="s">
        <v>661</v>
      </c>
      <c r="J385" s="16" t="s">
        <v>33</v>
      </c>
    </row>
    <row r="386" spans="1:10" hidden="1" x14ac:dyDescent="0.3">
      <c r="A386" s="16" t="s">
        <v>2195</v>
      </c>
      <c r="B386" s="16"/>
      <c r="C386" s="16"/>
      <c r="D386" s="16" t="s">
        <v>2196</v>
      </c>
      <c r="E386" s="16" t="s">
        <v>1779</v>
      </c>
      <c r="F386" s="16" t="s">
        <v>133</v>
      </c>
      <c r="G386" s="16" t="s">
        <v>661</v>
      </c>
      <c r="J386" s="16" t="s">
        <v>33</v>
      </c>
    </row>
    <row r="387" spans="1:10" hidden="1" x14ac:dyDescent="0.3">
      <c r="A387" s="16" t="s">
        <v>2197</v>
      </c>
      <c r="B387" s="16"/>
      <c r="C387" s="16"/>
      <c r="D387" s="16" t="s">
        <v>2198</v>
      </c>
      <c r="E387" s="16" t="s">
        <v>1808</v>
      </c>
      <c r="F387" s="16" t="s">
        <v>133</v>
      </c>
      <c r="G387" s="16" t="s">
        <v>661</v>
      </c>
      <c r="J387" s="16" t="s">
        <v>33</v>
      </c>
    </row>
    <row r="388" spans="1:10" hidden="1" x14ac:dyDescent="0.3">
      <c r="A388" s="16" t="s">
        <v>2197</v>
      </c>
      <c r="B388" s="16"/>
      <c r="C388" s="16"/>
      <c r="D388" s="16" t="s">
        <v>2199</v>
      </c>
      <c r="E388" s="16" t="s">
        <v>1782</v>
      </c>
      <c r="F388" s="16" t="s">
        <v>133</v>
      </c>
      <c r="G388" s="16" t="s">
        <v>661</v>
      </c>
      <c r="J388" s="16" t="s">
        <v>33</v>
      </c>
    </row>
    <row r="389" spans="1:10" hidden="1" x14ac:dyDescent="0.3">
      <c r="A389" s="16" t="s">
        <v>2200</v>
      </c>
      <c r="B389" s="16"/>
      <c r="C389" s="16"/>
      <c r="D389" s="16" t="s">
        <v>2201</v>
      </c>
      <c r="E389" s="16" t="s">
        <v>1808</v>
      </c>
      <c r="F389" s="16" t="s">
        <v>133</v>
      </c>
      <c r="G389" s="16" t="s">
        <v>661</v>
      </c>
      <c r="J389" s="16" t="s">
        <v>33</v>
      </c>
    </row>
    <row r="390" spans="1:10" hidden="1" x14ac:dyDescent="0.3">
      <c r="A390" s="16" t="s">
        <v>2202</v>
      </c>
      <c r="B390" s="16"/>
      <c r="C390" s="16"/>
      <c r="D390" s="16" t="s">
        <v>2203</v>
      </c>
      <c r="E390" s="16" t="s">
        <v>1808</v>
      </c>
      <c r="F390" s="16" t="s">
        <v>133</v>
      </c>
      <c r="G390" s="16" t="s">
        <v>661</v>
      </c>
      <c r="J390" s="16" t="s">
        <v>33</v>
      </c>
    </row>
    <row r="391" spans="1:10" hidden="1" x14ac:dyDescent="0.3">
      <c r="A391" s="16" t="s">
        <v>2204</v>
      </c>
      <c r="B391" s="16"/>
      <c r="C391" s="16"/>
      <c r="D391" s="16" t="s">
        <v>2205</v>
      </c>
      <c r="E391" s="16" t="s">
        <v>1782</v>
      </c>
      <c r="F391" s="16" t="s">
        <v>133</v>
      </c>
      <c r="G391" s="16" t="s">
        <v>661</v>
      </c>
      <c r="J391" s="16" t="s">
        <v>33</v>
      </c>
    </row>
    <row r="392" spans="1:10" hidden="1" x14ac:dyDescent="0.3">
      <c r="A392" s="16" t="s">
        <v>2206</v>
      </c>
      <c r="B392" s="16"/>
      <c r="C392" s="16"/>
      <c r="D392" s="16" t="s">
        <v>2207</v>
      </c>
      <c r="E392" s="16" t="s">
        <v>1808</v>
      </c>
      <c r="F392" s="16" t="s">
        <v>133</v>
      </c>
      <c r="G392" s="16" t="s">
        <v>661</v>
      </c>
      <c r="J392" s="16" t="s">
        <v>33</v>
      </c>
    </row>
    <row r="393" spans="1:10" hidden="1" x14ac:dyDescent="0.3">
      <c r="A393" s="16" t="s">
        <v>2208</v>
      </c>
      <c r="B393" s="16"/>
      <c r="C393" s="16"/>
      <c r="D393" s="16" t="s">
        <v>2209</v>
      </c>
      <c r="E393" s="16" t="s">
        <v>1769</v>
      </c>
      <c r="F393" s="16" t="s">
        <v>133</v>
      </c>
      <c r="G393" s="16" t="s">
        <v>661</v>
      </c>
      <c r="J393" s="16" t="s">
        <v>33</v>
      </c>
    </row>
    <row r="394" spans="1:10" hidden="1" x14ac:dyDescent="0.3">
      <c r="A394" s="16" t="s">
        <v>2210</v>
      </c>
      <c r="B394" s="16"/>
      <c r="C394" s="16"/>
      <c r="D394" s="16" t="s">
        <v>2211</v>
      </c>
      <c r="E394" s="16" t="s">
        <v>1769</v>
      </c>
      <c r="F394" s="16" t="s">
        <v>133</v>
      </c>
      <c r="G394" s="16" t="s">
        <v>661</v>
      </c>
      <c r="J394" s="16" t="s">
        <v>33</v>
      </c>
    </row>
    <row r="395" spans="1:10" hidden="1" x14ac:dyDescent="0.3">
      <c r="A395" s="16" t="s">
        <v>1117</v>
      </c>
      <c r="B395" s="16"/>
      <c r="C395" s="16"/>
      <c r="D395" s="16" t="s">
        <v>1118</v>
      </c>
      <c r="E395" s="16" t="s">
        <v>2092</v>
      </c>
      <c r="F395" s="16" t="s">
        <v>18</v>
      </c>
      <c r="G395" s="16" t="s">
        <v>539</v>
      </c>
      <c r="I395" s="16" t="s">
        <v>1103</v>
      </c>
      <c r="J395" s="16" t="s">
        <v>33</v>
      </c>
    </row>
    <row r="396" spans="1:10" hidden="1" x14ac:dyDescent="0.3">
      <c r="A396" s="16" t="s">
        <v>1191</v>
      </c>
      <c r="B396" s="16"/>
      <c r="C396" s="16"/>
      <c r="D396" s="16" t="s">
        <v>1192</v>
      </c>
      <c r="E396" s="16" t="s">
        <v>1769</v>
      </c>
      <c r="F396" s="16" t="s">
        <v>18</v>
      </c>
      <c r="G396" s="16" t="s">
        <v>539</v>
      </c>
      <c r="I396" s="16" t="s">
        <v>1103</v>
      </c>
      <c r="J396" s="16" t="s">
        <v>33</v>
      </c>
    </row>
    <row r="397" spans="1:10" x14ac:dyDescent="0.3">
      <c r="A397" s="16" t="s">
        <v>2212</v>
      </c>
      <c r="B397" s="16"/>
      <c r="C397" s="16"/>
      <c r="D397" s="16" t="s">
        <v>2213</v>
      </c>
      <c r="E397" s="16" t="s">
        <v>1779</v>
      </c>
      <c r="F397" s="16" t="s">
        <v>133</v>
      </c>
      <c r="G397" s="16" t="s">
        <v>539</v>
      </c>
      <c r="J397" s="16" t="s">
        <v>33</v>
      </c>
    </row>
    <row r="398" spans="1:10" hidden="1" x14ac:dyDescent="0.3">
      <c r="A398" s="16" t="s">
        <v>1491</v>
      </c>
      <c r="B398" s="16"/>
      <c r="C398" s="16"/>
      <c r="D398" s="16" t="s">
        <v>1492</v>
      </c>
      <c r="E398" s="16" t="s">
        <v>1779</v>
      </c>
      <c r="F398" s="16" t="s">
        <v>18</v>
      </c>
      <c r="G398" s="16" t="s">
        <v>539</v>
      </c>
      <c r="I398" s="16" t="s">
        <v>1103</v>
      </c>
      <c r="J398" s="16" t="s">
        <v>33</v>
      </c>
    </row>
    <row r="399" spans="1:10" hidden="1" x14ac:dyDescent="0.3">
      <c r="A399" s="16" t="s">
        <v>2214</v>
      </c>
      <c r="B399" s="16"/>
      <c r="C399" s="16"/>
      <c r="D399" s="16" t="s">
        <v>2215</v>
      </c>
      <c r="E399" s="16" t="s">
        <v>1779</v>
      </c>
      <c r="F399" s="16" t="s">
        <v>133</v>
      </c>
      <c r="G399" s="16" t="s">
        <v>539</v>
      </c>
      <c r="J399" s="16" t="s">
        <v>33</v>
      </c>
    </row>
    <row r="400" spans="1:10" hidden="1" x14ac:dyDescent="0.3">
      <c r="A400" s="16" t="s">
        <v>2216</v>
      </c>
      <c r="B400" s="16"/>
      <c r="C400" s="16"/>
      <c r="D400" s="16" t="s">
        <v>2217</v>
      </c>
      <c r="E400" s="16" t="s">
        <v>1779</v>
      </c>
      <c r="F400" s="16" t="s">
        <v>133</v>
      </c>
      <c r="G400" s="16" t="s">
        <v>1791</v>
      </c>
      <c r="J400" s="16" t="s">
        <v>33</v>
      </c>
    </row>
    <row r="401" spans="1:12" hidden="1" x14ac:dyDescent="0.3">
      <c r="A401" s="16" t="s">
        <v>2218</v>
      </c>
      <c r="B401" s="16"/>
      <c r="C401" s="16"/>
      <c r="D401" s="16" t="s">
        <v>2219</v>
      </c>
      <c r="E401" s="16" t="s">
        <v>1778</v>
      </c>
      <c r="F401" s="16" t="s">
        <v>18</v>
      </c>
      <c r="G401" s="16" t="s">
        <v>539</v>
      </c>
      <c r="I401" s="16" t="s">
        <v>1770</v>
      </c>
      <c r="J401" s="16" t="s">
        <v>33</v>
      </c>
    </row>
    <row r="402" spans="1:12" hidden="1" x14ac:dyDescent="0.3">
      <c r="A402" s="16" t="s">
        <v>1293</v>
      </c>
      <c r="B402" s="16"/>
      <c r="C402" s="16"/>
      <c r="D402" s="16" t="s">
        <v>1294</v>
      </c>
      <c r="E402" s="16" t="s">
        <v>1778</v>
      </c>
      <c r="F402" s="16" t="s">
        <v>18</v>
      </c>
      <c r="G402" s="16" t="s">
        <v>555</v>
      </c>
      <c r="I402" s="16" t="s">
        <v>1127</v>
      </c>
      <c r="J402" s="16" t="s">
        <v>33</v>
      </c>
    </row>
    <row r="403" spans="1:12" hidden="1" x14ac:dyDescent="0.3">
      <c r="A403" s="16" t="s">
        <v>2220</v>
      </c>
      <c r="B403" s="16"/>
      <c r="C403" s="16"/>
      <c r="D403" s="16" t="s">
        <v>2221</v>
      </c>
      <c r="E403" s="16" t="s">
        <v>1779</v>
      </c>
      <c r="F403" s="16" t="s">
        <v>388</v>
      </c>
      <c r="G403" s="16" t="s">
        <v>539</v>
      </c>
      <c r="J403" s="16" t="s">
        <v>33</v>
      </c>
      <c r="L403" s="16" t="s">
        <v>32</v>
      </c>
    </row>
    <row r="404" spans="1:12" hidden="1" x14ac:dyDescent="0.3">
      <c r="A404" s="16" t="s">
        <v>1295</v>
      </c>
      <c r="B404" s="16"/>
      <c r="C404" s="16"/>
      <c r="D404" s="16" t="s">
        <v>1296</v>
      </c>
      <c r="E404" s="16" t="s">
        <v>1778</v>
      </c>
      <c r="F404" s="16" t="s">
        <v>18</v>
      </c>
      <c r="G404" s="16" t="s">
        <v>539</v>
      </c>
      <c r="I404" s="16" t="s">
        <v>1127</v>
      </c>
      <c r="J404" s="16" t="s">
        <v>33</v>
      </c>
    </row>
    <row r="405" spans="1:12" hidden="1" x14ac:dyDescent="0.3">
      <c r="A405" s="16" t="s">
        <v>2222</v>
      </c>
      <c r="B405" s="16"/>
      <c r="C405" s="16"/>
      <c r="D405" s="16" t="s">
        <v>2223</v>
      </c>
      <c r="E405" s="16" t="s">
        <v>1779</v>
      </c>
      <c r="F405" s="16" t="s">
        <v>388</v>
      </c>
      <c r="G405" s="16" t="s">
        <v>539</v>
      </c>
      <c r="J405" s="16" t="s">
        <v>33</v>
      </c>
      <c r="L405" s="16" t="s">
        <v>32</v>
      </c>
    </row>
    <row r="406" spans="1:12" hidden="1" x14ac:dyDescent="0.3">
      <c r="A406" s="16" t="s">
        <v>2224</v>
      </c>
      <c r="B406" s="16"/>
      <c r="C406" s="16"/>
      <c r="D406" s="16" t="s">
        <v>2225</v>
      </c>
      <c r="E406" s="16" t="s">
        <v>1779</v>
      </c>
      <c r="F406" s="16" t="s">
        <v>388</v>
      </c>
      <c r="G406" s="16" t="s">
        <v>539</v>
      </c>
      <c r="J406" s="16" t="s">
        <v>33</v>
      </c>
      <c r="L406" s="16" t="s">
        <v>32</v>
      </c>
    </row>
    <row r="407" spans="1:12" hidden="1" x14ac:dyDescent="0.3">
      <c r="A407" s="16" t="s">
        <v>2224</v>
      </c>
      <c r="B407" s="16"/>
      <c r="C407" s="16"/>
      <c r="D407" s="16" t="s">
        <v>2225</v>
      </c>
      <c r="E407" s="16" t="s">
        <v>1777</v>
      </c>
      <c r="F407" s="16" t="s">
        <v>388</v>
      </c>
      <c r="G407" s="16" t="s">
        <v>539</v>
      </c>
      <c r="J407" s="16" t="s">
        <v>33</v>
      </c>
      <c r="L407" s="16" t="s">
        <v>32</v>
      </c>
    </row>
    <row r="408" spans="1:12" hidden="1" x14ac:dyDescent="0.3">
      <c r="A408" s="16" t="s">
        <v>2226</v>
      </c>
      <c r="B408" s="16"/>
      <c r="C408" s="16"/>
      <c r="D408" s="16" t="s">
        <v>2227</v>
      </c>
      <c r="E408" s="16" t="s">
        <v>1808</v>
      </c>
      <c r="F408" s="16" t="s">
        <v>133</v>
      </c>
      <c r="G408" s="16" t="s">
        <v>1791</v>
      </c>
      <c r="J408" s="16" t="s">
        <v>33</v>
      </c>
    </row>
    <row r="409" spans="1:12" hidden="1" x14ac:dyDescent="0.3">
      <c r="A409" s="16" t="s">
        <v>321</v>
      </c>
      <c r="B409" s="16"/>
      <c r="C409" s="16"/>
      <c r="D409" s="16" t="s">
        <v>184</v>
      </c>
      <c r="E409" s="16" t="s">
        <v>1779</v>
      </c>
      <c r="F409" s="16" t="s">
        <v>18</v>
      </c>
      <c r="G409" s="16" t="s">
        <v>617</v>
      </c>
      <c r="I409" s="16" t="s">
        <v>1127</v>
      </c>
      <c r="J409" s="16" t="s">
        <v>33</v>
      </c>
    </row>
    <row r="410" spans="1:12" hidden="1" x14ac:dyDescent="0.3">
      <c r="A410" s="16" t="s">
        <v>2228</v>
      </c>
      <c r="B410" s="16"/>
      <c r="C410" s="16"/>
      <c r="D410" s="16" t="s">
        <v>2229</v>
      </c>
      <c r="E410" s="16" t="s">
        <v>1779</v>
      </c>
      <c r="F410" s="16" t="s">
        <v>388</v>
      </c>
      <c r="G410" s="16" t="s">
        <v>539</v>
      </c>
      <c r="J410" s="16" t="s">
        <v>33</v>
      </c>
      <c r="L410" s="16" t="s">
        <v>1988</v>
      </c>
    </row>
    <row r="411" spans="1:12" hidden="1" x14ac:dyDescent="0.3">
      <c r="A411" s="16" t="s">
        <v>1731</v>
      </c>
      <c r="B411" s="16"/>
      <c r="C411" s="16"/>
      <c r="D411" s="16" t="s">
        <v>124</v>
      </c>
      <c r="E411" s="16" t="s">
        <v>1779</v>
      </c>
      <c r="F411" s="16" t="s">
        <v>133</v>
      </c>
      <c r="G411" s="16" t="s">
        <v>539</v>
      </c>
      <c r="J411" s="16" t="s">
        <v>33</v>
      </c>
    </row>
    <row r="412" spans="1:12" hidden="1" x14ac:dyDescent="0.3">
      <c r="A412" s="16" t="s">
        <v>1731</v>
      </c>
      <c r="B412" s="16"/>
      <c r="C412" s="16"/>
      <c r="D412" s="16" t="s">
        <v>1633</v>
      </c>
      <c r="E412" s="16" t="s">
        <v>1779</v>
      </c>
      <c r="F412" s="16" t="s">
        <v>18</v>
      </c>
      <c r="G412" s="16" t="s">
        <v>539</v>
      </c>
      <c r="I412" s="16" t="s">
        <v>1103</v>
      </c>
      <c r="J412" s="16" t="s">
        <v>33</v>
      </c>
    </row>
    <row r="413" spans="1:12" hidden="1" x14ac:dyDescent="0.3">
      <c r="A413" s="16" t="s">
        <v>326</v>
      </c>
      <c r="B413" s="16"/>
      <c r="C413" s="16"/>
      <c r="D413" s="16" t="s">
        <v>327</v>
      </c>
      <c r="E413" s="16" t="s">
        <v>1779</v>
      </c>
      <c r="F413" s="16" t="s">
        <v>18</v>
      </c>
      <c r="G413" s="16" t="s">
        <v>539</v>
      </c>
      <c r="I413" s="16" t="s">
        <v>1127</v>
      </c>
      <c r="J413" s="16" t="s">
        <v>33</v>
      </c>
    </row>
    <row r="414" spans="1:12" hidden="1" x14ac:dyDescent="0.3">
      <c r="A414" s="16" t="s">
        <v>1493</v>
      </c>
      <c r="B414" s="16"/>
      <c r="C414" s="16"/>
      <c r="D414" s="16" t="s">
        <v>1494</v>
      </c>
      <c r="E414" s="16" t="s">
        <v>1779</v>
      </c>
      <c r="F414" s="16" t="s">
        <v>18</v>
      </c>
      <c r="G414" s="16" t="s">
        <v>539</v>
      </c>
      <c r="I414" s="16" t="s">
        <v>1127</v>
      </c>
      <c r="J414" s="16" t="s">
        <v>33</v>
      </c>
    </row>
    <row r="415" spans="1:12" hidden="1" x14ac:dyDescent="0.3">
      <c r="A415" s="16" t="s">
        <v>2230</v>
      </c>
      <c r="B415" s="16"/>
      <c r="C415" s="16"/>
      <c r="D415" s="16" t="s">
        <v>2231</v>
      </c>
      <c r="E415" s="16" t="s">
        <v>1779</v>
      </c>
      <c r="F415" s="16" t="s">
        <v>18</v>
      </c>
      <c r="G415" s="16" t="s">
        <v>539</v>
      </c>
      <c r="I415" s="16" t="s">
        <v>1770</v>
      </c>
      <c r="J415" s="16" t="s">
        <v>33</v>
      </c>
    </row>
    <row r="416" spans="1:12" hidden="1" x14ac:dyDescent="0.3">
      <c r="A416" s="16" t="s">
        <v>2230</v>
      </c>
      <c r="B416" s="16"/>
      <c r="C416" s="16"/>
      <c r="D416" s="16" t="s">
        <v>2232</v>
      </c>
      <c r="E416" s="16" t="s">
        <v>1778</v>
      </c>
      <c r="F416" s="16" t="s">
        <v>18</v>
      </c>
      <c r="G416" s="16" t="s">
        <v>539</v>
      </c>
      <c r="I416" s="16" t="s">
        <v>1770</v>
      </c>
      <c r="J416" s="16" t="s">
        <v>33</v>
      </c>
    </row>
    <row r="417" spans="1:13" hidden="1" x14ac:dyDescent="0.3">
      <c r="A417" s="16" t="s">
        <v>42</v>
      </c>
      <c r="B417" s="16"/>
      <c r="C417" s="16"/>
      <c r="D417" s="16" t="s">
        <v>2233</v>
      </c>
      <c r="E417" s="16" t="s">
        <v>1778</v>
      </c>
      <c r="F417" s="16" t="s">
        <v>18</v>
      </c>
      <c r="G417" s="16" t="s">
        <v>539</v>
      </c>
      <c r="I417" s="16" t="s">
        <v>1770</v>
      </c>
      <c r="J417" s="16" t="s">
        <v>33</v>
      </c>
    </row>
    <row r="418" spans="1:13" hidden="1" x14ac:dyDescent="0.3">
      <c r="A418" s="16" t="s">
        <v>2234</v>
      </c>
      <c r="B418" s="16"/>
      <c r="C418" s="16"/>
      <c r="D418" s="16" t="s">
        <v>2235</v>
      </c>
      <c r="E418" s="16" t="s">
        <v>1777</v>
      </c>
      <c r="F418" s="16" t="s">
        <v>388</v>
      </c>
      <c r="G418" s="16" t="s">
        <v>539</v>
      </c>
      <c r="J418" s="16" t="s">
        <v>33</v>
      </c>
      <c r="L418" s="16" t="s">
        <v>32</v>
      </c>
    </row>
    <row r="419" spans="1:13" hidden="1" x14ac:dyDescent="0.3">
      <c r="A419" s="16" t="s">
        <v>1174</v>
      </c>
      <c r="B419" s="16"/>
      <c r="C419" s="16"/>
      <c r="D419" s="16" t="s">
        <v>1175</v>
      </c>
      <c r="E419" s="16" t="s">
        <v>1777</v>
      </c>
      <c r="F419" s="16" t="s">
        <v>18</v>
      </c>
      <c r="G419" s="16" t="s">
        <v>539</v>
      </c>
      <c r="I419" s="16" t="s">
        <v>1127</v>
      </c>
      <c r="J419" s="16" t="s">
        <v>33</v>
      </c>
    </row>
    <row r="420" spans="1:13" hidden="1" x14ac:dyDescent="0.3">
      <c r="A420" s="16" t="s">
        <v>1174</v>
      </c>
      <c r="B420" s="16"/>
      <c r="C420" s="16"/>
      <c r="D420" s="16" t="s">
        <v>1297</v>
      </c>
      <c r="E420" s="16" t="s">
        <v>1778</v>
      </c>
      <c r="F420" s="16" t="s">
        <v>18</v>
      </c>
      <c r="G420" s="16" t="s">
        <v>539</v>
      </c>
      <c r="I420" s="16" t="s">
        <v>1127</v>
      </c>
      <c r="J420" s="16" t="s">
        <v>33</v>
      </c>
    </row>
    <row r="421" spans="1:13" hidden="1" x14ac:dyDescent="0.3">
      <c r="A421" s="16" t="s">
        <v>1176</v>
      </c>
      <c r="B421" s="16"/>
      <c r="C421" s="16"/>
      <c r="D421" s="16" t="s">
        <v>1177</v>
      </c>
      <c r="E421" s="16" t="s">
        <v>1777</v>
      </c>
      <c r="F421" s="16" t="s">
        <v>18</v>
      </c>
      <c r="G421" s="16" t="s">
        <v>539</v>
      </c>
      <c r="I421" s="16" t="s">
        <v>1127</v>
      </c>
      <c r="J421" s="16" t="s">
        <v>33</v>
      </c>
    </row>
    <row r="422" spans="1:13" hidden="1" x14ac:dyDescent="0.3">
      <c r="A422" s="16" t="s">
        <v>1176</v>
      </c>
      <c r="B422" s="16"/>
      <c r="C422" s="16"/>
      <c r="D422" s="16" t="s">
        <v>1298</v>
      </c>
      <c r="E422" s="16" t="s">
        <v>1778</v>
      </c>
      <c r="F422" s="16" t="s">
        <v>18</v>
      </c>
      <c r="G422" s="16" t="s">
        <v>539</v>
      </c>
      <c r="I422" s="16" t="s">
        <v>1127</v>
      </c>
      <c r="J422" s="16" t="s">
        <v>33</v>
      </c>
    </row>
    <row r="423" spans="1:13" hidden="1" x14ac:dyDescent="0.3">
      <c r="A423" s="16" t="s">
        <v>2236</v>
      </c>
      <c r="B423" s="16"/>
      <c r="C423" s="16"/>
      <c r="D423" s="16" t="s">
        <v>2237</v>
      </c>
      <c r="E423" s="16" t="s">
        <v>1782</v>
      </c>
      <c r="F423" s="16" t="s">
        <v>133</v>
      </c>
      <c r="G423" s="16" t="s">
        <v>588</v>
      </c>
      <c r="J423" s="16" t="s">
        <v>33</v>
      </c>
    </row>
    <row r="424" spans="1:13" hidden="1" x14ac:dyDescent="0.3">
      <c r="A424" s="16" t="s">
        <v>2238</v>
      </c>
      <c r="B424" s="16"/>
      <c r="C424" s="16"/>
      <c r="D424" s="16" t="s">
        <v>2239</v>
      </c>
      <c r="E424" s="16" t="s">
        <v>1779</v>
      </c>
      <c r="F424" s="16" t="s">
        <v>388</v>
      </c>
      <c r="G424" s="16" t="s">
        <v>539</v>
      </c>
      <c r="J424" s="16" t="s">
        <v>33</v>
      </c>
      <c r="L424" s="16" t="s">
        <v>32</v>
      </c>
    </row>
    <row r="425" spans="1:13" hidden="1" x14ac:dyDescent="0.3">
      <c r="A425" s="16" t="s">
        <v>2238</v>
      </c>
      <c r="B425" s="16"/>
      <c r="C425" s="16"/>
      <c r="D425" s="16" t="s">
        <v>2239</v>
      </c>
      <c r="E425" s="16" t="s">
        <v>1777</v>
      </c>
      <c r="F425" s="16" t="s">
        <v>388</v>
      </c>
      <c r="G425" s="16" t="s">
        <v>539</v>
      </c>
      <c r="J425" s="16" t="s">
        <v>33</v>
      </c>
      <c r="L425" s="16" t="s">
        <v>32</v>
      </c>
    </row>
    <row r="426" spans="1:13" hidden="1" x14ac:dyDescent="0.3">
      <c r="A426" s="16" t="s">
        <v>2240</v>
      </c>
      <c r="B426" s="16"/>
      <c r="C426" s="16"/>
      <c r="D426" s="16" t="s">
        <v>2241</v>
      </c>
      <c r="E426" s="16" t="s">
        <v>1782</v>
      </c>
      <c r="F426" s="16" t="s">
        <v>133</v>
      </c>
      <c r="G426" s="16" t="s">
        <v>1791</v>
      </c>
      <c r="J426" s="16" t="s">
        <v>33</v>
      </c>
    </row>
    <row r="427" spans="1:13" hidden="1" x14ac:dyDescent="0.3">
      <c r="A427" s="16" t="s">
        <v>2242</v>
      </c>
      <c r="B427" s="16"/>
      <c r="C427" s="16"/>
      <c r="D427" s="16" t="s">
        <v>2243</v>
      </c>
      <c r="E427" s="16" t="s">
        <v>1779</v>
      </c>
      <c r="F427" s="16" t="s">
        <v>133</v>
      </c>
      <c r="G427" s="16" t="s">
        <v>661</v>
      </c>
      <c r="J427" s="16" t="s">
        <v>33</v>
      </c>
    </row>
    <row r="428" spans="1:13" hidden="1" x14ac:dyDescent="0.3">
      <c r="A428" s="16" t="s">
        <v>2244</v>
      </c>
      <c r="B428" s="16"/>
      <c r="C428" s="16"/>
      <c r="D428" s="16" t="s">
        <v>2245</v>
      </c>
      <c r="E428" s="16" t="s">
        <v>1779</v>
      </c>
      <c r="F428" s="16" t="s">
        <v>133</v>
      </c>
      <c r="G428" s="16" t="s">
        <v>661</v>
      </c>
      <c r="J428" s="16" t="s">
        <v>33</v>
      </c>
    </row>
    <row r="429" spans="1:13" hidden="1" x14ac:dyDescent="0.3">
      <c r="A429" s="16" t="s">
        <v>2246</v>
      </c>
      <c r="B429" s="16"/>
      <c r="C429" s="16"/>
      <c r="D429" s="16" t="s">
        <v>2247</v>
      </c>
      <c r="E429" s="16" t="s">
        <v>1779</v>
      </c>
      <c r="F429" s="16" t="s">
        <v>133</v>
      </c>
      <c r="G429" s="16" t="s">
        <v>1791</v>
      </c>
      <c r="J429" s="16" t="s">
        <v>33</v>
      </c>
    </row>
    <row r="430" spans="1:13" hidden="1" x14ac:dyDescent="0.3">
      <c r="A430" s="16" t="s">
        <v>2248</v>
      </c>
      <c r="B430" s="16"/>
      <c r="C430" s="16"/>
      <c r="D430" s="16" t="s">
        <v>2249</v>
      </c>
      <c r="E430" s="16" t="s">
        <v>1779</v>
      </c>
      <c r="F430" s="16" t="s">
        <v>133</v>
      </c>
      <c r="G430" s="16" t="s">
        <v>661</v>
      </c>
      <c r="J430" s="16" t="s">
        <v>33</v>
      </c>
    </row>
    <row r="431" spans="1:13" hidden="1" x14ac:dyDescent="0.3">
      <c r="A431" s="16" t="s">
        <v>2250</v>
      </c>
      <c r="B431" s="16"/>
      <c r="C431" s="16"/>
      <c r="D431" s="16" t="s">
        <v>2251</v>
      </c>
      <c r="E431" s="16" t="s">
        <v>1779</v>
      </c>
      <c r="F431" s="16" t="s">
        <v>133</v>
      </c>
      <c r="G431" s="16" t="s">
        <v>661</v>
      </c>
      <c r="J431" s="16" t="s">
        <v>33</v>
      </c>
    </row>
    <row r="432" spans="1:13" hidden="1" x14ac:dyDescent="0.3">
      <c r="A432" s="16" t="s">
        <v>290</v>
      </c>
      <c r="B432" s="16"/>
      <c r="C432" s="16"/>
      <c r="D432" s="16" t="s">
        <v>291</v>
      </c>
      <c r="E432" s="16" t="s">
        <v>1779</v>
      </c>
      <c r="F432" s="16" t="s">
        <v>388</v>
      </c>
      <c r="G432" s="16" t="s">
        <v>539</v>
      </c>
      <c r="J432" s="16" t="s">
        <v>33</v>
      </c>
      <c r="L432" s="16" t="s">
        <v>32</v>
      </c>
      <c r="M432" s="16" t="s">
        <v>913</v>
      </c>
    </row>
    <row r="433" spans="1:10" hidden="1" x14ac:dyDescent="0.3">
      <c r="A433" s="16" t="s">
        <v>2252</v>
      </c>
      <c r="B433" s="16"/>
      <c r="C433" s="16"/>
      <c r="D433" s="16" t="s">
        <v>2253</v>
      </c>
      <c r="E433" s="16" t="s">
        <v>1778</v>
      </c>
      <c r="F433" s="16" t="s">
        <v>50</v>
      </c>
      <c r="G433" s="16" t="s">
        <v>555</v>
      </c>
      <c r="J433" s="16" t="s">
        <v>33</v>
      </c>
    </row>
    <row r="434" spans="1:10" hidden="1" x14ac:dyDescent="0.3">
      <c r="A434" s="16" t="s">
        <v>2252</v>
      </c>
      <c r="B434" s="16"/>
      <c r="C434" s="16"/>
      <c r="D434" s="16" t="s">
        <v>2254</v>
      </c>
      <c r="E434" s="16" t="s">
        <v>1778</v>
      </c>
      <c r="F434" s="16" t="s">
        <v>18</v>
      </c>
      <c r="G434" s="16" t="s">
        <v>555</v>
      </c>
      <c r="I434" s="16" t="s">
        <v>1770</v>
      </c>
      <c r="J434" s="16" t="s">
        <v>33</v>
      </c>
    </row>
    <row r="435" spans="1:10" hidden="1" x14ac:dyDescent="0.3">
      <c r="A435" s="16" t="s">
        <v>2255</v>
      </c>
      <c r="B435" s="16"/>
      <c r="C435" s="16"/>
      <c r="D435" s="16" t="s">
        <v>2256</v>
      </c>
      <c r="E435" s="16" t="s">
        <v>1778</v>
      </c>
      <c r="F435" s="16" t="s">
        <v>50</v>
      </c>
      <c r="G435" s="16" t="s">
        <v>555</v>
      </c>
      <c r="J435" s="16" t="s">
        <v>33</v>
      </c>
    </row>
    <row r="436" spans="1:10" hidden="1" x14ac:dyDescent="0.3">
      <c r="A436" s="16" t="s">
        <v>2255</v>
      </c>
      <c r="B436" s="16"/>
      <c r="C436" s="16"/>
      <c r="D436" s="16" t="s">
        <v>2257</v>
      </c>
      <c r="E436" s="16" t="s">
        <v>1778</v>
      </c>
      <c r="F436" s="16" t="s">
        <v>18</v>
      </c>
      <c r="G436" s="16" t="s">
        <v>555</v>
      </c>
      <c r="I436" s="16" t="s">
        <v>1770</v>
      </c>
      <c r="J436" s="16" t="s">
        <v>33</v>
      </c>
    </row>
    <row r="437" spans="1:10" hidden="1" x14ac:dyDescent="0.3">
      <c r="A437" s="16" t="s">
        <v>2258</v>
      </c>
      <c r="B437" s="16"/>
      <c r="C437" s="16"/>
      <c r="D437" s="16" t="s">
        <v>2259</v>
      </c>
      <c r="E437" s="16" t="s">
        <v>1778</v>
      </c>
      <c r="F437" s="16" t="s">
        <v>2042</v>
      </c>
      <c r="G437" s="16" t="s">
        <v>555</v>
      </c>
      <c r="J437" s="16" t="s">
        <v>33</v>
      </c>
    </row>
    <row r="438" spans="1:10" hidden="1" x14ac:dyDescent="0.3">
      <c r="A438" s="16" t="s">
        <v>2258</v>
      </c>
      <c r="B438" s="16"/>
      <c r="C438" s="16"/>
      <c r="D438" s="16" t="s">
        <v>2260</v>
      </c>
      <c r="E438" s="16" t="s">
        <v>1778</v>
      </c>
      <c r="F438" s="16" t="s">
        <v>18</v>
      </c>
      <c r="G438" s="16" t="s">
        <v>555</v>
      </c>
      <c r="I438" s="16" t="s">
        <v>1770</v>
      </c>
      <c r="J438" s="16" t="s">
        <v>33</v>
      </c>
    </row>
    <row r="439" spans="1:10" hidden="1" x14ac:dyDescent="0.3">
      <c r="A439" s="16" t="s">
        <v>2261</v>
      </c>
      <c r="B439" s="16"/>
      <c r="C439" s="16"/>
      <c r="D439" s="16" t="s">
        <v>2262</v>
      </c>
      <c r="E439" s="16" t="s">
        <v>1778</v>
      </c>
      <c r="F439" s="16" t="s">
        <v>2042</v>
      </c>
      <c r="G439" s="16" t="s">
        <v>555</v>
      </c>
      <c r="J439" s="16" t="s">
        <v>33</v>
      </c>
    </row>
    <row r="440" spans="1:10" hidden="1" x14ac:dyDescent="0.3">
      <c r="A440" s="16" t="s">
        <v>2261</v>
      </c>
      <c r="B440" s="16"/>
      <c r="C440" s="16"/>
      <c r="D440" s="16" t="s">
        <v>2263</v>
      </c>
      <c r="E440" s="16" t="s">
        <v>1778</v>
      </c>
      <c r="F440" s="16" t="s">
        <v>18</v>
      </c>
      <c r="G440" s="16" t="s">
        <v>555</v>
      </c>
      <c r="I440" s="16" t="s">
        <v>1770</v>
      </c>
      <c r="J440" s="16" t="s">
        <v>33</v>
      </c>
    </row>
    <row r="441" spans="1:10" hidden="1" x14ac:dyDescent="0.3">
      <c r="A441" s="16" t="s">
        <v>2264</v>
      </c>
      <c r="B441" s="16"/>
      <c r="C441" s="16"/>
      <c r="D441" s="16" t="s">
        <v>2265</v>
      </c>
      <c r="E441" s="16" t="s">
        <v>1778</v>
      </c>
      <c r="F441" s="16" t="s">
        <v>2042</v>
      </c>
      <c r="G441" s="16" t="s">
        <v>555</v>
      </c>
      <c r="J441" s="16" t="s">
        <v>33</v>
      </c>
    </row>
    <row r="442" spans="1:10" hidden="1" x14ac:dyDescent="0.3">
      <c r="A442" s="16" t="s">
        <v>2264</v>
      </c>
      <c r="B442" s="16"/>
      <c r="C442" s="16"/>
      <c r="D442" s="16" t="s">
        <v>2266</v>
      </c>
      <c r="E442" s="16" t="s">
        <v>1778</v>
      </c>
      <c r="F442" s="16" t="s">
        <v>18</v>
      </c>
      <c r="G442" s="16" t="s">
        <v>555</v>
      </c>
      <c r="I442" s="16" t="s">
        <v>1770</v>
      </c>
      <c r="J442" s="16" t="s">
        <v>33</v>
      </c>
    </row>
    <row r="443" spans="1:10" hidden="1" x14ac:dyDescent="0.3">
      <c r="A443" s="16" t="s">
        <v>2267</v>
      </c>
      <c r="B443" s="16"/>
      <c r="C443" s="16"/>
      <c r="D443" s="16" t="s">
        <v>2268</v>
      </c>
      <c r="E443" s="16" t="s">
        <v>1778</v>
      </c>
      <c r="F443" s="16" t="s">
        <v>50</v>
      </c>
      <c r="G443" s="16" t="s">
        <v>555</v>
      </c>
      <c r="J443" s="16" t="s">
        <v>33</v>
      </c>
    </row>
    <row r="444" spans="1:10" hidden="1" x14ac:dyDescent="0.3">
      <c r="A444" s="16" t="s">
        <v>2267</v>
      </c>
      <c r="B444" s="16"/>
      <c r="C444" s="16"/>
      <c r="D444" s="16" t="s">
        <v>2269</v>
      </c>
      <c r="E444" s="16" t="s">
        <v>1778</v>
      </c>
      <c r="F444" s="16" t="s">
        <v>18</v>
      </c>
      <c r="G444" s="16" t="s">
        <v>555</v>
      </c>
      <c r="I444" s="16" t="s">
        <v>1770</v>
      </c>
      <c r="J444" s="16" t="s">
        <v>33</v>
      </c>
    </row>
    <row r="445" spans="1:10" hidden="1" x14ac:dyDescent="0.3">
      <c r="A445" s="16" t="s">
        <v>2270</v>
      </c>
      <c r="B445" s="16"/>
      <c r="C445" s="16"/>
      <c r="D445" s="16" t="s">
        <v>2271</v>
      </c>
      <c r="E445" s="16" t="s">
        <v>1778</v>
      </c>
      <c r="F445" s="16" t="s">
        <v>50</v>
      </c>
      <c r="G445" s="16" t="s">
        <v>555</v>
      </c>
      <c r="J445" s="16" t="s">
        <v>33</v>
      </c>
    </row>
    <row r="446" spans="1:10" hidden="1" x14ac:dyDescent="0.3">
      <c r="A446" s="16" t="s">
        <v>2270</v>
      </c>
      <c r="B446" s="16"/>
      <c r="C446" s="16"/>
      <c r="D446" s="16" t="s">
        <v>2272</v>
      </c>
      <c r="E446" s="16" t="s">
        <v>1778</v>
      </c>
      <c r="F446" s="16" t="s">
        <v>18</v>
      </c>
      <c r="G446" s="16" t="s">
        <v>555</v>
      </c>
      <c r="I446" s="16" t="s">
        <v>1770</v>
      </c>
      <c r="J446" s="16" t="s">
        <v>33</v>
      </c>
    </row>
    <row r="447" spans="1:10" hidden="1" x14ac:dyDescent="0.3">
      <c r="A447" s="16" t="s">
        <v>2273</v>
      </c>
      <c r="B447" s="16"/>
      <c r="C447" s="16"/>
      <c r="D447" s="16" t="s">
        <v>2274</v>
      </c>
      <c r="E447" s="16" t="s">
        <v>1778</v>
      </c>
      <c r="F447" s="16" t="s">
        <v>2042</v>
      </c>
      <c r="G447" s="16" t="s">
        <v>555</v>
      </c>
      <c r="J447" s="16" t="s">
        <v>33</v>
      </c>
    </row>
    <row r="448" spans="1:10" hidden="1" x14ac:dyDescent="0.3">
      <c r="A448" s="16" t="s">
        <v>2273</v>
      </c>
      <c r="B448" s="16"/>
      <c r="C448" s="16"/>
      <c r="D448" s="16" t="s">
        <v>2275</v>
      </c>
      <c r="E448" s="16" t="s">
        <v>1778</v>
      </c>
      <c r="F448" s="16" t="s">
        <v>18</v>
      </c>
      <c r="G448" s="16" t="s">
        <v>555</v>
      </c>
      <c r="I448" s="16" t="s">
        <v>1770</v>
      </c>
      <c r="J448" s="16" t="s">
        <v>33</v>
      </c>
    </row>
    <row r="449" spans="1:10" hidden="1" x14ac:dyDescent="0.3">
      <c r="A449" s="16" t="s">
        <v>2276</v>
      </c>
      <c r="B449" s="16"/>
      <c r="C449" s="16"/>
      <c r="D449" s="16" t="s">
        <v>2277</v>
      </c>
      <c r="E449" s="16" t="s">
        <v>1778</v>
      </c>
      <c r="F449" s="16" t="s">
        <v>50</v>
      </c>
      <c r="G449" s="16" t="s">
        <v>555</v>
      </c>
      <c r="J449" s="16" t="s">
        <v>33</v>
      </c>
    </row>
    <row r="450" spans="1:10" hidden="1" x14ac:dyDescent="0.3">
      <c r="A450" s="16" t="s">
        <v>2276</v>
      </c>
      <c r="B450" s="16"/>
      <c r="C450" s="16"/>
      <c r="D450" s="16" t="s">
        <v>2278</v>
      </c>
      <c r="E450" s="16" t="s">
        <v>1778</v>
      </c>
      <c r="F450" s="16" t="s">
        <v>18</v>
      </c>
      <c r="G450" s="16" t="s">
        <v>555</v>
      </c>
      <c r="I450" s="16" t="s">
        <v>1770</v>
      </c>
      <c r="J450" s="16" t="s">
        <v>33</v>
      </c>
    </row>
    <row r="451" spans="1:10" hidden="1" x14ac:dyDescent="0.3">
      <c r="A451" s="16" t="s">
        <v>2279</v>
      </c>
      <c r="B451" s="16"/>
      <c r="C451" s="16"/>
      <c r="D451" s="16" t="s">
        <v>2280</v>
      </c>
      <c r="E451" s="16" t="s">
        <v>1778</v>
      </c>
      <c r="F451" s="16" t="s">
        <v>50</v>
      </c>
      <c r="G451" s="16" t="s">
        <v>555</v>
      </c>
      <c r="J451" s="16" t="s">
        <v>33</v>
      </c>
    </row>
    <row r="452" spans="1:10" hidden="1" x14ac:dyDescent="0.3">
      <c r="A452" s="16" t="s">
        <v>2279</v>
      </c>
      <c r="B452" s="16"/>
      <c r="C452" s="16"/>
      <c r="D452" s="16" t="s">
        <v>2281</v>
      </c>
      <c r="E452" s="16" t="s">
        <v>1778</v>
      </c>
      <c r="F452" s="16" t="s">
        <v>18</v>
      </c>
      <c r="G452" s="16" t="s">
        <v>555</v>
      </c>
      <c r="I452" s="16" t="s">
        <v>1770</v>
      </c>
      <c r="J452" s="16" t="s">
        <v>33</v>
      </c>
    </row>
    <row r="453" spans="1:10" hidden="1" x14ac:dyDescent="0.3">
      <c r="A453" s="16" t="s">
        <v>2282</v>
      </c>
      <c r="B453" s="16"/>
      <c r="C453" s="16"/>
      <c r="D453" s="16" t="s">
        <v>2283</v>
      </c>
      <c r="E453" s="16" t="s">
        <v>1778</v>
      </c>
      <c r="F453" s="16" t="s">
        <v>50</v>
      </c>
      <c r="G453" s="16" t="s">
        <v>555</v>
      </c>
      <c r="J453" s="16" t="s">
        <v>33</v>
      </c>
    </row>
    <row r="454" spans="1:10" hidden="1" x14ac:dyDescent="0.3">
      <c r="A454" s="16" t="s">
        <v>2282</v>
      </c>
      <c r="B454" s="16"/>
      <c r="C454" s="16"/>
      <c r="D454" s="16" t="s">
        <v>2284</v>
      </c>
      <c r="E454" s="16" t="s">
        <v>1778</v>
      </c>
      <c r="F454" s="16" t="s">
        <v>18</v>
      </c>
      <c r="G454" s="16" t="s">
        <v>555</v>
      </c>
      <c r="I454" s="16" t="s">
        <v>1770</v>
      </c>
      <c r="J454" s="16" t="s">
        <v>33</v>
      </c>
    </row>
    <row r="455" spans="1:10" hidden="1" x14ac:dyDescent="0.3">
      <c r="A455" s="16" t="s">
        <v>2285</v>
      </c>
      <c r="B455" s="16"/>
      <c r="C455" s="16"/>
      <c r="D455" s="16" t="s">
        <v>2286</v>
      </c>
      <c r="E455" s="16" t="s">
        <v>1778</v>
      </c>
      <c r="F455" s="16" t="s">
        <v>2042</v>
      </c>
      <c r="G455" s="16" t="s">
        <v>555</v>
      </c>
      <c r="J455" s="16" t="s">
        <v>33</v>
      </c>
    </row>
    <row r="456" spans="1:10" hidden="1" x14ac:dyDescent="0.3">
      <c r="A456" s="16" t="s">
        <v>2285</v>
      </c>
      <c r="B456" s="16"/>
      <c r="C456" s="16"/>
      <c r="D456" s="16" t="s">
        <v>2287</v>
      </c>
      <c r="E456" s="16" t="s">
        <v>1778</v>
      </c>
      <c r="F456" s="16" t="s">
        <v>18</v>
      </c>
      <c r="G456" s="16" t="s">
        <v>555</v>
      </c>
      <c r="I456" s="16" t="s">
        <v>1770</v>
      </c>
      <c r="J456" s="16" t="s">
        <v>33</v>
      </c>
    </row>
    <row r="457" spans="1:10" hidden="1" x14ac:dyDescent="0.3">
      <c r="A457" s="16" t="s">
        <v>2288</v>
      </c>
      <c r="B457" s="16"/>
      <c r="C457" s="16"/>
      <c r="D457" s="16" t="s">
        <v>2289</v>
      </c>
      <c r="E457" s="16" t="s">
        <v>1779</v>
      </c>
      <c r="F457" s="16" t="s">
        <v>133</v>
      </c>
      <c r="G457" s="16" t="s">
        <v>555</v>
      </c>
      <c r="J457" s="16" t="s">
        <v>33</v>
      </c>
    </row>
    <row r="458" spans="1:10" hidden="1" x14ac:dyDescent="0.3">
      <c r="A458" s="16" t="s">
        <v>2290</v>
      </c>
      <c r="B458" s="16"/>
      <c r="C458" s="16"/>
      <c r="D458" s="16" t="s">
        <v>2291</v>
      </c>
      <c r="E458" s="16" t="s">
        <v>1779</v>
      </c>
      <c r="F458" s="16" t="s">
        <v>133</v>
      </c>
      <c r="G458" s="16" t="s">
        <v>555</v>
      </c>
      <c r="J458" s="16" t="s">
        <v>33</v>
      </c>
    </row>
    <row r="459" spans="1:10" hidden="1" x14ac:dyDescent="0.3">
      <c r="A459" s="16" t="s">
        <v>2292</v>
      </c>
      <c r="B459" s="16"/>
      <c r="C459" s="16"/>
      <c r="D459" s="16" t="s">
        <v>2293</v>
      </c>
      <c r="E459" s="16" t="s">
        <v>1779</v>
      </c>
      <c r="F459" s="16" t="s">
        <v>133</v>
      </c>
      <c r="G459" s="16" t="s">
        <v>555</v>
      </c>
      <c r="J459" s="16" t="s">
        <v>33</v>
      </c>
    </row>
    <row r="460" spans="1:10" hidden="1" x14ac:dyDescent="0.3">
      <c r="A460" s="16" t="s">
        <v>2294</v>
      </c>
      <c r="B460" s="16"/>
      <c r="C460" s="16"/>
      <c r="D460" s="16" t="s">
        <v>2295</v>
      </c>
      <c r="E460" s="16" t="s">
        <v>1779</v>
      </c>
      <c r="F460" s="16" t="s">
        <v>133</v>
      </c>
      <c r="G460" s="16" t="s">
        <v>555</v>
      </c>
      <c r="J460" s="16" t="s">
        <v>33</v>
      </c>
    </row>
    <row r="461" spans="1:10" hidden="1" x14ac:dyDescent="0.3">
      <c r="A461" s="16" t="s">
        <v>2296</v>
      </c>
      <c r="B461" s="16"/>
      <c r="C461" s="16"/>
      <c r="D461" s="16" t="s">
        <v>2297</v>
      </c>
      <c r="E461" s="16" t="s">
        <v>1779</v>
      </c>
      <c r="F461" s="16" t="s">
        <v>133</v>
      </c>
      <c r="G461" s="16" t="s">
        <v>555</v>
      </c>
      <c r="J461" s="16" t="s">
        <v>33</v>
      </c>
    </row>
    <row r="462" spans="1:10" hidden="1" x14ac:dyDescent="0.3">
      <c r="A462" s="16" t="s">
        <v>2298</v>
      </c>
      <c r="B462" s="16"/>
      <c r="C462" s="16"/>
      <c r="D462" s="16" t="s">
        <v>2299</v>
      </c>
      <c r="E462" s="16" t="s">
        <v>1779</v>
      </c>
      <c r="F462" s="16" t="s">
        <v>133</v>
      </c>
      <c r="G462" s="16" t="s">
        <v>555</v>
      </c>
      <c r="J462" s="16" t="s">
        <v>33</v>
      </c>
    </row>
    <row r="463" spans="1:10" hidden="1" x14ac:dyDescent="0.3">
      <c r="A463" s="16" t="s">
        <v>2300</v>
      </c>
      <c r="B463" s="16"/>
      <c r="C463" s="16"/>
      <c r="D463" s="16" t="s">
        <v>2301</v>
      </c>
      <c r="E463" s="16" t="s">
        <v>1779</v>
      </c>
      <c r="F463" s="16" t="s">
        <v>133</v>
      </c>
      <c r="G463" s="16" t="s">
        <v>555</v>
      </c>
      <c r="J463" s="16" t="s">
        <v>33</v>
      </c>
    </row>
    <row r="464" spans="1:10" hidden="1" x14ac:dyDescent="0.3">
      <c r="A464" s="16" t="s">
        <v>2302</v>
      </c>
      <c r="B464" s="16"/>
      <c r="C464" s="16"/>
      <c r="D464" s="16" t="s">
        <v>2303</v>
      </c>
      <c r="E464" s="16" t="s">
        <v>1779</v>
      </c>
      <c r="F464" s="16" t="s">
        <v>133</v>
      </c>
      <c r="G464" s="16" t="s">
        <v>555</v>
      </c>
      <c r="J464" s="16" t="s">
        <v>33</v>
      </c>
    </row>
    <row r="465" spans="1:12" hidden="1" x14ac:dyDescent="0.3">
      <c r="A465" s="16" t="s">
        <v>43</v>
      </c>
      <c r="B465" s="16"/>
      <c r="C465" s="16"/>
      <c r="D465" s="16" t="s">
        <v>439</v>
      </c>
      <c r="E465" s="16" t="s">
        <v>1777</v>
      </c>
      <c r="F465" s="16" t="s">
        <v>18</v>
      </c>
      <c r="G465" s="16" t="s">
        <v>539</v>
      </c>
      <c r="I465" s="16" t="s">
        <v>1127</v>
      </c>
      <c r="J465" s="16" t="s">
        <v>33</v>
      </c>
    </row>
    <row r="466" spans="1:12" hidden="1" x14ac:dyDescent="0.3">
      <c r="A466" s="16" t="s">
        <v>43</v>
      </c>
      <c r="B466" s="16"/>
      <c r="C466" s="16"/>
      <c r="D466" s="16" t="s">
        <v>44</v>
      </c>
      <c r="E466" s="16" t="s">
        <v>1778</v>
      </c>
      <c r="F466" s="16" t="s">
        <v>18</v>
      </c>
      <c r="G466" s="16" t="s">
        <v>539</v>
      </c>
      <c r="I466" s="16" t="s">
        <v>1127</v>
      </c>
      <c r="J466" s="16" t="s">
        <v>33</v>
      </c>
    </row>
    <row r="467" spans="1:12" hidden="1" x14ac:dyDescent="0.3">
      <c r="A467" s="16" t="s">
        <v>43</v>
      </c>
      <c r="B467" s="16"/>
      <c r="C467" s="16"/>
      <c r="D467" s="16" t="s">
        <v>164</v>
      </c>
      <c r="E467" s="16" t="s">
        <v>1779</v>
      </c>
      <c r="F467" s="16" t="s">
        <v>18</v>
      </c>
      <c r="G467" s="16" t="s">
        <v>539</v>
      </c>
      <c r="I467" s="16" t="s">
        <v>1127</v>
      </c>
      <c r="J467" s="16" t="s">
        <v>33</v>
      </c>
    </row>
    <row r="468" spans="1:12" hidden="1" x14ac:dyDescent="0.3">
      <c r="A468" s="16" t="s">
        <v>2304</v>
      </c>
      <c r="B468" s="16"/>
      <c r="C468" s="16"/>
      <c r="D468" s="16" t="s">
        <v>2305</v>
      </c>
      <c r="E468" s="16" t="s">
        <v>2306</v>
      </c>
      <c r="F468" s="16" t="s">
        <v>388</v>
      </c>
      <c r="G468" s="16" t="s">
        <v>539</v>
      </c>
      <c r="J468" s="16" t="s">
        <v>33</v>
      </c>
      <c r="L468" s="16" t="s">
        <v>32</v>
      </c>
    </row>
    <row r="469" spans="1:12" hidden="1" x14ac:dyDescent="0.3">
      <c r="A469" s="16" t="s">
        <v>2304</v>
      </c>
      <c r="B469" s="16"/>
      <c r="C469" s="16"/>
      <c r="D469" s="16" t="s">
        <v>2305</v>
      </c>
      <c r="E469" s="16" t="s">
        <v>2307</v>
      </c>
      <c r="F469" s="16" t="s">
        <v>388</v>
      </c>
      <c r="G469" s="16" t="s">
        <v>539</v>
      </c>
      <c r="J469" s="16" t="s">
        <v>33</v>
      </c>
      <c r="L469" s="16" t="s">
        <v>32</v>
      </c>
    </row>
    <row r="470" spans="1:12" hidden="1" x14ac:dyDescent="0.3">
      <c r="A470" s="16" t="s">
        <v>2308</v>
      </c>
      <c r="B470" s="16"/>
      <c r="C470" s="16"/>
      <c r="D470" s="16" t="s">
        <v>2309</v>
      </c>
      <c r="E470" s="16" t="s">
        <v>2306</v>
      </c>
      <c r="F470" s="16" t="s">
        <v>18</v>
      </c>
      <c r="G470" s="16" t="s">
        <v>539</v>
      </c>
      <c r="I470" s="16" t="s">
        <v>1103</v>
      </c>
      <c r="J470" s="16" t="s">
        <v>33</v>
      </c>
    </row>
    <row r="471" spans="1:12" hidden="1" x14ac:dyDescent="0.3">
      <c r="A471" s="16" t="s">
        <v>2308</v>
      </c>
      <c r="B471" s="16"/>
      <c r="C471" s="16"/>
      <c r="D471" s="16" t="s">
        <v>2310</v>
      </c>
      <c r="E471" s="16" t="s">
        <v>2307</v>
      </c>
      <c r="F471" s="16" t="s">
        <v>18</v>
      </c>
      <c r="G471" s="16" t="s">
        <v>539</v>
      </c>
      <c r="I471" s="16" t="s">
        <v>1103</v>
      </c>
      <c r="J471" s="16" t="s">
        <v>33</v>
      </c>
    </row>
    <row r="472" spans="1:12" hidden="1" x14ac:dyDescent="0.3">
      <c r="A472" s="16" t="s">
        <v>2311</v>
      </c>
      <c r="B472" s="16"/>
      <c r="C472" s="16"/>
      <c r="D472" s="16" t="s">
        <v>2312</v>
      </c>
      <c r="E472" s="16" t="s">
        <v>1910</v>
      </c>
      <c r="F472" s="16" t="s">
        <v>388</v>
      </c>
      <c r="G472" s="16" t="s">
        <v>539</v>
      </c>
      <c r="L472" s="16" t="s">
        <v>32</v>
      </c>
    </row>
    <row r="473" spans="1:12" hidden="1" x14ac:dyDescent="0.3">
      <c r="A473" s="16" t="s">
        <v>2313</v>
      </c>
      <c r="B473" s="16"/>
      <c r="C473" s="16"/>
      <c r="D473" s="16" t="s">
        <v>2314</v>
      </c>
      <c r="E473" s="16" t="s">
        <v>1778</v>
      </c>
      <c r="F473" s="16" t="s">
        <v>18</v>
      </c>
      <c r="G473" s="16" t="s">
        <v>539</v>
      </c>
      <c r="I473" s="16" t="s">
        <v>1770</v>
      </c>
      <c r="J473" s="16" t="s">
        <v>33</v>
      </c>
    </row>
    <row r="474" spans="1:12" hidden="1" x14ac:dyDescent="0.3">
      <c r="A474" s="16" t="s">
        <v>2315</v>
      </c>
      <c r="B474" s="16"/>
      <c r="C474" s="16"/>
      <c r="D474" s="16" t="s">
        <v>2316</v>
      </c>
      <c r="E474" s="16" t="s">
        <v>1778</v>
      </c>
      <c r="F474" s="16" t="s">
        <v>133</v>
      </c>
      <c r="G474" s="16" t="s">
        <v>684</v>
      </c>
      <c r="J474" s="16" t="s">
        <v>33</v>
      </c>
    </row>
    <row r="475" spans="1:12" hidden="1" x14ac:dyDescent="0.3">
      <c r="A475" s="16" t="s">
        <v>2315</v>
      </c>
      <c r="B475" s="16"/>
      <c r="C475" s="16"/>
      <c r="D475" s="16" t="s">
        <v>2317</v>
      </c>
      <c r="E475" s="16" t="s">
        <v>1915</v>
      </c>
      <c r="F475" s="16" t="s">
        <v>133</v>
      </c>
      <c r="G475" s="16" t="s">
        <v>684</v>
      </c>
      <c r="J475" s="16" t="s">
        <v>33</v>
      </c>
    </row>
    <row r="476" spans="1:12" hidden="1" x14ac:dyDescent="0.3">
      <c r="A476" s="16" t="s">
        <v>2318</v>
      </c>
      <c r="B476" s="16"/>
      <c r="C476" s="16"/>
      <c r="D476" s="16" t="s">
        <v>2319</v>
      </c>
      <c r="E476" s="16" t="s">
        <v>1779</v>
      </c>
      <c r="F476" s="16" t="s">
        <v>133</v>
      </c>
      <c r="G476" s="16" t="s">
        <v>539</v>
      </c>
      <c r="J476" s="16" t="s">
        <v>33</v>
      </c>
    </row>
    <row r="477" spans="1:12" hidden="1" x14ac:dyDescent="0.3">
      <c r="A477" s="16" t="s">
        <v>2318</v>
      </c>
      <c r="B477" s="16"/>
      <c r="C477" s="16"/>
      <c r="D477" s="16" t="s">
        <v>2319</v>
      </c>
      <c r="E477" s="16" t="s">
        <v>1915</v>
      </c>
      <c r="F477" s="16" t="s">
        <v>133</v>
      </c>
      <c r="G477" s="16" t="s">
        <v>539</v>
      </c>
      <c r="J477" s="16" t="s">
        <v>33</v>
      </c>
    </row>
    <row r="478" spans="1:12" hidden="1" x14ac:dyDescent="0.3">
      <c r="A478" s="16" t="s">
        <v>2318</v>
      </c>
      <c r="B478" s="16"/>
      <c r="C478" s="16"/>
      <c r="D478" s="16" t="s">
        <v>2319</v>
      </c>
      <c r="E478" s="16" t="s">
        <v>1769</v>
      </c>
      <c r="F478" s="16" t="s">
        <v>133</v>
      </c>
      <c r="G478" s="16" t="s">
        <v>539</v>
      </c>
      <c r="J478" s="16" t="s">
        <v>33</v>
      </c>
    </row>
    <row r="479" spans="1:12" hidden="1" x14ac:dyDescent="0.3">
      <c r="A479" s="16" t="s">
        <v>2318</v>
      </c>
      <c r="B479" s="16"/>
      <c r="C479" s="16"/>
      <c r="D479" s="16" t="s">
        <v>2319</v>
      </c>
      <c r="E479" s="16" t="s">
        <v>1778</v>
      </c>
      <c r="F479" s="16" t="s">
        <v>133</v>
      </c>
      <c r="G479" s="16" t="s">
        <v>539</v>
      </c>
      <c r="J479" s="16" t="s">
        <v>33</v>
      </c>
    </row>
    <row r="480" spans="1:12" hidden="1" x14ac:dyDescent="0.3">
      <c r="A480" s="16" t="s">
        <v>2318</v>
      </c>
      <c r="B480" s="16"/>
      <c r="C480" s="16"/>
      <c r="D480" s="16" t="s">
        <v>2319</v>
      </c>
      <c r="E480" s="16" t="s">
        <v>2320</v>
      </c>
      <c r="F480" s="16" t="s">
        <v>133</v>
      </c>
      <c r="G480" s="16" t="s">
        <v>539</v>
      </c>
      <c r="J480" s="16" t="s">
        <v>33</v>
      </c>
    </row>
    <row r="481" spans="1:10" hidden="1" x14ac:dyDescent="0.3">
      <c r="A481" s="16" t="s">
        <v>2321</v>
      </c>
      <c r="B481" s="16"/>
      <c r="C481" s="16"/>
      <c r="D481" s="16" t="s">
        <v>2322</v>
      </c>
      <c r="E481" s="16" t="s">
        <v>1779</v>
      </c>
      <c r="F481" s="16" t="s">
        <v>133</v>
      </c>
      <c r="G481" s="16" t="s">
        <v>588</v>
      </c>
      <c r="J481" s="16" t="s">
        <v>33</v>
      </c>
    </row>
    <row r="482" spans="1:10" hidden="1" x14ac:dyDescent="0.3">
      <c r="A482" s="16" t="s">
        <v>2321</v>
      </c>
      <c r="B482" s="16"/>
      <c r="C482" s="16"/>
      <c r="D482" s="16" t="s">
        <v>2322</v>
      </c>
      <c r="E482" s="16" t="s">
        <v>1915</v>
      </c>
      <c r="F482" s="16" t="s">
        <v>133</v>
      </c>
      <c r="G482" s="16" t="s">
        <v>588</v>
      </c>
      <c r="J482" s="16" t="s">
        <v>33</v>
      </c>
    </row>
    <row r="483" spans="1:10" hidden="1" x14ac:dyDescent="0.3">
      <c r="A483" s="16" t="s">
        <v>2321</v>
      </c>
      <c r="B483" s="16"/>
      <c r="C483" s="16"/>
      <c r="D483" s="16" t="s">
        <v>2322</v>
      </c>
      <c r="E483" s="16" t="s">
        <v>1769</v>
      </c>
      <c r="F483" s="16" t="s">
        <v>133</v>
      </c>
      <c r="G483" s="16" t="s">
        <v>588</v>
      </c>
      <c r="J483" s="16" t="s">
        <v>33</v>
      </c>
    </row>
    <row r="484" spans="1:10" hidden="1" x14ac:dyDescent="0.3">
      <c r="A484" s="16" t="s">
        <v>2321</v>
      </c>
      <c r="B484" s="16"/>
      <c r="C484" s="16"/>
      <c r="D484" s="16" t="s">
        <v>2322</v>
      </c>
      <c r="E484" s="16" t="s">
        <v>1778</v>
      </c>
      <c r="F484" s="16" t="s">
        <v>133</v>
      </c>
      <c r="G484" s="16" t="s">
        <v>588</v>
      </c>
      <c r="J484" s="16" t="s">
        <v>33</v>
      </c>
    </row>
    <row r="485" spans="1:10" hidden="1" x14ac:dyDescent="0.3">
      <c r="A485" s="16" t="s">
        <v>2321</v>
      </c>
      <c r="B485" s="16"/>
      <c r="C485" s="16"/>
      <c r="D485" s="16" t="s">
        <v>2322</v>
      </c>
      <c r="E485" s="16" t="s">
        <v>2320</v>
      </c>
      <c r="F485" s="16" t="s">
        <v>133</v>
      </c>
      <c r="G485" s="16" t="s">
        <v>588</v>
      </c>
      <c r="J485" s="16" t="s">
        <v>33</v>
      </c>
    </row>
    <row r="486" spans="1:10" hidden="1" x14ac:dyDescent="0.3">
      <c r="A486" s="16" t="s">
        <v>2323</v>
      </c>
      <c r="B486" s="16"/>
      <c r="C486" s="16"/>
      <c r="D486" s="16" t="s">
        <v>2324</v>
      </c>
      <c r="E486" s="16" t="s">
        <v>1778</v>
      </c>
      <c r="F486" s="16" t="s">
        <v>2042</v>
      </c>
      <c r="G486" s="16" t="s">
        <v>555</v>
      </c>
      <c r="J486" s="16" t="s">
        <v>33</v>
      </c>
    </row>
    <row r="487" spans="1:10" hidden="1" x14ac:dyDescent="0.3">
      <c r="A487" s="16" t="s">
        <v>2323</v>
      </c>
      <c r="B487" s="16"/>
      <c r="C487" s="16"/>
      <c r="D487" s="16" t="s">
        <v>2325</v>
      </c>
      <c r="E487" s="16" t="s">
        <v>1778</v>
      </c>
      <c r="F487" s="16" t="s">
        <v>18</v>
      </c>
      <c r="G487" s="16" t="s">
        <v>555</v>
      </c>
      <c r="I487" s="16" t="s">
        <v>1770</v>
      </c>
      <c r="J487" s="16" t="s">
        <v>33</v>
      </c>
    </row>
    <row r="488" spans="1:10" hidden="1" x14ac:dyDescent="0.3">
      <c r="A488" s="16" t="s">
        <v>2326</v>
      </c>
      <c r="B488" s="16"/>
      <c r="C488" s="16"/>
      <c r="D488" s="16" t="s">
        <v>2327</v>
      </c>
      <c r="E488" s="16" t="s">
        <v>1779</v>
      </c>
      <c r="F488" s="16" t="s">
        <v>133</v>
      </c>
      <c r="G488" s="16" t="s">
        <v>255</v>
      </c>
      <c r="J488" s="16" t="s">
        <v>33</v>
      </c>
    </row>
    <row r="489" spans="1:10" hidden="1" x14ac:dyDescent="0.3">
      <c r="A489" s="16" t="s">
        <v>2328</v>
      </c>
      <c r="B489" s="16"/>
      <c r="C489" s="16"/>
      <c r="D489" s="16" t="s">
        <v>2329</v>
      </c>
      <c r="E489" s="16" t="s">
        <v>1779</v>
      </c>
      <c r="F489" s="16" t="s">
        <v>133</v>
      </c>
      <c r="G489" s="16" t="s">
        <v>1791</v>
      </c>
      <c r="J489" s="16" t="s">
        <v>33</v>
      </c>
    </row>
    <row r="490" spans="1:10" hidden="1" x14ac:dyDescent="0.3">
      <c r="A490" s="16" t="s">
        <v>2330</v>
      </c>
      <c r="B490" s="16"/>
      <c r="C490" s="16"/>
      <c r="D490" s="16" t="s">
        <v>2331</v>
      </c>
      <c r="E490" s="16" t="s">
        <v>1779</v>
      </c>
      <c r="F490" s="16" t="s">
        <v>133</v>
      </c>
      <c r="G490" s="16" t="s">
        <v>1791</v>
      </c>
      <c r="J490" s="16" t="s">
        <v>33</v>
      </c>
    </row>
    <row r="491" spans="1:10" hidden="1" x14ac:dyDescent="0.3">
      <c r="A491" s="16" t="s">
        <v>2332</v>
      </c>
      <c r="B491" s="16"/>
      <c r="C491" s="16"/>
      <c r="D491" s="16" t="s">
        <v>2333</v>
      </c>
      <c r="E491" s="16" t="s">
        <v>1769</v>
      </c>
      <c r="F491" s="16" t="s">
        <v>133</v>
      </c>
      <c r="G491" s="16" t="s">
        <v>539</v>
      </c>
      <c r="J491" s="16" t="s">
        <v>33</v>
      </c>
    </row>
    <row r="492" spans="1:10" hidden="1" x14ac:dyDescent="0.3">
      <c r="A492" s="16" t="s">
        <v>2334</v>
      </c>
      <c r="B492" s="16"/>
      <c r="C492" s="16"/>
      <c r="D492" s="16" t="s">
        <v>2335</v>
      </c>
      <c r="E492" s="16" t="s">
        <v>1779</v>
      </c>
      <c r="F492" s="16" t="s">
        <v>18</v>
      </c>
      <c r="G492" s="16" t="s">
        <v>661</v>
      </c>
      <c r="I492" s="16" t="s">
        <v>1770</v>
      </c>
      <c r="J492" s="16" t="s">
        <v>33</v>
      </c>
    </row>
    <row r="493" spans="1:10" hidden="1" x14ac:dyDescent="0.3">
      <c r="A493" s="16" t="s">
        <v>2336</v>
      </c>
      <c r="B493" s="16"/>
      <c r="C493" s="16"/>
      <c r="D493" s="16" t="s">
        <v>2337</v>
      </c>
      <c r="E493" s="16" t="s">
        <v>1778</v>
      </c>
      <c r="F493" s="16" t="s">
        <v>2042</v>
      </c>
      <c r="G493" s="16" t="s">
        <v>555</v>
      </c>
      <c r="J493" s="16" t="s">
        <v>33</v>
      </c>
    </row>
    <row r="494" spans="1:10" hidden="1" x14ac:dyDescent="0.3">
      <c r="A494" s="16" t="s">
        <v>2338</v>
      </c>
      <c r="B494" s="16"/>
      <c r="C494" s="16"/>
      <c r="D494" s="16" t="s">
        <v>2339</v>
      </c>
      <c r="E494" s="16" t="s">
        <v>1778</v>
      </c>
      <c r="F494" s="16" t="s">
        <v>2042</v>
      </c>
      <c r="G494" s="16" t="s">
        <v>555</v>
      </c>
      <c r="J494" s="16" t="s">
        <v>33</v>
      </c>
    </row>
    <row r="495" spans="1:10" hidden="1" x14ac:dyDescent="0.3">
      <c r="A495" s="16" t="s">
        <v>2340</v>
      </c>
      <c r="B495" s="16"/>
      <c r="C495" s="16"/>
      <c r="D495" s="16" t="s">
        <v>2341</v>
      </c>
      <c r="E495" s="16" t="s">
        <v>1778</v>
      </c>
      <c r="F495" s="16" t="s">
        <v>2042</v>
      </c>
      <c r="G495" s="16" t="s">
        <v>555</v>
      </c>
      <c r="J495" s="16" t="s">
        <v>33</v>
      </c>
    </row>
    <row r="496" spans="1:10" hidden="1" x14ac:dyDescent="0.3">
      <c r="A496" s="16" t="s">
        <v>2342</v>
      </c>
      <c r="B496" s="16"/>
      <c r="C496" s="16"/>
      <c r="D496" s="16" t="s">
        <v>2343</v>
      </c>
      <c r="E496" s="16" t="s">
        <v>1778</v>
      </c>
      <c r="F496" s="16" t="s">
        <v>50</v>
      </c>
      <c r="G496" s="16" t="s">
        <v>555</v>
      </c>
      <c r="J496" s="16" t="s">
        <v>33</v>
      </c>
    </row>
    <row r="497" spans="1:10" hidden="1" x14ac:dyDescent="0.3">
      <c r="A497" s="16" t="s">
        <v>2342</v>
      </c>
      <c r="B497" s="16"/>
      <c r="C497" s="16"/>
      <c r="D497" s="16" t="s">
        <v>2344</v>
      </c>
      <c r="E497" s="16" t="s">
        <v>1778</v>
      </c>
      <c r="F497" s="16" t="s">
        <v>18</v>
      </c>
      <c r="G497" s="16" t="s">
        <v>555</v>
      </c>
      <c r="I497" s="16" t="s">
        <v>1770</v>
      </c>
      <c r="J497" s="16" t="s">
        <v>33</v>
      </c>
    </row>
    <row r="498" spans="1:10" hidden="1" x14ac:dyDescent="0.3">
      <c r="A498" s="16" t="s">
        <v>2345</v>
      </c>
      <c r="B498" s="16"/>
      <c r="C498" s="16"/>
      <c r="D498" s="16" t="s">
        <v>2346</v>
      </c>
      <c r="E498" s="16" t="s">
        <v>1778</v>
      </c>
      <c r="F498" s="16" t="s">
        <v>2042</v>
      </c>
      <c r="G498" s="16" t="s">
        <v>555</v>
      </c>
      <c r="J498" s="16" t="s">
        <v>33</v>
      </c>
    </row>
    <row r="499" spans="1:10" hidden="1" x14ac:dyDescent="0.3">
      <c r="A499" s="16" t="s">
        <v>2345</v>
      </c>
      <c r="B499" s="16"/>
      <c r="C499" s="16"/>
      <c r="D499" s="16" t="s">
        <v>2347</v>
      </c>
      <c r="E499" s="16" t="s">
        <v>1778</v>
      </c>
      <c r="F499" s="16" t="s">
        <v>18</v>
      </c>
      <c r="G499" s="16" t="s">
        <v>555</v>
      </c>
      <c r="I499" s="16" t="s">
        <v>1770</v>
      </c>
      <c r="J499" s="16" t="s">
        <v>33</v>
      </c>
    </row>
    <row r="500" spans="1:10" hidden="1" x14ac:dyDescent="0.3">
      <c r="A500" s="16" t="s">
        <v>2348</v>
      </c>
      <c r="B500" s="16"/>
      <c r="C500" s="16"/>
      <c r="D500" s="16" t="s">
        <v>2349</v>
      </c>
      <c r="E500" s="16" t="s">
        <v>1778</v>
      </c>
      <c r="F500" s="16" t="s">
        <v>2042</v>
      </c>
      <c r="G500" s="16" t="s">
        <v>555</v>
      </c>
      <c r="J500" s="16" t="s">
        <v>33</v>
      </c>
    </row>
    <row r="501" spans="1:10" hidden="1" x14ac:dyDescent="0.3">
      <c r="A501" s="16" t="s">
        <v>2348</v>
      </c>
      <c r="B501" s="16"/>
      <c r="C501" s="16"/>
      <c r="D501" s="16" t="s">
        <v>2350</v>
      </c>
      <c r="E501" s="16" t="s">
        <v>1778</v>
      </c>
      <c r="F501" s="16" t="s">
        <v>18</v>
      </c>
      <c r="G501" s="16" t="s">
        <v>555</v>
      </c>
      <c r="I501" s="16" t="s">
        <v>1770</v>
      </c>
      <c r="J501" s="16" t="s">
        <v>33</v>
      </c>
    </row>
    <row r="502" spans="1:10" hidden="1" x14ac:dyDescent="0.3">
      <c r="A502" s="16" t="s">
        <v>2351</v>
      </c>
      <c r="B502" s="16"/>
      <c r="C502" s="16"/>
      <c r="D502" s="16" t="s">
        <v>2352</v>
      </c>
      <c r="E502" s="16" t="s">
        <v>1778</v>
      </c>
      <c r="F502" s="16" t="s">
        <v>50</v>
      </c>
      <c r="G502" s="16" t="s">
        <v>555</v>
      </c>
      <c r="J502" s="16" t="s">
        <v>33</v>
      </c>
    </row>
    <row r="503" spans="1:10" hidden="1" x14ac:dyDescent="0.3">
      <c r="A503" s="16" t="s">
        <v>2351</v>
      </c>
      <c r="B503" s="16"/>
      <c r="C503" s="16"/>
      <c r="D503" s="16" t="s">
        <v>2353</v>
      </c>
      <c r="E503" s="16" t="s">
        <v>1778</v>
      </c>
      <c r="F503" s="16" t="s">
        <v>18</v>
      </c>
      <c r="G503" s="16" t="s">
        <v>555</v>
      </c>
      <c r="I503" s="16" t="s">
        <v>1770</v>
      </c>
      <c r="J503" s="16" t="s">
        <v>33</v>
      </c>
    </row>
    <row r="504" spans="1:10" hidden="1" x14ac:dyDescent="0.3">
      <c r="A504" s="16" t="s">
        <v>2354</v>
      </c>
      <c r="B504" s="16"/>
      <c r="C504" s="16"/>
      <c r="D504" s="16" t="s">
        <v>2355</v>
      </c>
      <c r="E504" s="16" t="s">
        <v>1778</v>
      </c>
      <c r="F504" s="16" t="s">
        <v>2042</v>
      </c>
      <c r="G504" s="16" t="s">
        <v>555</v>
      </c>
      <c r="J504" s="16" t="s">
        <v>33</v>
      </c>
    </row>
    <row r="505" spans="1:10" hidden="1" x14ac:dyDescent="0.3">
      <c r="A505" s="16" t="s">
        <v>2354</v>
      </c>
      <c r="B505" s="16"/>
      <c r="C505" s="16"/>
      <c r="D505" s="16" t="s">
        <v>2356</v>
      </c>
      <c r="E505" s="16" t="s">
        <v>1778</v>
      </c>
      <c r="F505" s="16" t="s">
        <v>18</v>
      </c>
      <c r="G505" s="16" t="s">
        <v>555</v>
      </c>
      <c r="I505" s="16" t="s">
        <v>1770</v>
      </c>
      <c r="J505" s="16" t="s">
        <v>33</v>
      </c>
    </row>
    <row r="506" spans="1:10" hidden="1" x14ac:dyDescent="0.3">
      <c r="A506" s="16" t="s">
        <v>2357</v>
      </c>
      <c r="B506" s="16"/>
      <c r="C506" s="16"/>
      <c r="D506" s="16" t="s">
        <v>2358</v>
      </c>
      <c r="E506" s="16" t="s">
        <v>1778</v>
      </c>
      <c r="F506" s="16" t="s">
        <v>50</v>
      </c>
      <c r="G506" s="16" t="s">
        <v>555</v>
      </c>
      <c r="J506" s="16" t="s">
        <v>33</v>
      </c>
    </row>
    <row r="507" spans="1:10" hidden="1" x14ac:dyDescent="0.3">
      <c r="A507" s="16" t="s">
        <v>2357</v>
      </c>
      <c r="B507" s="16"/>
      <c r="C507" s="16"/>
      <c r="D507" s="16" t="s">
        <v>2359</v>
      </c>
      <c r="E507" s="16" t="s">
        <v>1778</v>
      </c>
      <c r="F507" s="16" t="s">
        <v>18</v>
      </c>
      <c r="G507" s="16" t="s">
        <v>555</v>
      </c>
      <c r="I507" s="16" t="s">
        <v>1770</v>
      </c>
      <c r="J507" s="16" t="s">
        <v>33</v>
      </c>
    </row>
    <row r="508" spans="1:10" hidden="1" x14ac:dyDescent="0.3">
      <c r="A508" s="16" t="s">
        <v>2360</v>
      </c>
      <c r="B508" s="16"/>
      <c r="C508" s="16"/>
      <c r="D508" s="16" t="s">
        <v>2361</v>
      </c>
      <c r="E508" s="16" t="s">
        <v>1778</v>
      </c>
      <c r="F508" s="16" t="s">
        <v>50</v>
      </c>
      <c r="G508" s="16" t="s">
        <v>555</v>
      </c>
      <c r="J508" s="16" t="s">
        <v>33</v>
      </c>
    </row>
    <row r="509" spans="1:10" hidden="1" x14ac:dyDescent="0.3">
      <c r="A509" s="16" t="s">
        <v>2360</v>
      </c>
      <c r="B509" s="16"/>
      <c r="C509" s="16"/>
      <c r="D509" s="16" t="s">
        <v>2362</v>
      </c>
      <c r="E509" s="16" t="s">
        <v>1778</v>
      </c>
      <c r="F509" s="16" t="s">
        <v>18</v>
      </c>
      <c r="G509" s="16" t="s">
        <v>555</v>
      </c>
      <c r="I509" s="16" t="s">
        <v>1770</v>
      </c>
      <c r="J509" s="16" t="s">
        <v>33</v>
      </c>
    </row>
    <row r="510" spans="1:10" hidden="1" x14ac:dyDescent="0.3">
      <c r="A510" s="16" t="s">
        <v>2363</v>
      </c>
      <c r="B510" s="16"/>
      <c r="C510" s="16"/>
      <c r="D510" s="16" t="s">
        <v>2364</v>
      </c>
      <c r="E510" s="16" t="s">
        <v>1778</v>
      </c>
      <c r="F510" s="16" t="s">
        <v>2042</v>
      </c>
      <c r="G510" s="16" t="s">
        <v>555</v>
      </c>
      <c r="J510" s="16" t="s">
        <v>33</v>
      </c>
    </row>
    <row r="511" spans="1:10" hidden="1" x14ac:dyDescent="0.3">
      <c r="A511" s="16" t="s">
        <v>2363</v>
      </c>
      <c r="B511" s="16"/>
      <c r="C511" s="16"/>
      <c r="D511" s="16" t="s">
        <v>2365</v>
      </c>
      <c r="E511" s="16" t="s">
        <v>1778</v>
      </c>
      <c r="F511" s="16" t="s">
        <v>18</v>
      </c>
      <c r="G511" s="16" t="s">
        <v>555</v>
      </c>
      <c r="I511" s="16" t="s">
        <v>1770</v>
      </c>
      <c r="J511" s="16" t="s">
        <v>33</v>
      </c>
    </row>
    <row r="512" spans="1:10" hidden="1" x14ac:dyDescent="0.3">
      <c r="A512" s="16" t="s">
        <v>2366</v>
      </c>
      <c r="B512" s="16"/>
      <c r="C512" s="16"/>
      <c r="D512" s="16" t="s">
        <v>2367</v>
      </c>
      <c r="E512" s="16" t="s">
        <v>1778</v>
      </c>
      <c r="F512" s="16" t="s">
        <v>2042</v>
      </c>
      <c r="G512" s="16" t="s">
        <v>555</v>
      </c>
      <c r="J512" s="16" t="s">
        <v>33</v>
      </c>
    </row>
    <row r="513" spans="1:14" hidden="1" x14ac:dyDescent="0.3">
      <c r="A513" s="16" t="s">
        <v>2368</v>
      </c>
      <c r="B513" s="16"/>
      <c r="C513" s="16"/>
      <c r="D513" s="16" t="s">
        <v>2369</v>
      </c>
      <c r="E513" s="16" t="s">
        <v>1778</v>
      </c>
      <c r="F513" s="16" t="s">
        <v>2042</v>
      </c>
      <c r="G513" s="16" t="s">
        <v>555</v>
      </c>
      <c r="J513" s="16" t="s">
        <v>33</v>
      </c>
    </row>
    <row r="514" spans="1:14" hidden="1" x14ac:dyDescent="0.3">
      <c r="A514" s="16" t="s">
        <v>2370</v>
      </c>
      <c r="B514" s="16"/>
      <c r="C514" s="16"/>
      <c r="D514" s="16" t="s">
        <v>2371</v>
      </c>
      <c r="E514" s="16" t="s">
        <v>1778</v>
      </c>
      <c r="F514" s="16" t="s">
        <v>2042</v>
      </c>
      <c r="G514" s="16" t="s">
        <v>555</v>
      </c>
      <c r="J514" s="16" t="s">
        <v>33</v>
      </c>
    </row>
    <row r="515" spans="1:14" hidden="1" x14ac:dyDescent="0.3">
      <c r="A515" s="16" t="s">
        <v>2372</v>
      </c>
      <c r="B515" s="16"/>
      <c r="C515" s="16"/>
      <c r="D515" s="16" t="s">
        <v>2373</v>
      </c>
      <c r="E515" s="16" t="s">
        <v>1779</v>
      </c>
      <c r="F515" s="16" t="s">
        <v>133</v>
      </c>
      <c r="G515" s="16" t="s">
        <v>2374</v>
      </c>
      <c r="J515" s="16" t="s">
        <v>33</v>
      </c>
    </row>
    <row r="516" spans="1:14" hidden="1" x14ac:dyDescent="0.3">
      <c r="A516" s="16" t="s">
        <v>2375</v>
      </c>
      <c r="B516" s="16"/>
      <c r="C516" s="16"/>
      <c r="D516" s="16" t="s">
        <v>2376</v>
      </c>
      <c r="E516" s="16" t="s">
        <v>1779</v>
      </c>
      <c r="F516" s="16" t="s">
        <v>388</v>
      </c>
      <c r="G516" s="16" t="s">
        <v>539</v>
      </c>
      <c r="J516" s="16" t="s">
        <v>33</v>
      </c>
      <c r="L516" s="16" t="s">
        <v>32</v>
      </c>
    </row>
    <row r="517" spans="1:14" hidden="1" x14ac:dyDescent="0.3">
      <c r="A517" s="16" t="s">
        <v>2377</v>
      </c>
      <c r="B517" s="16"/>
      <c r="C517" s="16"/>
      <c r="D517" s="16" t="s">
        <v>2378</v>
      </c>
      <c r="E517" s="16" t="s">
        <v>1779</v>
      </c>
      <c r="F517" s="16" t="s">
        <v>388</v>
      </c>
      <c r="G517" s="16" t="s">
        <v>539</v>
      </c>
      <c r="J517" s="16" t="s">
        <v>33</v>
      </c>
      <c r="L517" s="16" t="s">
        <v>32</v>
      </c>
    </row>
    <row r="518" spans="1:14" hidden="1" x14ac:dyDescent="0.3">
      <c r="A518" s="16" t="s">
        <v>2379</v>
      </c>
      <c r="B518" s="16"/>
      <c r="C518" s="16"/>
      <c r="D518" s="16" t="s">
        <v>2380</v>
      </c>
      <c r="E518" s="16" t="s">
        <v>1779</v>
      </c>
      <c r="F518" s="16" t="s">
        <v>388</v>
      </c>
      <c r="G518" s="16" t="s">
        <v>539</v>
      </c>
      <c r="J518" s="16" t="s">
        <v>33</v>
      </c>
      <c r="L518" s="16" t="s">
        <v>32</v>
      </c>
    </row>
    <row r="519" spans="1:14" hidden="1" x14ac:dyDescent="0.3">
      <c r="A519" s="16" t="s">
        <v>2381</v>
      </c>
      <c r="B519" s="16"/>
      <c r="C519" s="16"/>
      <c r="D519" s="16" t="s">
        <v>2382</v>
      </c>
      <c r="E519" s="16" t="s">
        <v>1779</v>
      </c>
      <c r="F519" s="16" t="s">
        <v>388</v>
      </c>
      <c r="G519" s="16" t="s">
        <v>539</v>
      </c>
      <c r="J519" s="16" t="s">
        <v>33</v>
      </c>
      <c r="L519" s="16" t="s">
        <v>32</v>
      </c>
    </row>
    <row r="520" spans="1:14" hidden="1" x14ac:dyDescent="0.3">
      <c r="A520" s="16" t="s">
        <v>2383</v>
      </c>
      <c r="B520" s="16"/>
      <c r="C520" s="16"/>
      <c r="D520" s="16" t="s">
        <v>2384</v>
      </c>
      <c r="E520" s="16" t="s">
        <v>1777</v>
      </c>
      <c r="F520" s="16" t="s">
        <v>388</v>
      </c>
      <c r="G520" s="16" t="s">
        <v>539</v>
      </c>
      <c r="J520" s="16" t="s">
        <v>33</v>
      </c>
      <c r="L520" s="16" t="s">
        <v>32</v>
      </c>
      <c r="N520" s="16" t="s">
        <v>33</v>
      </c>
    </row>
    <row r="521" spans="1:14" hidden="1" x14ac:dyDescent="0.3">
      <c r="A521" s="16" t="s">
        <v>2385</v>
      </c>
      <c r="B521" s="16"/>
      <c r="C521" s="16"/>
      <c r="D521" s="16" t="s">
        <v>460</v>
      </c>
      <c r="E521" s="16" t="s">
        <v>1779</v>
      </c>
      <c r="F521" s="16" t="s">
        <v>388</v>
      </c>
      <c r="G521" s="16" t="s">
        <v>539</v>
      </c>
      <c r="J521" s="16" t="s">
        <v>33</v>
      </c>
      <c r="L521" s="16" t="s">
        <v>32</v>
      </c>
    </row>
    <row r="522" spans="1:14" hidden="1" x14ac:dyDescent="0.3">
      <c r="A522" s="16" t="s">
        <v>2385</v>
      </c>
      <c r="B522" s="16"/>
      <c r="C522" s="16"/>
      <c r="D522" s="16" t="s">
        <v>460</v>
      </c>
      <c r="E522" s="16" t="s">
        <v>1777</v>
      </c>
      <c r="F522" s="16" t="s">
        <v>388</v>
      </c>
      <c r="G522" s="16" t="s">
        <v>539</v>
      </c>
      <c r="J522" s="16" t="s">
        <v>33</v>
      </c>
      <c r="L522" s="16" t="s">
        <v>32</v>
      </c>
    </row>
    <row r="523" spans="1:14" hidden="1" x14ac:dyDescent="0.3">
      <c r="A523" s="16" t="s">
        <v>244</v>
      </c>
      <c r="B523" s="16"/>
      <c r="C523" s="16"/>
      <c r="D523" s="16" t="s">
        <v>245</v>
      </c>
      <c r="E523" s="16" t="s">
        <v>1779</v>
      </c>
      <c r="F523" s="16" t="s">
        <v>388</v>
      </c>
      <c r="G523" s="16" t="s">
        <v>539</v>
      </c>
      <c r="J523" s="16" t="s">
        <v>33</v>
      </c>
      <c r="L523" s="16" t="s">
        <v>32</v>
      </c>
    </row>
    <row r="524" spans="1:14" hidden="1" x14ac:dyDescent="0.3">
      <c r="A524" s="16" t="s">
        <v>244</v>
      </c>
      <c r="B524" s="16"/>
      <c r="C524" s="16"/>
      <c r="D524" s="16" t="s">
        <v>245</v>
      </c>
      <c r="E524" s="16" t="s">
        <v>1915</v>
      </c>
      <c r="F524" s="16" t="s">
        <v>388</v>
      </c>
      <c r="G524" s="16" t="s">
        <v>539</v>
      </c>
      <c r="J524" s="16" t="s">
        <v>33</v>
      </c>
      <c r="L524" s="16" t="s">
        <v>32</v>
      </c>
    </row>
    <row r="525" spans="1:14" hidden="1" x14ac:dyDescent="0.3">
      <c r="A525" s="16" t="s">
        <v>244</v>
      </c>
      <c r="B525" s="16"/>
      <c r="C525" s="16"/>
      <c r="D525" s="16" t="s">
        <v>245</v>
      </c>
      <c r="E525" s="16" t="s">
        <v>1777</v>
      </c>
      <c r="F525" s="16" t="s">
        <v>388</v>
      </c>
      <c r="G525" s="16" t="s">
        <v>539</v>
      </c>
      <c r="J525" s="16" t="s">
        <v>33</v>
      </c>
      <c r="L525" s="16" t="s">
        <v>32</v>
      </c>
    </row>
    <row r="526" spans="1:14" hidden="1" x14ac:dyDescent="0.3">
      <c r="A526" s="16" t="s">
        <v>2386</v>
      </c>
      <c r="B526" s="16"/>
      <c r="C526" s="16"/>
      <c r="D526" s="16" t="s">
        <v>132</v>
      </c>
      <c r="E526" s="16" t="s">
        <v>1779</v>
      </c>
      <c r="F526" s="16" t="s">
        <v>133</v>
      </c>
      <c r="G526" s="16" t="s">
        <v>539</v>
      </c>
      <c r="J526" s="16" t="s">
        <v>33</v>
      </c>
    </row>
    <row r="527" spans="1:14" hidden="1" x14ac:dyDescent="0.3">
      <c r="A527" s="16" t="s">
        <v>294</v>
      </c>
      <c r="B527" s="16"/>
      <c r="C527" s="16"/>
      <c r="D527" s="16" t="s">
        <v>295</v>
      </c>
      <c r="E527" s="16" t="s">
        <v>1779</v>
      </c>
      <c r="F527" s="16" t="s">
        <v>388</v>
      </c>
      <c r="G527" s="16" t="s">
        <v>539</v>
      </c>
      <c r="J527" s="16" t="s">
        <v>33</v>
      </c>
      <c r="L527" s="16" t="s">
        <v>32</v>
      </c>
    </row>
    <row r="528" spans="1:14" hidden="1" x14ac:dyDescent="0.3">
      <c r="A528" s="16" t="s">
        <v>294</v>
      </c>
      <c r="B528" s="16"/>
      <c r="C528" s="16"/>
      <c r="D528" s="16" t="s">
        <v>295</v>
      </c>
      <c r="E528" s="16" t="s">
        <v>1777</v>
      </c>
      <c r="F528" s="16" t="s">
        <v>388</v>
      </c>
      <c r="G528" s="16" t="s">
        <v>539</v>
      </c>
      <c r="J528" s="16" t="s">
        <v>33</v>
      </c>
      <c r="L528" s="16" t="s">
        <v>32</v>
      </c>
    </row>
    <row r="529" spans="1:10" hidden="1" x14ac:dyDescent="0.3">
      <c r="A529" s="16" t="s">
        <v>1119</v>
      </c>
      <c r="B529" s="16"/>
      <c r="C529" s="16"/>
      <c r="D529" s="16" t="s">
        <v>1120</v>
      </c>
      <c r="E529" s="16" t="s">
        <v>2092</v>
      </c>
      <c r="F529" s="16" t="s">
        <v>18</v>
      </c>
      <c r="G529" s="16" t="s">
        <v>539</v>
      </c>
      <c r="I529" s="16" t="s">
        <v>1103</v>
      </c>
      <c r="J529" s="16" t="s">
        <v>33</v>
      </c>
    </row>
    <row r="530" spans="1:10" hidden="1" x14ac:dyDescent="0.3">
      <c r="A530" s="16" t="s">
        <v>2387</v>
      </c>
      <c r="B530" s="16"/>
      <c r="C530" s="16"/>
      <c r="D530" s="16" t="s">
        <v>2388</v>
      </c>
      <c r="E530" s="16" t="s">
        <v>1777</v>
      </c>
      <c r="F530" s="16" t="s">
        <v>18</v>
      </c>
      <c r="G530" s="16" t="s">
        <v>539</v>
      </c>
      <c r="I530" s="16" t="s">
        <v>1770</v>
      </c>
      <c r="J530" s="16" t="s">
        <v>33</v>
      </c>
    </row>
    <row r="531" spans="1:10" hidden="1" x14ac:dyDescent="0.3">
      <c r="A531" s="16" t="s">
        <v>1497</v>
      </c>
      <c r="B531" s="16"/>
      <c r="C531" s="16"/>
      <c r="D531" s="16" t="s">
        <v>1498</v>
      </c>
      <c r="E531" s="16" t="s">
        <v>1779</v>
      </c>
      <c r="F531" s="16" t="s">
        <v>18</v>
      </c>
      <c r="G531" s="16" t="s">
        <v>539</v>
      </c>
      <c r="I531" s="16" t="s">
        <v>1103</v>
      </c>
      <c r="J531" s="16" t="s">
        <v>33</v>
      </c>
    </row>
    <row r="532" spans="1:10" hidden="1" x14ac:dyDescent="0.3">
      <c r="A532" s="16" t="s">
        <v>1499</v>
      </c>
      <c r="B532" s="16"/>
      <c r="C532" s="16"/>
      <c r="D532" s="16" t="s">
        <v>1500</v>
      </c>
      <c r="E532" s="16" t="s">
        <v>1779</v>
      </c>
      <c r="F532" s="16" t="s">
        <v>18</v>
      </c>
      <c r="G532" s="16" t="s">
        <v>539</v>
      </c>
      <c r="I532" s="16" t="s">
        <v>1103</v>
      </c>
      <c r="J532" s="16" t="s">
        <v>33</v>
      </c>
    </row>
    <row r="533" spans="1:10" hidden="1" x14ac:dyDescent="0.3">
      <c r="A533" s="16" t="s">
        <v>1501</v>
      </c>
      <c r="B533" s="16"/>
      <c r="C533" s="16"/>
      <c r="D533" s="16" t="s">
        <v>1502</v>
      </c>
      <c r="E533" s="16" t="s">
        <v>1779</v>
      </c>
      <c r="F533" s="16" t="s">
        <v>18</v>
      </c>
      <c r="G533" s="16" t="s">
        <v>539</v>
      </c>
      <c r="I533" s="16" t="s">
        <v>1103</v>
      </c>
      <c r="J533" s="16" t="s">
        <v>33</v>
      </c>
    </row>
    <row r="534" spans="1:10" hidden="1" x14ac:dyDescent="0.3">
      <c r="A534" s="16" t="s">
        <v>1503</v>
      </c>
      <c r="B534" s="16"/>
      <c r="C534" s="16"/>
      <c r="D534" s="16" t="s">
        <v>1504</v>
      </c>
      <c r="E534" s="16" t="s">
        <v>1779</v>
      </c>
      <c r="F534" s="16" t="s">
        <v>18</v>
      </c>
      <c r="G534" s="16" t="s">
        <v>1791</v>
      </c>
      <c r="I534" s="16" t="s">
        <v>1103</v>
      </c>
      <c r="J534" s="16" t="s">
        <v>33</v>
      </c>
    </row>
    <row r="535" spans="1:10" hidden="1" x14ac:dyDescent="0.3">
      <c r="A535" s="16" t="s">
        <v>1505</v>
      </c>
      <c r="B535" s="16"/>
      <c r="C535" s="16"/>
      <c r="D535" s="16" t="s">
        <v>1732</v>
      </c>
      <c r="E535" s="16" t="s">
        <v>1779</v>
      </c>
      <c r="F535" s="16" t="s">
        <v>18</v>
      </c>
      <c r="G535" s="16" t="s">
        <v>1402</v>
      </c>
      <c r="I535" s="16" t="s">
        <v>1103</v>
      </c>
      <c r="J535" s="16" t="s">
        <v>33</v>
      </c>
    </row>
    <row r="536" spans="1:10" hidden="1" x14ac:dyDescent="0.3">
      <c r="A536" s="16" t="s">
        <v>1505</v>
      </c>
      <c r="B536" s="16"/>
      <c r="C536" s="16"/>
      <c r="D536" s="16" t="s">
        <v>1506</v>
      </c>
      <c r="E536" s="16" t="s">
        <v>1779</v>
      </c>
      <c r="F536" s="16" t="s">
        <v>18</v>
      </c>
      <c r="G536" s="16" t="s">
        <v>1402</v>
      </c>
      <c r="I536" s="16" t="s">
        <v>1103</v>
      </c>
      <c r="J536" s="16" t="s">
        <v>33</v>
      </c>
    </row>
    <row r="537" spans="1:10" hidden="1" x14ac:dyDescent="0.3">
      <c r="A537" s="16" t="s">
        <v>1507</v>
      </c>
      <c r="B537" s="16"/>
      <c r="C537" s="16"/>
      <c r="D537" s="16" t="s">
        <v>1508</v>
      </c>
      <c r="E537" s="16" t="s">
        <v>1779</v>
      </c>
      <c r="F537" s="16" t="s">
        <v>18</v>
      </c>
      <c r="G537" s="16" t="s">
        <v>539</v>
      </c>
      <c r="I537" s="16" t="s">
        <v>1103</v>
      </c>
      <c r="J537" s="16" t="s">
        <v>33</v>
      </c>
    </row>
    <row r="538" spans="1:10" hidden="1" x14ac:dyDescent="0.3">
      <c r="A538" s="16" t="s">
        <v>1509</v>
      </c>
      <c r="B538" s="16"/>
      <c r="C538" s="16"/>
      <c r="D538" s="16" t="s">
        <v>1510</v>
      </c>
      <c r="E538" s="16" t="s">
        <v>1779</v>
      </c>
      <c r="F538" s="16" t="s">
        <v>18</v>
      </c>
      <c r="G538" s="16" t="s">
        <v>539</v>
      </c>
      <c r="I538" s="16" t="s">
        <v>1103</v>
      </c>
      <c r="J538" s="16" t="s">
        <v>33</v>
      </c>
    </row>
    <row r="539" spans="1:10" hidden="1" x14ac:dyDescent="0.3">
      <c r="A539" s="16" t="s">
        <v>1511</v>
      </c>
      <c r="B539" s="16"/>
      <c r="C539" s="16"/>
      <c r="D539" s="16" t="s">
        <v>1512</v>
      </c>
      <c r="E539" s="16" t="s">
        <v>1779</v>
      </c>
      <c r="F539" s="16" t="s">
        <v>18</v>
      </c>
      <c r="G539" s="16" t="s">
        <v>539</v>
      </c>
      <c r="I539" s="16" t="s">
        <v>1103</v>
      </c>
      <c r="J539" s="16" t="s">
        <v>33</v>
      </c>
    </row>
    <row r="540" spans="1:10" hidden="1" x14ac:dyDescent="0.3">
      <c r="A540" s="16" t="s">
        <v>1513</v>
      </c>
      <c r="B540" s="16"/>
      <c r="C540" s="16"/>
      <c r="D540" s="16" t="s">
        <v>1514</v>
      </c>
      <c r="E540" s="16" t="s">
        <v>1779</v>
      </c>
      <c r="F540" s="16" t="s">
        <v>18</v>
      </c>
      <c r="G540" s="16" t="s">
        <v>539</v>
      </c>
      <c r="I540" s="16" t="s">
        <v>1103</v>
      </c>
      <c r="J540" s="16" t="s">
        <v>33</v>
      </c>
    </row>
    <row r="541" spans="1:10" hidden="1" x14ac:dyDescent="0.3">
      <c r="A541" s="16" t="s">
        <v>1515</v>
      </c>
      <c r="B541" s="16"/>
      <c r="C541" s="16"/>
      <c r="D541" s="16" t="s">
        <v>1516</v>
      </c>
      <c r="E541" s="16" t="s">
        <v>1779</v>
      </c>
      <c r="F541" s="16" t="s">
        <v>18</v>
      </c>
      <c r="G541" s="16" t="s">
        <v>1791</v>
      </c>
      <c r="I541" s="16" t="s">
        <v>1103</v>
      </c>
      <c r="J541" s="16" t="s">
        <v>33</v>
      </c>
    </row>
    <row r="542" spans="1:10" hidden="1" x14ac:dyDescent="0.3">
      <c r="A542" s="16" t="s">
        <v>1517</v>
      </c>
      <c r="B542" s="16"/>
      <c r="C542" s="16"/>
      <c r="D542" s="16" t="s">
        <v>1518</v>
      </c>
      <c r="E542" s="16" t="s">
        <v>1779</v>
      </c>
      <c r="F542" s="16" t="s">
        <v>18</v>
      </c>
      <c r="G542" s="16" t="s">
        <v>1791</v>
      </c>
      <c r="I542" s="16" t="s">
        <v>1103</v>
      </c>
      <c r="J542" s="16" t="s">
        <v>33</v>
      </c>
    </row>
    <row r="543" spans="1:10" hidden="1" x14ac:dyDescent="0.3">
      <c r="A543" s="16" t="s">
        <v>1519</v>
      </c>
      <c r="B543" s="16"/>
      <c r="C543" s="16"/>
      <c r="D543" s="16" t="s">
        <v>1520</v>
      </c>
      <c r="E543" s="16" t="s">
        <v>1779</v>
      </c>
      <c r="F543" s="16" t="s">
        <v>18</v>
      </c>
      <c r="G543" s="16" t="s">
        <v>1791</v>
      </c>
      <c r="I543" s="16" t="s">
        <v>1103</v>
      </c>
      <c r="J543" s="16" t="s">
        <v>33</v>
      </c>
    </row>
    <row r="544" spans="1:10" hidden="1" x14ac:dyDescent="0.3">
      <c r="A544" s="16" t="s">
        <v>1521</v>
      </c>
      <c r="B544" s="16"/>
      <c r="C544" s="16"/>
      <c r="D544" s="16" t="s">
        <v>1522</v>
      </c>
      <c r="E544" s="16" t="s">
        <v>1779</v>
      </c>
      <c r="F544" s="16" t="s">
        <v>18</v>
      </c>
      <c r="G544" s="16" t="s">
        <v>539</v>
      </c>
      <c r="I544" s="16" t="s">
        <v>1103</v>
      </c>
      <c r="J544" s="16" t="s">
        <v>33</v>
      </c>
    </row>
    <row r="545" spans="1:12" hidden="1" x14ac:dyDescent="0.3">
      <c r="A545" s="16" t="s">
        <v>1523</v>
      </c>
      <c r="B545" s="16"/>
      <c r="C545" s="16"/>
      <c r="D545" s="16" t="s">
        <v>1524</v>
      </c>
      <c r="E545" s="16" t="s">
        <v>1779</v>
      </c>
      <c r="F545" s="16" t="s">
        <v>18</v>
      </c>
      <c r="G545" s="16" t="s">
        <v>539</v>
      </c>
      <c r="I545" s="16" t="s">
        <v>1103</v>
      </c>
      <c r="J545" s="16" t="s">
        <v>33</v>
      </c>
    </row>
    <row r="546" spans="1:12" hidden="1" x14ac:dyDescent="0.3">
      <c r="A546" s="16" t="s">
        <v>1525</v>
      </c>
      <c r="B546" s="16"/>
      <c r="C546" s="16"/>
      <c r="D546" s="16" t="s">
        <v>1526</v>
      </c>
      <c r="E546" s="16" t="s">
        <v>1779</v>
      </c>
      <c r="F546" s="16" t="s">
        <v>18</v>
      </c>
      <c r="G546" s="16" t="s">
        <v>1791</v>
      </c>
      <c r="I546" s="16" t="s">
        <v>1103</v>
      </c>
      <c r="J546" s="16" t="s">
        <v>33</v>
      </c>
    </row>
    <row r="547" spans="1:12" hidden="1" x14ac:dyDescent="0.3">
      <c r="A547" s="16" t="s">
        <v>1527</v>
      </c>
      <c r="B547" s="16"/>
      <c r="C547" s="16"/>
      <c r="D547" s="16" t="s">
        <v>1528</v>
      </c>
      <c r="E547" s="16" t="s">
        <v>1779</v>
      </c>
      <c r="F547" s="16" t="s">
        <v>18</v>
      </c>
      <c r="G547" s="16" t="s">
        <v>539</v>
      </c>
      <c r="I547" s="16" t="s">
        <v>1103</v>
      </c>
      <c r="J547" s="16" t="s">
        <v>33</v>
      </c>
    </row>
    <row r="548" spans="1:12" hidden="1" x14ac:dyDescent="0.3">
      <c r="A548" s="16" t="s">
        <v>1529</v>
      </c>
      <c r="B548" s="16"/>
      <c r="C548" s="16"/>
      <c r="D548" s="16" t="s">
        <v>1530</v>
      </c>
      <c r="E548" s="16" t="s">
        <v>1779</v>
      </c>
      <c r="F548" s="16" t="s">
        <v>18</v>
      </c>
      <c r="G548" s="16" t="s">
        <v>1791</v>
      </c>
      <c r="I548" s="16" t="s">
        <v>1103</v>
      </c>
      <c r="J548" s="16" t="s">
        <v>33</v>
      </c>
    </row>
    <row r="549" spans="1:12" hidden="1" x14ac:dyDescent="0.3">
      <c r="A549" s="16" t="s">
        <v>1531</v>
      </c>
      <c r="B549" s="16"/>
      <c r="C549" s="16"/>
      <c r="D549" s="16" t="s">
        <v>1532</v>
      </c>
      <c r="E549" s="16" t="s">
        <v>1779</v>
      </c>
      <c r="F549" s="16" t="s">
        <v>18</v>
      </c>
      <c r="G549" s="16" t="s">
        <v>617</v>
      </c>
      <c r="I549" s="16" t="s">
        <v>1103</v>
      </c>
      <c r="J549" s="16" t="s">
        <v>33</v>
      </c>
    </row>
    <row r="550" spans="1:12" hidden="1" x14ac:dyDescent="0.3">
      <c r="A550" s="16" t="s">
        <v>1299</v>
      </c>
      <c r="B550" s="16"/>
      <c r="C550" s="16"/>
      <c r="D550" s="16" t="s">
        <v>1533</v>
      </c>
      <c r="E550" s="16" t="s">
        <v>1779</v>
      </c>
      <c r="F550" s="16" t="s">
        <v>18</v>
      </c>
      <c r="G550" s="16" t="s">
        <v>539</v>
      </c>
      <c r="I550" s="16" t="s">
        <v>1127</v>
      </c>
      <c r="J550" s="16" t="s">
        <v>33</v>
      </c>
    </row>
    <row r="551" spans="1:12" hidden="1" x14ac:dyDescent="0.3">
      <c r="A551" s="16" t="s">
        <v>1299</v>
      </c>
      <c r="B551" s="16"/>
      <c r="C551" s="16"/>
      <c r="D551" s="16" t="s">
        <v>1300</v>
      </c>
      <c r="E551" s="16" t="s">
        <v>1778</v>
      </c>
      <c r="F551" s="16" t="s">
        <v>18</v>
      </c>
      <c r="G551" s="16" t="s">
        <v>539</v>
      </c>
      <c r="I551" s="16" t="s">
        <v>1127</v>
      </c>
      <c r="J551" s="16" t="s">
        <v>33</v>
      </c>
    </row>
    <row r="552" spans="1:12" hidden="1" x14ac:dyDescent="0.3">
      <c r="A552" s="16" t="s">
        <v>419</v>
      </c>
      <c r="B552" s="16"/>
      <c r="C552" s="16"/>
      <c r="D552" s="16" t="s">
        <v>420</v>
      </c>
      <c r="E552" s="16" t="s">
        <v>1777</v>
      </c>
      <c r="F552" s="16" t="s">
        <v>18</v>
      </c>
      <c r="G552" s="16" t="s">
        <v>539</v>
      </c>
      <c r="I552" s="16" t="s">
        <v>1127</v>
      </c>
      <c r="J552" s="16" t="s">
        <v>33</v>
      </c>
    </row>
    <row r="553" spans="1:12" hidden="1" x14ac:dyDescent="0.3">
      <c r="A553" s="16" t="s">
        <v>419</v>
      </c>
      <c r="B553" s="16"/>
      <c r="C553" s="16"/>
      <c r="D553" s="16" t="s">
        <v>1301</v>
      </c>
      <c r="E553" s="16" t="s">
        <v>1778</v>
      </c>
      <c r="F553" s="16" t="s">
        <v>18</v>
      </c>
      <c r="G553" s="16" t="s">
        <v>539</v>
      </c>
      <c r="I553" s="16" t="s">
        <v>1127</v>
      </c>
      <c r="J553" s="16" t="s">
        <v>33</v>
      </c>
    </row>
    <row r="554" spans="1:12" hidden="1" x14ac:dyDescent="0.3">
      <c r="A554" s="16" t="s">
        <v>2389</v>
      </c>
      <c r="B554" s="16"/>
      <c r="C554" s="16"/>
      <c r="D554" s="16" t="s">
        <v>2390</v>
      </c>
      <c r="E554" s="16" t="s">
        <v>1796</v>
      </c>
      <c r="F554" s="16" t="s">
        <v>388</v>
      </c>
      <c r="G554" s="16" t="s">
        <v>539</v>
      </c>
      <c r="J554" s="16" t="s">
        <v>33</v>
      </c>
      <c r="L554" s="16" t="s">
        <v>32</v>
      </c>
    </row>
    <row r="555" spans="1:12" hidden="1" x14ac:dyDescent="0.3">
      <c r="A555" s="16" t="s">
        <v>2391</v>
      </c>
      <c r="B555" s="16"/>
      <c r="C555" s="16"/>
      <c r="D555" s="16" t="s">
        <v>2392</v>
      </c>
      <c r="E555" s="16" t="s">
        <v>1779</v>
      </c>
      <c r="F555" s="16" t="s">
        <v>388</v>
      </c>
      <c r="G555" s="16" t="s">
        <v>539</v>
      </c>
      <c r="J555" s="16" t="s">
        <v>33</v>
      </c>
      <c r="L555" s="16" t="s">
        <v>32</v>
      </c>
    </row>
    <row r="556" spans="1:12" hidden="1" x14ac:dyDescent="0.3">
      <c r="A556" s="16" t="s">
        <v>2393</v>
      </c>
      <c r="B556" s="16"/>
      <c r="C556" s="16"/>
      <c r="D556" s="16" t="s">
        <v>2394</v>
      </c>
      <c r="E556" s="16" t="s">
        <v>1779</v>
      </c>
      <c r="F556" s="16" t="s">
        <v>388</v>
      </c>
      <c r="G556" s="16" t="s">
        <v>539</v>
      </c>
      <c r="J556" s="16" t="s">
        <v>33</v>
      </c>
      <c r="L556" s="16" t="s">
        <v>1988</v>
      </c>
    </row>
    <row r="557" spans="1:12" hidden="1" x14ac:dyDescent="0.3">
      <c r="A557" s="16" t="s">
        <v>2395</v>
      </c>
      <c r="B557" s="16"/>
      <c r="C557" s="16"/>
      <c r="D557" s="16" t="s">
        <v>2396</v>
      </c>
      <c r="E557" s="16" t="s">
        <v>1779</v>
      </c>
      <c r="F557" s="16" t="s">
        <v>388</v>
      </c>
      <c r="G557" s="16" t="s">
        <v>539</v>
      </c>
      <c r="J557" s="16" t="s">
        <v>33</v>
      </c>
      <c r="L557" s="16" t="s">
        <v>1988</v>
      </c>
    </row>
    <row r="558" spans="1:12" hidden="1" x14ac:dyDescent="0.3">
      <c r="A558" s="16" t="s">
        <v>2397</v>
      </c>
      <c r="B558" s="16"/>
      <c r="C558" s="16"/>
      <c r="D558" s="16" t="s">
        <v>445</v>
      </c>
      <c r="E558" s="16" t="s">
        <v>1779</v>
      </c>
      <c r="F558" s="16" t="s">
        <v>388</v>
      </c>
      <c r="G558" s="16" t="s">
        <v>539</v>
      </c>
      <c r="J558" s="16" t="s">
        <v>33</v>
      </c>
      <c r="L558" s="16" t="s">
        <v>1988</v>
      </c>
    </row>
    <row r="559" spans="1:12" hidden="1" x14ac:dyDescent="0.3">
      <c r="A559" s="16" t="s">
        <v>2398</v>
      </c>
      <c r="B559" s="16"/>
      <c r="C559" s="16"/>
      <c r="D559" s="16" t="s">
        <v>2399</v>
      </c>
      <c r="E559" s="16" t="s">
        <v>1777</v>
      </c>
      <c r="F559" s="16" t="s">
        <v>388</v>
      </c>
      <c r="G559" s="16" t="s">
        <v>539</v>
      </c>
      <c r="J559" s="16" t="s">
        <v>33</v>
      </c>
      <c r="L559" s="16" t="s">
        <v>1988</v>
      </c>
    </row>
    <row r="560" spans="1:12" hidden="1" x14ac:dyDescent="0.3">
      <c r="A560" s="16" t="s">
        <v>2400</v>
      </c>
      <c r="B560" s="16"/>
      <c r="C560" s="16"/>
      <c r="D560" s="16" t="s">
        <v>2401</v>
      </c>
      <c r="E560" s="16" t="s">
        <v>1779</v>
      </c>
      <c r="F560" s="16" t="s">
        <v>388</v>
      </c>
      <c r="G560" s="16" t="s">
        <v>539</v>
      </c>
      <c r="J560" s="16" t="s">
        <v>33</v>
      </c>
      <c r="L560" s="16" t="s">
        <v>1988</v>
      </c>
    </row>
    <row r="561" spans="1:12" hidden="1" x14ac:dyDescent="0.3">
      <c r="A561" s="16" t="s">
        <v>1534</v>
      </c>
      <c r="B561" s="16"/>
      <c r="C561" s="16"/>
      <c r="D561" s="16" t="s">
        <v>1535</v>
      </c>
      <c r="E561" s="16" t="s">
        <v>1779</v>
      </c>
      <c r="F561" s="16" t="s">
        <v>18</v>
      </c>
      <c r="G561" s="16" t="s">
        <v>539</v>
      </c>
      <c r="I561" s="16" t="s">
        <v>1127</v>
      </c>
      <c r="J561" s="16" t="s">
        <v>33</v>
      </c>
    </row>
    <row r="562" spans="1:12" hidden="1" x14ac:dyDescent="0.3">
      <c r="A562" s="16" t="s">
        <v>173</v>
      </c>
      <c r="B562" s="16"/>
      <c r="C562" s="16"/>
      <c r="D562" s="16" t="s">
        <v>174</v>
      </c>
      <c r="E562" s="16" t="s">
        <v>1779</v>
      </c>
      <c r="F562" s="16" t="s">
        <v>388</v>
      </c>
      <c r="G562" s="16" t="s">
        <v>539</v>
      </c>
      <c r="J562" s="16" t="s">
        <v>33</v>
      </c>
      <c r="L562" s="16" t="s">
        <v>32</v>
      </c>
    </row>
    <row r="563" spans="1:12" hidden="1" x14ac:dyDescent="0.3">
      <c r="A563" s="16" t="s">
        <v>2402</v>
      </c>
      <c r="B563" s="16"/>
      <c r="C563" s="16"/>
      <c r="D563" s="16" t="s">
        <v>2403</v>
      </c>
      <c r="E563" s="16" t="s">
        <v>1779</v>
      </c>
      <c r="F563" s="16" t="s">
        <v>388</v>
      </c>
      <c r="G563" s="16" t="s">
        <v>539</v>
      </c>
      <c r="J563" s="16" t="s">
        <v>33</v>
      </c>
      <c r="L563" s="16" t="s">
        <v>32</v>
      </c>
    </row>
    <row r="564" spans="1:12" hidden="1" x14ac:dyDescent="0.3">
      <c r="A564" s="16" t="s">
        <v>175</v>
      </c>
      <c r="B564" s="16"/>
      <c r="C564" s="16"/>
      <c r="D564" s="16" t="s">
        <v>176</v>
      </c>
      <c r="E564" s="16" t="s">
        <v>1779</v>
      </c>
      <c r="F564" s="16" t="s">
        <v>388</v>
      </c>
      <c r="G564" s="16" t="s">
        <v>539</v>
      </c>
      <c r="J564" s="16" t="s">
        <v>33</v>
      </c>
      <c r="L564" s="16" t="s">
        <v>32</v>
      </c>
    </row>
    <row r="565" spans="1:12" hidden="1" x14ac:dyDescent="0.3">
      <c r="A565" s="16" t="s">
        <v>2404</v>
      </c>
      <c r="B565" s="16"/>
      <c r="C565" s="16"/>
      <c r="D565" s="16" t="s">
        <v>178</v>
      </c>
      <c r="E565" s="16" t="s">
        <v>1779</v>
      </c>
      <c r="F565" s="16" t="s">
        <v>388</v>
      </c>
      <c r="G565" s="16" t="s">
        <v>539</v>
      </c>
      <c r="J565" s="16" t="s">
        <v>33</v>
      </c>
      <c r="L565" s="16" t="s">
        <v>32</v>
      </c>
    </row>
    <row r="566" spans="1:12" hidden="1" x14ac:dyDescent="0.3">
      <c r="A566" s="16" t="s">
        <v>179</v>
      </c>
      <c r="B566" s="16"/>
      <c r="C566" s="16"/>
      <c r="D566" s="16" t="s">
        <v>180</v>
      </c>
      <c r="E566" s="16" t="s">
        <v>1779</v>
      </c>
      <c r="F566" s="16" t="s">
        <v>388</v>
      </c>
      <c r="G566" s="16" t="s">
        <v>539</v>
      </c>
      <c r="J566" s="16" t="s">
        <v>33</v>
      </c>
      <c r="L566" s="16" t="s">
        <v>32</v>
      </c>
    </row>
    <row r="567" spans="1:12" hidden="1" x14ac:dyDescent="0.3">
      <c r="A567" s="16" t="s">
        <v>2405</v>
      </c>
      <c r="B567" s="16"/>
      <c r="C567" s="16"/>
      <c r="D567" s="16" t="s">
        <v>458</v>
      </c>
      <c r="E567" s="16" t="s">
        <v>1779</v>
      </c>
      <c r="F567" s="16" t="s">
        <v>388</v>
      </c>
      <c r="G567" s="16" t="s">
        <v>539</v>
      </c>
      <c r="J567" s="16" t="s">
        <v>33</v>
      </c>
      <c r="L567" s="16" t="s">
        <v>32</v>
      </c>
    </row>
    <row r="568" spans="1:12" hidden="1" x14ac:dyDescent="0.3">
      <c r="A568" s="16" t="s">
        <v>2405</v>
      </c>
      <c r="B568" s="16"/>
      <c r="C568" s="16"/>
      <c r="D568" s="16" t="s">
        <v>458</v>
      </c>
      <c r="E568" s="16" t="s">
        <v>1777</v>
      </c>
      <c r="F568" s="16" t="s">
        <v>388</v>
      </c>
      <c r="G568" s="16" t="s">
        <v>539</v>
      </c>
      <c r="L568" s="16" t="s">
        <v>32</v>
      </c>
    </row>
    <row r="569" spans="1:12" hidden="1" x14ac:dyDescent="0.3">
      <c r="A569" s="16" t="s">
        <v>1536</v>
      </c>
      <c r="B569" s="16"/>
      <c r="C569" s="16"/>
      <c r="D569" s="16" t="s">
        <v>1537</v>
      </c>
      <c r="E569" s="16" t="s">
        <v>1779</v>
      </c>
      <c r="F569" s="16" t="s">
        <v>18</v>
      </c>
      <c r="G569" s="16" t="s">
        <v>1402</v>
      </c>
      <c r="I569" s="16" t="s">
        <v>1127</v>
      </c>
      <c r="J569" s="16" t="s">
        <v>33</v>
      </c>
    </row>
    <row r="570" spans="1:12" hidden="1" x14ac:dyDescent="0.3">
      <c r="A570" s="16" t="s">
        <v>160</v>
      </c>
      <c r="B570" s="16"/>
      <c r="C570" s="16"/>
      <c r="D570" s="16" t="s">
        <v>161</v>
      </c>
      <c r="E570" s="16" t="s">
        <v>1779</v>
      </c>
      <c r="F570" s="16" t="s">
        <v>18</v>
      </c>
      <c r="G570" s="16" t="s">
        <v>539</v>
      </c>
      <c r="I570" s="16" t="s">
        <v>1127</v>
      </c>
      <c r="J570" s="16" t="s">
        <v>33</v>
      </c>
    </row>
    <row r="571" spans="1:12" hidden="1" x14ac:dyDescent="0.3">
      <c r="A571" s="16" t="s">
        <v>1304</v>
      </c>
      <c r="B571" s="16"/>
      <c r="C571" s="16"/>
      <c r="D571" s="16" t="s">
        <v>1305</v>
      </c>
      <c r="E571" s="16" t="s">
        <v>1778</v>
      </c>
      <c r="F571" s="16" t="s">
        <v>18</v>
      </c>
      <c r="G571" s="16" t="s">
        <v>555</v>
      </c>
      <c r="I571" s="16" t="s">
        <v>1127</v>
      </c>
      <c r="J571" s="16" t="s">
        <v>33</v>
      </c>
    </row>
    <row r="572" spans="1:12" hidden="1" x14ac:dyDescent="0.3">
      <c r="A572" s="16" t="s">
        <v>1306</v>
      </c>
      <c r="B572" s="16"/>
      <c r="C572" s="16"/>
      <c r="D572" s="16" t="s">
        <v>1307</v>
      </c>
      <c r="E572" s="16" t="s">
        <v>1778</v>
      </c>
      <c r="F572" s="16" t="s">
        <v>18</v>
      </c>
      <c r="G572" s="16" t="s">
        <v>539</v>
      </c>
      <c r="I572" s="16" t="s">
        <v>1127</v>
      </c>
      <c r="J572" s="16" t="s">
        <v>33</v>
      </c>
    </row>
    <row r="573" spans="1:12" hidden="1" x14ac:dyDescent="0.3">
      <c r="A573" s="16" t="s">
        <v>1308</v>
      </c>
      <c r="B573" s="16"/>
      <c r="C573" s="16"/>
      <c r="D573" s="16" t="s">
        <v>1538</v>
      </c>
      <c r="E573" s="16" t="s">
        <v>1779</v>
      </c>
      <c r="F573" s="16" t="s">
        <v>18</v>
      </c>
      <c r="G573" s="16" t="s">
        <v>539</v>
      </c>
      <c r="I573" s="16" t="s">
        <v>1127</v>
      </c>
      <c r="J573" s="16" t="s">
        <v>33</v>
      </c>
    </row>
    <row r="574" spans="1:12" hidden="1" x14ac:dyDescent="0.3">
      <c r="A574" s="16" t="s">
        <v>1308</v>
      </c>
      <c r="B574" s="16"/>
      <c r="C574" s="16"/>
      <c r="D574" s="16" t="s">
        <v>1309</v>
      </c>
      <c r="E574" s="16" t="s">
        <v>1778</v>
      </c>
      <c r="F574" s="16" t="s">
        <v>18</v>
      </c>
      <c r="G574" s="16" t="s">
        <v>539</v>
      </c>
      <c r="I574" s="16" t="s">
        <v>1127</v>
      </c>
      <c r="J574" s="16" t="s">
        <v>33</v>
      </c>
    </row>
    <row r="575" spans="1:12" hidden="1" x14ac:dyDescent="0.3">
      <c r="A575" s="16" t="s">
        <v>1310</v>
      </c>
      <c r="B575" s="16"/>
      <c r="C575" s="16"/>
      <c r="D575" s="16" t="s">
        <v>1311</v>
      </c>
      <c r="E575" s="16" t="s">
        <v>1778</v>
      </c>
      <c r="F575" s="16" t="s">
        <v>18</v>
      </c>
      <c r="G575" s="16" t="s">
        <v>539</v>
      </c>
      <c r="I575" s="16" t="s">
        <v>1127</v>
      </c>
      <c r="J575" s="16" t="s">
        <v>33</v>
      </c>
    </row>
    <row r="576" spans="1:12" hidden="1" x14ac:dyDescent="0.3">
      <c r="A576" s="16" t="s">
        <v>2406</v>
      </c>
      <c r="B576" s="16"/>
      <c r="C576" s="16"/>
      <c r="D576" s="16" t="s">
        <v>2407</v>
      </c>
      <c r="E576" s="16" t="s">
        <v>1779</v>
      </c>
      <c r="F576" s="16" t="s">
        <v>18</v>
      </c>
      <c r="G576" s="16" t="s">
        <v>539</v>
      </c>
      <c r="I576" s="16" t="s">
        <v>1770</v>
      </c>
      <c r="J576" s="16" t="s">
        <v>33</v>
      </c>
    </row>
    <row r="577" spans="1:14" hidden="1" x14ac:dyDescent="0.3">
      <c r="A577" s="16" t="s">
        <v>2406</v>
      </c>
      <c r="B577" s="16"/>
      <c r="C577" s="16"/>
      <c r="D577" s="16" t="s">
        <v>2408</v>
      </c>
      <c r="E577" s="16" t="s">
        <v>1778</v>
      </c>
      <c r="F577" s="16" t="s">
        <v>18</v>
      </c>
      <c r="G577" s="16" t="s">
        <v>539</v>
      </c>
      <c r="I577" s="16" t="s">
        <v>1770</v>
      </c>
      <c r="J577" s="16" t="s">
        <v>33</v>
      </c>
    </row>
    <row r="578" spans="1:14" hidden="1" x14ac:dyDescent="0.3">
      <c r="A578" s="16" t="s">
        <v>2409</v>
      </c>
      <c r="B578" s="16"/>
      <c r="C578" s="16"/>
      <c r="D578" s="16" t="s">
        <v>2410</v>
      </c>
      <c r="E578" s="16" t="s">
        <v>1779</v>
      </c>
      <c r="F578" s="16" t="s">
        <v>388</v>
      </c>
      <c r="G578" s="16" t="s">
        <v>539</v>
      </c>
      <c r="J578" s="16" t="s">
        <v>33</v>
      </c>
      <c r="L578" s="16" t="s">
        <v>32</v>
      </c>
    </row>
    <row r="579" spans="1:14" hidden="1" x14ac:dyDescent="0.3">
      <c r="A579" s="16" t="s">
        <v>1312</v>
      </c>
      <c r="B579" s="16"/>
      <c r="C579" s="16"/>
      <c r="D579" s="16" t="s">
        <v>1313</v>
      </c>
      <c r="E579" s="16" t="s">
        <v>1778</v>
      </c>
      <c r="F579" s="16" t="s">
        <v>18</v>
      </c>
      <c r="G579" s="16" t="s">
        <v>617</v>
      </c>
      <c r="I579" s="16" t="s">
        <v>1127</v>
      </c>
      <c r="J579" s="16" t="s">
        <v>33</v>
      </c>
    </row>
    <row r="580" spans="1:14" hidden="1" x14ac:dyDescent="0.3">
      <c r="A580" s="16" t="s">
        <v>2411</v>
      </c>
      <c r="B580" s="16"/>
      <c r="C580" s="16"/>
      <c r="D580" s="16" t="s">
        <v>2412</v>
      </c>
      <c r="E580" s="16" t="s">
        <v>1779</v>
      </c>
      <c r="F580" s="16" t="s">
        <v>133</v>
      </c>
      <c r="G580" s="16" t="s">
        <v>661</v>
      </c>
      <c r="J580" s="16" t="s">
        <v>33</v>
      </c>
    </row>
    <row r="581" spans="1:14" hidden="1" x14ac:dyDescent="0.3">
      <c r="A581" s="16" t="s">
        <v>2413</v>
      </c>
      <c r="B581" s="16"/>
      <c r="C581" s="16"/>
      <c r="D581" s="16" t="s">
        <v>2414</v>
      </c>
      <c r="E581" s="16" t="s">
        <v>1779</v>
      </c>
      <c r="F581" s="16" t="s">
        <v>388</v>
      </c>
      <c r="G581" s="16" t="s">
        <v>539</v>
      </c>
      <c r="J581" s="16" t="s">
        <v>33</v>
      </c>
      <c r="L581" s="16" t="s">
        <v>32</v>
      </c>
    </row>
    <row r="582" spans="1:14" hidden="1" x14ac:dyDescent="0.3">
      <c r="A582" s="16" t="s">
        <v>2415</v>
      </c>
      <c r="B582" s="16"/>
      <c r="C582" s="16"/>
      <c r="D582" s="16" t="s">
        <v>2416</v>
      </c>
      <c r="E582" s="16" t="s">
        <v>1779</v>
      </c>
      <c r="F582" s="16" t="s">
        <v>388</v>
      </c>
      <c r="G582" s="16" t="s">
        <v>539</v>
      </c>
      <c r="J582" s="16" t="s">
        <v>33</v>
      </c>
      <c r="L582" s="16" t="s">
        <v>32</v>
      </c>
      <c r="M582" s="16" t="s">
        <v>2417</v>
      </c>
      <c r="N582" s="16" t="s">
        <v>33</v>
      </c>
    </row>
    <row r="583" spans="1:14" hidden="1" x14ac:dyDescent="0.3">
      <c r="A583" s="16" t="s">
        <v>2415</v>
      </c>
      <c r="B583" s="16"/>
      <c r="C583" s="16"/>
      <c r="D583" s="16" t="s">
        <v>2416</v>
      </c>
      <c r="E583" s="16" t="s">
        <v>1915</v>
      </c>
      <c r="F583" s="16" t="s">
        <v>388</v>
      </c>
      <c r="G583" s="16" t="s">
        <v>539</v>
      </c>
      <c r="J583" s="16" t="s">
        <v>33</v>
      </c>
      <c r="L583" s="16" t="s">
        <v>32</v>
      </c>
      <c r="M583" s="16" t="s">
        <v>2417</v>
      </c>
      <c r="N583" s="16" t="s">
        <v>33</v>
      </c>
    </row>
    <row r="584" spans="1:14" hidden="1" x14ac:dyDescent="0.3">
      <c r="A584" s="16" t="s">
        <v>2418</v>
      </c>
      <c r="B584" s="16"/>
      <c r="C584" s="16"/>
      <c r="D584" s="16" t="s">
        <v>2419</v>
      </c>
      <c r="E584" s="16" t="s">
        <v>1779</v>
      </c>
      <c r="F584" s="16" t="s">
        <v>133</v>
      </c>
      <c r="G584" s="16" t="s">
        <v>539</v>
      </c>
      <c r="J584" s="16" t="s">
        <v>33</v>
      </c>
    </row>
    <row r="585" spans="1:14" hidden="1" x14ac:dyDescent="0.3">
      <c r="A585" s="16" t="s">
        <v>2418</v>
      </c>
      <c r="B585" s="16"/>
      <c r="C585" s="16"/>
      <c r="D585" s="16" t="s">
        <v>2420</v>
      </c>
      <c r="E585" s="16" t="s">
        <v>1915</v>
      </c>
      <c r="F585" s="16" t="s">
        <v>133</v>
      </c>
      <c r="G585" s="16" t="s">
        <v>539</v>
      </c>
      <c r="J585" s="16" t="s">
        <v>33</v>
      </c>
    </row>
    <row r="586" spans="1:14" hidden="1" x14ac:dyDescent="0.3">
      <c r="A586" s="16" t="s">
        <v>2418</v>
      </c>
      <c r="B586" s="16"/>
      <c r="C586" s="16"/>
      <c r="D586" s="16" t="s">
        <v>2421</v>
      </c>
      <c r="E586" s="16" t="s">
        <v>1778</v>
      </c>
      <c r="F586" s="16" t="s">
        <v>133</v>
      </c>
      <c r="G586" s="16" t="s">
        <v>539</v>
      </c>
      <c r="J586" s="16" t="s">
        <v>33</v>
      </c>
    </row>
    <row r="587" spans="1:14" hidden="1" x14ac:dyDescent="0.3">
      <c r="A587" s="16" t="s">
        <v>2422</v>
      </c>
      <c r="B587" s="16"/>
      <c r="C587" s="16"/>
      <c r="D587" s="16" t="s">
        <v>2423</v>
      </c>
      <c r="E587" s="16" t="s">
        <v>1779</v>
      </c>
      <c r="F587" s="16" t="s">
        <v>133</v>
      </c>
      <c r="G587" s="16" t="s">
        <v>2424</v>
      </c>
      <c r="J587" s="16" t="s">
        <v>33</v>
      </c>
    </row>
    <row r="588" spans="1:14" hidden="1" x14ac:dyDescent="0.3">
      <c r="A588" s="16" t="s">
        <v>2422</v>
      </c>
      <c r="B588" s="16"/>
      <c r="C588" s="16"/>
      <c r="D588" s="16" t="s">
        <v>2423</v>
      </c>
      <c r="E588" s="16" t="s">
        <v>1915</v>
      </c>
      <c r="F588" s="16" t="s">
        <v>133</v>
      </c>
      <c r="G588" s="16" t="s">
        <v>2424</v>
      </c>
      <c r="J588" s="16" t="s">
        <v>33</v>
      </c>
    </row>
    <row r="589" spans="1:14" hidden="1" x14ac:dyDescent="0.3">
      <c r="A589" s="16" t="s">
        <v>2422</v>
      </c>
      <c r="B589" s="16"/>
      <c r="C589" s="16"/>
      <c r="D589" s="16" t="s">
        <v>2423</v>
      </c>
      <c r="E589" s="16" t="s">
        <v>1778</v>
      </c>
      <c r="F589" s="16" t="s">
        <v>133</v>
      </c>
      <c r="G589" s="16" t="s">
        <v>2424</v>
      </c>
      <c r="J589" s="16" t="s">
        <v>33</v>
      </c>
    </row>
    <row r="590" spans="1:14" hidden="1" x14ac:dyDescent="0.3">
      <c r="A590" s="16" t="s">
        <v>2425</v>
      </c>
      <c r="B590" s="16"/>
      <c r="C590" s="16"/>
      <c r="D590" s="16" t="s">
        <v>2426</v>
      </c>
      <c r="E590" s="16" t="s">
        <v>1779</v>
      </c>
      <c r="F590" s="16" t="s">
        <v>388</v>
      </c>
      <c r="G590" s="16" t="s">
        <v>539</v>
      </c>
      <c r="J590" s="16" t="s">
        <v>33</v>
      </c>
      <c r="L590" s="16" t="s">
        <v>32</v>
      </c>
      <c r="M590" s="16" t="s">
        <v>2417</v>
      </c>
      <c r="N590" s="16" t="s">
        <v>33</v>
      </c>
    </row>
    <row r="591" spans="1:14" hidden="1" x14ac:dyDescent="0.3">
      <c r="A591" s="16" t="s">
        <v>416</v>
      </c>
      <c r="B591" s="16"/>
      <c r="C591" s="16"/>
      <c r="D591" s="16" t="s">
        <v>417</v>
      </c>
      <c r="E591" s="16" t="s">
        <v>1777</v>
      </c>
      <c r="F591" s="16" t="s">
        <v>388</v>
      </c>
      <c r="G591" s="16" t="s">
        <v>539</v>
      </c>
      <c r="J591" s="16" t="s">
        <v>33</v>
      </c>
      <c r="L591" s="16" t="s">
        <v>32</v>
      </c>
    </row>
    <row r="592" spans="1:14" hidden="1" x14ac:dyDescent="0.3">
      <c r="A592" s="16" t="s">
        <v>2427</v>
      </c>
      <c r="B592" s="16"/>
      <c r="C592" s="16"/>
      <c r="D592" s="16" t="s">
        <v>143</v>
      </c>
      <c r="E592" s="16" t="s">
        <v>1779</v>
      </c>
      <c r="F592" s="16" t="s">
        <v>388</v>
      </c>
      <c r="G592" s="16" t="s">
        <v>539</v>
      </c>
      <c r="J592" s="16" t="s">
        <v>33</v>
      </c>
      <c r="L592" s="16" t="s">
        <v>32</v>
      </c>
    </row>
    <row r="593" spans="1:12" hidden="1" x14ac:dyDescent="0.3">
      <c r="A593" s="16" t="s">
        <v>2427</v>
      </c>
      <c r="B593" s="16"/>
      <c r="C593" s="16"/>
      <c r="D593" s="16" t="s">
        <v>143</v>
      </c>
      <c r="E593" s="16" t="s">
        <v>1777</v>
      </c>
      <c r="F593" s="16" t="s">
        <v>388</v>
      </c>
      <c r="G593" s="16" t="s">
        <v>539</v>
      </c>
      <c r="J593" s="16" t="s">
        <v>33</v>
      </c>
      <c r="L593" s="16" t="s">
        <v>32</v>
      </c>
    </row>
    <row r="594" spans="1:12" hidden="1" x14ac:dyDescent="0.3">
      <c r="A594" s="16" t="s">
        <v>2428</v>
      </c>
      <c r="B594" s="16"/>
      <c r="C594" s="16"/>
      <c r="D594" s="16" t="s">
        <v>2429</v>
      </c>
      <c r="E594" s="16" t="s">
        <v>1777</v>
      </c>
      <c r="F594" s="16" t="s">
        <v>388</v>
      </c>
      <c r="G594" s="16" t="s">
        <v>539</v>
      </c>
      <c r="J594" s="16" t="s">
        <v>33</v>
      </c>
      <c r="L594" s="16" t="s">
        <v>32</v>
      </c>
    </row>
    <row r="595" spans="1:12" hidden="1" x14ac:dyDescent="0.3">
      <c r="A595" s="16" t="s">
        <v>2430</v>
      </c>
      <c r="B595" s="16"/>
      <c r="C595" s="16"/>
      <c r="D595" s="16" t="s">
        <v>2431</v>
      </c>
      <c r="E595" s="16" t="s">
        <v>1779</v>
      </c>
      <c r="F595" s="16" t="s">
        <v>133</v>
      </c>
      <c r="G595" s="16" t="s">
        <v>1791</v>
      </c>
      <c r="J595" s="16" t="s">
        <v>33</v>
      </c>
    </row>
    <row r="596" spans="1:12" hidden="1" x14ac:dyDescent="0.3">
      <c r="A596" s="16" t="s">
        <v>2432</v>
      </c>
      <c r="B596" s="16"/>
      <c r="C596" s="16"/>
      <c r="D596" s="16" t="s">
        <v>2433</v>
      </c>
      <c r="E596" s="16" t="s">
        <v>1779</v>
      </c>
      <c r="F596" s="16" t="s">
        <v>133</v>
      </c>
      <c r="G596" s="16" t="s">
        <v>1791</v>
      </c>
      <c r="J596" s="16" t="s">
        <v>33</v>
      </c>
    </row>
    <row r="597" spans="1:12" hidden="1" x14ac:dyDescent="0.3">
      <c r="A597" s="16" t="s">
        <v>2434</v>
      </c>
      <c r="B597" s="16"/>
      <c r="C597" s="16"/>
      <c r="D597" s="16" t="s">
        <v>2435</v>
      </c>
      <c r="E597" s="16" t="s">
        <v>1915</v>
      </c>
      <c r="F597" s="16" t="s">
        <v>133</v>
      </c>
      <c r="G597" s="16" t="s">
        <v>1791</v>
      </c>
      <c r="J597" s="16" t="s">
        <v>33</v>
      </c>
    </row>
    <row r="598" spans="1:12" hidden="1" x14ac:dyDescent="0.3">
      <c r="A598" s="16" t="s">
        <v>322</v>
      </c>
      <c r="B598" s="16"/>
      <c r="C598" s="16"/>
      <c r="D598" s="16" t="s">
        <v>323</v>
      </c>
      <c r="E598" s="16" t="s">
        <v>1779</v>
      </c>
      <c r="F598" s="16" t="s">
        <v>18</v>
      </c>
      <c r="G598" s="16" t="s">
        <v>539</v>
      </c>
      <c r="I598" s="16" t="s">
        <v>1127</v>
      </c>
      <c r="J598" s="16" t="s">
        <v>33</v>
      </c>
    </row>
    <row r="599" spans="1:12" hidden="1" x14ac:dyDescent="0.3">
      <c r="A599" s="16" t="s">
        <v>53</v>
      </c>
      <c r="B599" s="16"/>
      <c r="C599" s="16"/>
      <c r="D599" s="16" t="s">
        <v>189</v>
      </c>
      <c r="E599" s="16" t="s">
        <v>1779</v>
      </c>
      <c r="F599" s="16" t="s">
        <v>18</v>
      </c>
      <c r="G599" s="16" t="s">
        <v>539</v>
      </c>
      <c r="I599" s="16" t="s">
        <v>1127</v>
      </c>
      <c r="J599" s="16" t="s">
        <v>33</v>
      </c>
    </row>
    <row r="600" spans="1:12" hidden="1" x14ac:dyDescent="0.3">
      <c r="A600" s="16" t="s">
        <v>1314</v>
      </c>
      <c r="B600" s="16"/>
      <c r="C600" s="16"/>
      <c r="D600" s="16" t="s">
        <v>54</v>
      </c>
      <c r="E600" s="16" t="s">
        <v>1778</v>
      </c>
      <c r="F600" s="16" t="s">
        <v>18</v>
      </c>
      <c r="G600" s="16" t="s">
        <v>539</v>
      </c>
      <c r="I600" s="16" t="s">
        <v>1127</v>
      </c>
      <c r="J600" s="16" t="s">
        <v>33</v>
      </c>
    </row>
    <row r="601" spans="1:12" hidden="1" x14ac:dyDescent="0.3">
      <c r="A601" s="16" t="s">
        <v>1671</v>
      </c>
      <c r="B601" s="16"/>
      <c r="C601" s="16"/>
      <c r="D601" s="16" t="s">
        <v>46</v>
      </c>
      <c r="E601" s="16" t="s">
        <v>1778</v>
      </c>
      <c r="F601" s="16" t="s">
        <v>18</v>
      </c>
      <c r="G601" s="16" t="s">
        <v>555</v>
      </c>
      <c r="I601" s="16" t="s">
        <v>1127</v>
      </c>
      <c r="J601" s="16" t="s">
        <v>33</v>
      </c>
    </row>
    <row r="602" spans="1:12" hidden="1" x14ac:dyDescent="0.3">
      <c r="A602" s="16" t="s">
        <v>1672</v>
      </c>
      <c r="B602" s="16"/>
      <c r="C602" s="16"/>
      <c r="D602" s="16" t="s">
        <v>48</v>
      </c>
      <c r="E602" s="16" t="s">
        <v>1778</v>
      </c>
      <c r="F602" s="16" t="s">
        <v>18</v>
      </c>
      <c r="G602" s="16" t="s">
        <v>555</v>
      </c>
      <c r="I602" s="16" t="s">
        <v>1127</v>
      </c>
      <c r="J602" s="16" t="s">
        <v>33</v>
      </c>
    </row>
    <row r="603" spans="1:12" hidden="1" x14ac:dyDescent="0.3">
      <c r="A603" s="16" t="s">
        <v>2436</v>
      </c>
      <c r="B603" s="16"/>
      <c r="C603" s="16"/>
      <c r="D603" s="16" t="s">
        <v>2437</v>
      </c>
      <c r="E603" s="16" t="s">
        <v>1778</v>
      </c>
      <c r="F603" s="16" t="s">
        <v>50</v>
      </c>
      <c r="G603" s="16" t="s">
        <v>555</v>
      </c>
      <c r="J603" s="16" t="s">
        <v>33</v>
      </c>
    </row>
    <row r="604" spans="1:12" hidden="1" x14ac:dyDescent="0.3">
      <c r="A604" s="16" t="s">
        <v>1673</v>
      </c>
      <c r="B604" s="16"/>
      <c r="C604" s="16"/>
      <c r="D604" s="16" t="s">
        <v>52</v>
      </c>
      <c r="E604" s="16" t="s">
        <v>1778</v>
      </c>
      <c r="F604" s="16" t="s">
        <v>18</v>
      </c>
      <c r="G604" s="16" t="s">
        <v>555</v>
      </c>
      <c r="I604" s="16" t="s">
        <v>1127</v>
      </c>
      <c r="J604" s="16" t="s">
        <v>33</v>
      </c>
    </row>
    <row r="605" spans="1:12" hidden="1" x14ac:dyDescent="0.3">
      <c r="A605" s="16" t="s">
        <v>1315</v>
      </c>
      <c r="B605" s="16"/>
      <c r="C605" s="16"/>
      <c r="D605" s="16" t="s">
        <v>1316</v>
      </c>
      <c r="E605" s="16" t="s">
        <v>1778</v>
      </c>
      <c r="F605" s="16" t="s">
        <v>18</v>
      </c>
      <c r="G605" s="16" t="s">
        <v>555</v>
      </c>
      <c r="I605" s="16" t="s">
        <v>1127</v>
      </c>
      <c r="J605" s="16" t="s">
        <v>33</v>
      </c>
    </row>
    <row r="606" spans="1:12" hidden="1" x14ac:dyDescent="0.3">
      <c r="A606" s="16" t="s">
        <v>1317</v>
      </c>
      <c r="B606" s="16"/>
      <c r="C606" s="16"/>
      <c r="D606" s="16" t="s">
        <v>1318</v>
      </c>
      <c r="E606" s="16" t="s">
        <v>1778</v>
      </c>
      <c r="F606" s="16" t="s">
        <v>18</v>
      </c>
      <c r="G606" s="16" t="s">
        <v>555</v>
      </c>
      <c r="I606" s="16" t="s">
        <v>1127</v>
      </c>
      <c r="J606" s="16" t="s">
        <v>33</v>
      </c>
    </row>
    <row r="607" spans="1:12" hidden="1" x14ac:dyDescent="0.3">
      <c r="A607" s="16" t="s">
        <v>1317</v>
      </c>
      <c r="B607" s="16"/>
      <c r="C607" s="16"/>
      <c r="D607" s="16" t="s">
        <v>1557</v>
      </c>
      <c r="E607" s="16" t="s">
        <v>1779</v>
      </c>
      <c r="F607" s="16" t="s">
        <v>18</v>
      </c>
      <c r="G607" s="16" t="s">
        <v>555</v>
      </c>
      <c r="I607" s="16" t="s">
        <v>1127</v>
      </c>
      <c r="J607" s="16" t="s">
        <v>33</v>
      </c>
    </row>
    <row r="608" spans="1:12" hidden="1" x14ac:dyDescent="0.3">
      <c r="A608" s="16" t="s">
        <v>2438</v>
      </c>
      <c r="B608" s="16"/>
      <c r="C608" s="16"/>
      <c r="D608" s="16" t="s">
        <v>2439</v>
      </c>
      <c r="E608" s="16" t="s">
        <v>1778</v>
      </c>
      <c r="F608" s="16" t="s">
        <v>50</v>
      </c>
      <c r="G608" s="16" t="s">
        <v>555</v>
      </c>
      <c r="J608" s="16" t="s">
        <v>33</v>
      </c>
    </row>
    <row r="609" spans="1:12" hidden="1" x14ac:dyDescent="0.3">
      <c r="A609" s="16" t="s">
        <v>2438</v>
      </c>
      <c r="B609" s="16"/>
      <c r="C609" s="16"/>
      <c r="D609" s="16" t="s">
        <v>2440</v>
      </c>
      <c r="E609" s="16" t="s">
        <v>1778</v>
      </c>
      <c r="F609" s="16" t="s">
        <v>18</v>
      </c>
      <c r="G609" s="16" t="s">
        <v>555</v>
      </c>
      <c r="I609" s="16" t="s">
        <v>1770</v>
      </c>
      <c r="J609" s="16" t="s">
        <v>33</v>
      </c>
    </row>
    <row r="610" spans="1:12" hidden="1" x14ac:dyDescent="0.3">
      <c r="A610" s="16" t="s">
        <v>2441</v>
      </c>
      <c r="B610" s="16"/>
      <c r="C610" s="16"/>
      <c r="D610" s="16" t="s">
        <v>2442</v>
      </c>
      <c r="E610" s="16" t="s">
        <v>1778</v>
      </c>
      <c r="F610" s="16" t="s">
        <v>18</v>
      </c>
      <c r="G610" s="16" t="s">
        <v>555</v>
      </c>
      <c r="I610" s="16" t="s">
        <v>1770</v>
      </c>
      <c r="J610" s="16" t="s">
        <v>33</v>
      </c>
    </row>
    <row r="611" spans="1:12" hidden="1" x14ac:dyDescent="0.3">
      <c r="A611" s="16" t="s">
        <v>1319</v>
      </c>
      <c r="B611" s="16"/>
      <c r="C611" s="16"/>
      <c r="D611" s="16" t="s">
        <v>1320</v>
      </c>
      <c r="E611" s="16" t="s">
        <v>1778</v>
      </c>
      <c r="F611" s="16" t="s">
        <v>18</v>
      </c>
      <c r="G611" s="16" t="s">
        <v>555</v>
      </c>
      <c r="I611" s="16" t="s">
        <v>1127</v>
      </c>
      <c r="J611" s="16" t="s">
        <v>33</v>
      </c>
    </row>
    <row r="612" spans="1:12" hidden="1" x14ac:dyDescent="0.3">
      <c r="A612" s="16" t="s">
        <v>1319</v>
      </c>
      <c r="B612" s="16"/>
      <c r="C612" s="16"/>
      <c r="D612" s="16" t="s">
        <v>1539</v>
      </c>
      <c r="E612" s="16" t="s">
        <v>1779</v>
      </c>
      <c r="F612" s="16" t="s">
        <v>18</v>
      </c>
      <c r="G612" s="16" t="s">
        <v>555</v>
      </c>
      <c r="I612" s="16" t="s">
        <v>1127</v>
      </c>
      <c r="J612" s="16" t="s">
        <v>33</v>
      </c>
    </row>
    <row r="613" spans="1:12" hidden="1" x14ac:dyDescent="0.3">
      <c r="A613" s="16" t="s">
        <v>2443</v>
      </c>
      <c r="B613" s="16"/>
      <c r="C613" s="16"/>
      <c r="D613" s="16" t="s">
        <v>2444</v>
      </c>
      <c r="E613" s="16" t="s">
        <v>1778</v>
      </c>
      <c r="F613" s="16" t="s">
        <v>50</v>
      </c>
      <c r="G613" s="16" t="s">
        <v>555</v>
      </c>
      <c r="J613" s="16" t="s">
        <v>33</v>
      </c>
    </row>
    <row r="614" spans="1:12" hidden="1" x14ac:dyDescent="0.3">
      <c r="A614" s="16" t="s">
        <v>1321</v>
      </c>
      <c r="B614" s="16"/>
      <c r="C614" s="16"/>
      <c r="D614" s="16" t="s">
        <v>2445</v>
      </c>
      <c r="E614" s="16" t="s">
        <v>1778</v>
      </c>
      <c r="F614" s="16" t="s">
        <v>50</v>
      </c>
      <c r="G614" s="16" t="s">
        <v>555</v>
      </c>
      <c r="J614" s="16" t="s">
        <v>33</v>
      </c>
    </row>
    <row r="615" spans="1:12" hidden="1" x14ac:dyDescent="0.3">
      <c r="A615" s="16" t="s">
        <v>1321</v>
      </c>
      <c r="B615" s="16"/>
      <c r="C615" s="16"/>
      <c r="D615" s="16" t="s">
        <v>1322</v>
      </c>
      <c r="E615" s="16" t="s">
        <v>1778</v>
      </c>
      <c r="F615" s="16" t="s">
        <v>18</v>
      </c>
      <c r="G615" s="16" t="s">
        <v>555</v>
      </c>
      <c r="I615" s="16" t="s">
        <v>1770</v>
      </c>
      <c r="J615" s="16" t="s">
        <v>33</v>
      </c>
    </row>
    <row r="616" spans="1:12" x14ac:dyDescent="0.3">
      <c r="A616" s="16" t="s">
        <v>2446</v>
      </c>
      <c r="B616" s="16"/>
      <c r="C616" s="16"/>
      <c r="D616" s="16" t="s">
        <v>2447</v>
      </c>
      <c r="E616" s="16" t="s">
        <v>1779</v>
      </c>
      <c r="F616" s="16" t="s">
        <v>18</v>
      </c>
      <c r="G616" s="16" t="s">
        <v>539</v>
      </c>
      <c r="I616" s="16" t="s">
        <v>1770</v>
      </c>
      <c r="J616" s="16" t="s">
        <v>33</v>
      </c>
    </row>
    <row r="617" spans="1:12" hidden="1" x14ac:dyDescent="0.3">
      <c r="A617" s="16" t="s">
        <v>2448</v>
      </c>
      <c r="B617" s="16"/>
      <c r="C617" s="16"/>
      <c r="D617" s="16" t="s">
        <v>2449</v>
      </c>
      <c r="E617" s="16" t="s">
        <v>1779</v>
      </c>
      <c r="F617" s="16" t="s">
        <v>388</v>
      </c>
      <c r="G617" s="16" t="s">
        <v>539</v>
      </c>
      <c r="J617" s="16" t="s">
        <v>33</v>
      </c>
      <c r="L617" s="16" t="s">
        <v>32</v>
      </c>
    </row>
    <row r="618" spans="1:12" hidden="1" x14ac:dyDescent="0.3">
      <c r="A618" s="16" t="s">
        <v>1546</v>
      </c>
      <c r="B618" s="16"/>
      <c r="C618" s="16"/>
      <c r="D618" s="16" t="s">
        <v>1547</v>
      </c>
      <c r="E618" s="16" t="s">
        <v>1779</v>
      </c>
      <c r="F618" s="16" t="s">
        <v>18</v>
      </c>
      <c r="G618" s="16" t="s">
        <v>539</v>
      </c>
      <c r="I618" s="16" t="s">
        <v>1127</v>
      </c>
      <c r="J618" s="16" t="s">
        <v>33</v>
      </c>
    </row>
    <row r="619" spans="1:12" hidden="1" x14ac:dyDescent="0.3">
      <c r="A619" s="16" t="s">
        <v>1323</v>
      </c>
      <c r="B619" s="16"/>
      <c r="C619" s="16"/>
      <c r="D619" s="16" t="s">
        <v>1324</v>
      </c>
      <c r="E619" s="16" t="s">
        <v>1778</v>
      </c>
      <c r="F619" s="16" t="s">
        <v>18</v>
      </c>
      <c r="G619" s="16" t="s">
        <v>555</v>
      </c>
      <c r="I619" s="16" t="s">
        <v>1127</v>
      </c>
      <c r="J619" s="16" t="s">
        <v>33</v>
      </c>
    </row>
    <row r="620" spans="1:12" hidden="1" x14ac:dyDescent="0.3">
      <c r="A620" s="16" t="s">
        <v>1325</v>
      </c>
      <c r="B620" s="16"/>
      <c r="C620" s="16"/>
      <c r="D620" s="16" t="s">
        <v>1326</v>
      </c>
      <c r="E620" s="16" t="s">
        <v>1778</v>
      </c>
      <c r="F620" s="16" t="s">
        <v>18</v>
      </c>
      <c r="G620" s="16" t="s">
        <v>555</v>
      </c>
      <c r="I620" s="16" t="s">
        <v>1127</v>
      </c>
      <c r="J620" s="16" t="s">
        <v>33</v>
      </c>
    </row>
    <row r="621" spans="1:12" hidden="1" x14ac:dyDescent="0.3">
      <c r="A621" s="16" t="s">
        <v>2450</v>
      </c>
      <c r="B621" s="16"/>
      <c r="C621" s="16"/>
      <c r="D621" s="16" t="s">
        <v>2451</v>
      </c>
      <c r="E621" s="16" t="s">
        <v>1779</v>
      </c>
      <c r="F621" s="16" t="s">
        <v>2042</v>
      </c>
      <c r="G621" s="16" t="s">
        <v>555</v>
      </c>
      <c r="J621" s="16" t="s">
        <v>33</v>
      </c>
    </row>
    <row r="622" spans="1:12" hidden="1" x14ac:dyDescent="0.3">
      <c r="A622" s="16" t="s">
        <v>2450</v>
      </c>
      <c r="B622" s="16"/>
      <c r="C622" s="16"/>
      <c r="D622" s="16" t="s">
        <v>2451</v>
      </c>
      <c r="E622" s="16" t="s">
        <v>1778</v>
      </c>
      <c r="F622" s="16" t="s">
        <v>2042</v>
      </c>
      <c r="G622" s="16" t="s">
        <v>555</v>
      </c>
      <c r="J622" s="16" t="s">
        <v>33</v>
      </c>
    </row>
    <row r="623" spans="1:12" hidden="1" x14ac:dyDescent="0.3">
      <c r="A623" s="16" t="s">
        <v>2450</v>
      </c>
      <c r="B623" s="16"/>
      <c r="C623" s="16"/>
      <c r="D623" s="16" t="s">
        <v>2451</v>
      </c>
      <c r="E623" s="16" t="s">
        <v>2320</v>
      </c>
      <c r="F623" s="16" t="s">
        <v>2042</v>
      </c>
      <c r="G623" s="16" t="s">
        <v>555</v>
      </c>
      <c r="J623" s="16" t="s">
        <v>33</v>
      </c>
    </row>
    <row r="624" spans="1:12" hidden="1" x14ac:dyDescent="0.3">
      <c r="A624" s="16" t="s">
        <v>2450</v>
      </c>
      <c r="B624" s="16"/>
      <c r="C624" s="16"/>
      <c r="D624" s="16" t="s">
        <v>2452</v>
      </c>
      <c r="E624" s="16" t="s">
        <v>1779</v>
      </c>
      <c r="F624" s="16" t="s">
        <v>18</v>
      </c>
      <c r="G624" s="16" t="s">
        <v>555</v>
      </c>
      <c r="I624" s="16" t="s">
        <v>1770</v>
      </c>
      <c r="J624" s="16" t="s">
        <v>33</v>
      </c>
    </row>
    <row r="625" spans="1:10" hidden="1" x14ac:dyDescent="0.3">
      <c r="A625" s="16" t="s">
        <v>2450</v>
      </c>
      <c r="B625" s="16"/>
      <c r="C625" s="16"/>
      <c r="D625" s="16" t="s">
        <v>2453</v>
      </c>
      <c r="E625" s="16" t="s">
        <v>1778</v>
      </c>
      <c r="F625" s="16" t="s">
        <v>18</v>
      </c>
      <c r="G625" s="16" t="s">
        <v>555</v>
      </c>
      <c r="I625" s="16" t="s">
        <v>1770</v>
      </c>
      <c r="J625" s="16" t="s">
        <v>33</v>
      </c>
    </row>
    <row r="626" spans="1:10" hidden="1" x14ac:dyDescent="0.3">
      <c r="A626" s="16" t="s">
        <v>2454</v>
      </c>
      <c r="B626" s="16"/>
      <c r="C626" s="16"/>
      <c r="D626" s="16" t="s">
        <v>2455</v>
      </c>
      <c r="E626" s="16" t="s">
        <v>1779</v>
      </c>
      <c r="F626" s="16" t="s">
        <v>2042</v>
      </c>
      <c r="G626" s="16" t="s">
        <v>661</v>
      </c>
      <c r="J626" s="16" t="s">
        <v>33</v>
      </c>
    </row>
    <row r="627" spans="1:10" hidden="1" x14ac:dyDescent="0.3">
      <c r="A627" s="16" t="s">
        <v>2454</v>
      </c>
      <c r="B627" s="16"/>
      <c r="C627" s="16"/>
      <c r="D627" s="16" t="s">
        <v>2455</v>
      </c>
      <c r="E627" s="16" t="s">
        <v>1778</v>
      </c>
      <c r="F627" s="16" t="s">
        <v>2042</v>
      </c>
      <c r="G627" s="16" t="s">
        <v>661</v>
      </c>
      <c r="J627" s="16" t="s">
        <v>33</v>
      </c>
    </row>
    <row r="628" spans="1:10" hidden="1" x14ac:dyDescent="0.3">
      <c r="A628" s="16" t="s">
        <v>2454</v>
      </c>
      <c r="B628" s="16"/>
      <c r="C628" s="16"/>
      <c r="D628" s="16" t="s">
        <v>2455</v>
      </c>
      <c r="E628" s="16" t="s">
        <v>2320</v>
      </c>
      <c r="F628" s="16" t="s">
        <v>2042</v>
      </c>
      <c r="G628" s="16" t="s">
        <v>661</v>
      </c>
      <c r="J628" s="16" t="s">
        <v>33</v>
      </c>
    </row>
    <row r="629" spans="1:10" hidden="1" x14ac:dyDescent="0.3">
      <c r="A629" s="16" t="s">
        <v>2454</v>
      </c>
      <c r="B629" s="16"/>
      <c r="C629" s="16"/>
      <c r="D629" s="16" t="s">
        <v>2456</v>
      </c>
      <c r="E629" s="16" t="s">
        <v>1779</v>
      </c>
      <c r="F629" s="16" t="s">
        <v>18</v>
      </c>
      <c r="G629" s="16" t="s">
        <v>661</v>
      </c>
      <c r="I629" s="16" t="s">
        <v>1770</v>
      </c>
      <c r="J629" s="16" t="s">
        <v>33</v>
      </c>
    </row>
    <row r="630" spans="1:10" hidden="1" x14ac:dyDescent="0.3">
      <c r="A630" s="16" t="s">
        <v>2454</v>
      </c>
      <c r="B630" s="16"/>
      <c r="C630" s="16"/>
      <c r="D630" s="16" t="s">
        <v>2457</v>
      </c>
      <c r="E630" s="16" t="s">
        <v>1778</v>
      </c>
      <c r="F630" s="16" t="s">
        <v>18</v>
      </c>
      <c r="G630" s="16" t="s">
        <v>661</v>
      </c>
      <c r="I630" s="16" t="s">
        <v>1770</v>
      </c>
      <c r="J630" s="16" t="s">
        <v>33</v>
      </c>
    </row>
    <row r="631" spans="1:10" hidden="1" x14ac:dyDescent="0.3">
      <c r="A631" s="16" t="s">
        <v>2458</v>
      </c>
      <c r="B631" s="16"/>
      <c r="C631" s="16"/>
      <c r="D631" s="16" t="s">
        <v>2459</v>
      </c>
      <c r="E631" s="16" t="s">
        <v>1779</v>
      </c>
      <c r="F631" s="16" t="s">
        <v>2042</v>
      </c>
      <c r="G631" s="16" t="s">
        <v>2328</v>
      </c>
      <c r="J631" s="16" t="s">
        <v>33</v>
      </c>
    </row>
    <row r="632" spans="1:10" hidden="1" x14ac:dyDescent="0.3">
      <c r="A632" s="16" t="s">
        <v>2458</v>
      </c>
      <c r="B632" s="16"/>
      <c r="C632" s="16"/>
      <c r="D632" s="16" t="s">
        <v>2459</v>
      </c>
      <c r="E632" s="16" t="s">
        <v>1778</v>
      </c>
      <c r="F632" s="16" t="s">
        <v>2042</v>
      </c>
      <c r="G632" s="16" t="s">
        <v>2328</v>
      </c>
      <c r="J632" s="16" t="s">
        <v>33</v>
      </c>
    </row>
    <row r="633" spans="1:10" hidden="1" x14ac:dyDescent="0.3">
      <c r="A633" s="16" t="s">
        <v>2458</v>
      </c>
      <c r="B633" s="16"/>
      <c r="C633" s="16"/>
      <c r="D633" s="16" t="s">
        <v>2459</v>
      </c>
      <c r="E633" s="16" t="s">
        <v>2320</v>
      </c>
      <c r="F633" s="16" t="s">
        <v>2042</v>
      </c>
      <c r="G633" s="16" t="s">
        <v>2328</v>
      </c>
      <c r="J633" s="16" t="s">
        <v>33</v>
      </c>
    </row>
    <row r="634" spans="1:10" hidden="1" x14ac:dyDescent="0.3">
      <c r="A634" s="16" t="s">
        <v>2458</v>
      </c>
      <c r="B634" s="16"/>
      <c r="C634" s="16"/>
      <c r="D634" s="16" t="s">
        <v>2460</v>
      </c>
      <c r="E634" s="16" t="s">
        <v>1779</v>
      </c>
      <c r="F634" s="16" t="s">
        <v>18</v>
      </c>
      <c r="G634" s="16" t="s">
        <v>1791</v>
      </c>
      <c r="I634" s="16" t="s">
        <v>1770</v>
      </c>
      <c r="J634" s="16" t="s">
        <v>33</v>
      </c>
    </row>
    <row r="635" spans="1:10" hidden="1" x14ac:dyDescent="0.3">
      <c r="A635" s="16" t="s">
        <v>2458</v>
      </c>
      <c r="B635" s="16"/>
      <c r="C635" s="16"/>
      <c r="D635" s="16" t="s">
        <v>2461</v>
      </c>
      <c r="E635" s="16" t="s">
        <v>1778</v>
      </c>
      <c r="F635" s="16" t="s">
        <v>18</v>
      </c>
      <c r="G635" s="16" t="s">
        <v>1791</v>
      </c>
      <c r="I635" s="16" t="s">
        <v>1770</v>
      </c>
      <c r="J635" s="16" t="s">
        <v>33</v>
      </c>
    </row>
    <row r="636" spans="1:10" hidden="1" x14ac:dyDescent="0.3">
      <c r="A636" s="16" t="s">
        <v>2462</v>
      </c>
      <c r="B636" s="16"/>
      <c r="C636" s="16"/>
      <c r="D636" s="16" t="s">
        <v>2463</v>
      </c>
      <c r="E636" s="16" t="s">
        <v>1779</v>
      </c>
      <c r="F636" s="16" t="s">
        <v>2042</v>
      </c>
      <c r="G636" s="16" t="s">
        <v>2328</v>
      </c>
      <c r="J636" s="16" t="s">
        <v>33</v>
      </c>
    </row>
    <row r="637" spans="1:10" hidden="1" x14ac:dyDescent="0.3">
      <c r="A637" s="16" t="s">
        <v>2462</v>
      </c>
      <c r="B637" s="16"/>
      <c r="C637" s="16"/>
      <c r="D637" s="16" t="s">
        <v>2463</v>
      </c>
      <c r="E637" s="16" t="s">
        <v>1778</v>
      </c>
      <c r="F637" s="16" t="s">
        <v>2042</v>
      </c>
      <c r="G637" s="16" t="s">
        <v>2328</v>
      </c>
      <c r="J637" s="16" t="s">
        <v>33</v>
      </c>
    </row>
    <row r="638" spans="1:10" hidden="1" x14ac:dyDescent="0.3">
      <c r="A638" s="16" t="s">
        <v>2462</v>
      </c>
      <c r="B638" s="16"/>
      <c r="C638" s="16"/>
      <c r="D638" s="16" t="s">
        <v>2463</v>
      </c>
      <c r="E638" s="16" t="s">
        <v>2320</v>
      </c>
      <c r="F638" s="16" t="s">
        <v>2042</v>
      </c>
      <c r="G638" s="16" t="s">
        <v>2328</v>
      </c>
      <c r="J638" s="16" t="s">
        <v>33</v>
      </c>
    </row>
    <row r="639" spans="1:10" hidden="1" x14ac:dyDescent="0.3">
      <c r="A639" s="16" t="s">
        <v>2462</v>
      </c>
      <c r="B639" s="16"/>
      <c r="C639" s="16"/>
      <c r="D639" s="16" t="s">
        <v>2464</v>
      </c>
      <c r="E639" s="16" t="s">
        <v>1779</v>
      </c>
      <c r="F639" s="16" t="s">
        <v>18</v>
      </c>
      <c r="G639" s="16" t="s">
        <v>1791</v>
      </c>
      <c r="I639" s="16" t="s">
        <v>1770</v>
      </c>
      <c r="J639" s="16" t="s">
        <v>33</v>
      </c>
    </row>
    <row r="640" spans="1:10" hidden="1" x14ac:dyDescent="0.3">
      <c r="A640" s="16" t="s">
        <v>2462</v>
      </c>
      <c r="B640" s="16"/>
      <c r="C640" s="16"/>
      <c r="D640" s="16" t="s">
        <v>2465</v>
      </c>
      <c r="E640" s="16" t="s">
        <v>1778</v>
      </c>
      <c r="F640" s="16" t="s">
        <v>18</v>
      </c>
      <c r="G640" s="16" t="s">
        <v>1791</v>
      </c>
      <c r="I640" s="16" t="s">
        <v>1770</v>
      </c>
      <c r="J640" s="16" t="s">
        <v>33</v>
      </c>
    </row>
    <row r="641" spans="1:12" hidden="1" x14ac:dyDescent="0.3">
      <c r="A641" s="16" t="s">
        <v>2466</v>
      </c>
      <c r="B641" s="16"/>
      <c r="C641" s="16"/>
      <c r="D641" s="16" t="s">
        <v>2467</v>
      </c>
      <c r="E641" s="16" t="s">
        <v>1779</v>
      </c>
      <c r="F641" s="16" t="s">
        <v>2042</v>
      </c>
      <c r="G641" s="16" t="s">
        <v>2328</v>
      </c>
      <c r="J641" s="16" t="s">
        <v>33</v>
      </c>
    </row>
    <row r="642" spans="1:12" hidden="1" x14ac:dyDescent="0.3">
      <c r="A642" s="16" t="s">
        <v>2466</v>
      </c>
      <c r="B642" s="16"/>
      <c r="C642" s="16"/>
      <c r="D642" s="16" t="s">
        <v>2467</v>
      </c>
      <c r="E642" s="16" t="s">
        <v>1778</v>
      </c>
      <c r="F642" s="16" t="s">
        <v>2042</v>
      </c>
      <c r="G642" s="16" t="s">
        <v>2328</v>
      </c>
      <c r="J642" s="16" t="s">
        <v>33</v>
      </c>
    </row>
    <row r="643" spans="1:12" hidden="1" x14ac:dyDescent="0.3">
      <c r="A643" s="16" t="s">
        <v>2466</v>
      </c>
      <c r="B643" s="16"/>
      <c r="C643" s="16"/>
      <c r="D643" s="16" t="s">
        <v>2467</v>
      </c>
      <c r="E643" s="16" t="s">
        <v>2320</v>
      </c>
      <c r="F643" s="16" t="s">
        <v>2042</v>
      </c>
      <c r="G643" s="16" t="s">
        <v>2328</v>
      </c>
      <c r="J643" s="16" t="s">
        <v>33</v>
      </c>
    </row>
    <row r="644" spans="1:12" hidden="1" x14ac:dyDescent="0.3">
      <c r="A644" s="16" t="s">
        <v>2466</v>
      </c>
      <c r="B644" s="16"/>
      <c r="C644" s="16"/>
      <c r="D644" s="16" t="s">
        <v>2468</v>
      </c>
      <c r="E644" s="16" t="s">
        <v>1779</v>
      </c>
      <c r="F644" s="16" t="s">
        <v>18</v>
      </c>
      <c r="G644" s="16" t="s">
        <v>1791</v>
      </c>
      <c r="I644" s="16" t="s">
        <v>1770</v>
      </c>
      <c r="J644" s="16" t="s">
        <v>33</v>
      </c>
    </row>
    <row r="645" spans="1:12" hidden="1" x14ac:dyDescent="0.3">
      <c r="A645" s="16" t="s">
        <v>2466</v>
      </c>
      <c r="B645" s="16"/>
      <c r="C645" s="16"/>
      <c r="D645" s="16" t="s">
        <v>2469</v>
      </c>
      <c r="E645" s="16" t="s">
        <v>1778</v>
      </c>
      <c r="F645" s="16" t="s">
        <v>18</v>
      </c>
      <c r="G645" s="16" t="s">
        <v>1791</v>
      </c>
      <c r="I645" s="16" t="s">
        <v>1770</v>
      </c>
      <c r="J645" s="16" t="s">
        <v>33</v>
      </c>
    </row>
    <row r="646" spans="1:12" hidden="1" x14ac:dyDescent="0.3">
      <c r="A646" s="16" t="s">
        <v>2470</v>
      </c>
      <c r="B646" s="16"/>
      <c r="C646" s="16"/>
      <c r="D646" s="16" t="s">
        <v>2471</v>
      </c>
      <c r="E646" s="16" t="s">
        <v>1769</v>
      </c>
      <c r="F646" s="16" t="s">
        <v>133</v>
      </c>
      <c r="G646" s="16" t="s">
        <v>588</v>
      </c>
      <c r="J646" s="16" t="s">
        <v>33</v>
      </c>
    </row>
    <row r="647" spans="1:12" hidden="1" x14ac:dyDescent="0.3">
      <c r="A647" s="16" t="s">
        <v>231</v>
      </c>
      <c r="B647" s="16"/>
      <c r="C647" s="16"/>
      <c r="D647" s="16" t="s">
        <v>2472</v>
      </c>
      <c r="E647" s="16" t="s">
        <v>1782</v>
      </c>
      <c r="F647" s="16" t="s">
        <v>133</v>
      </c>
      <c r="G647" s="16" t="s">
        <v>539</v>
      </c>
      <c r="J647" s="16" t="s">
        <v>33</v>
      </c>
    </row>
    <row r="648" spans="1:12" hidden="1" x14ac:dyDescent="0.3">
      <c r="A648" s="16" t="s">
        <v>2473</v>
      </c>
      <c r="B648" s="16"/>
      <c r="C648" s="16"/>
      <c r="D648" s="16" t="s">
        <v>2474</v>
      </c>
      <c r="E648" s="16" t="s">
        <v>1782</v>
      </c>
      <c r="F648" s="16" t="s">
        <v>133</v>
      </c>
      <c r="G648" s="16" t="s">
        <v>588</v>
      </c>
      <c r="J648" s="16" t="s">
        <v>33</v>
      </c>
    </row>
    <row r="649" spans="1:12" hidden="1" x14ac:dyDescent="0.3">
      <c r="A649" s="16" t="s">
        <v>2475</v>
      </c>
      <c r="B649" s="16"/>
      <c r="C649" s="16"/>
      <c r="D649" s="16" t="s">
        <v>2476</v>
      </c>
      <c r="E649" s="16" t="s">
        <v>1779</v>
      </c>
      <c r="F649" s="16" t="s">
        <v>133</v>
      </c>
      <c r="G649" s="16" t="s">
        <v>588</v>
      </c>
      <c r="J649" s="16" t="s">
        <v>33</v>
      </c>
    </row>
    <row r="650" spans="1:12" hidden="1" x14ac:dyDescent="0.3">
      <c r="A650" s="16" t="s">
        <v>2477</v>
      </c>
      <c r="B650" s="16"/>
      <c r="C650" s="16"/>
      <c r="D650" s="16" t="s">
        <v>2478</v>
      </c>
      <c r="E650" s="16" t="s">
        <v>1779</v>
      </c>
      <c r="F650" s="16" t="s">
        <v>133</v>
      </c>
      <c r="G650" s="16" t="s">
        <v>588</v>
      </c>
      <c r="J650" s="16" t="s">
        <v>33</v>
      </c>
    </row>
    <row r="651" spans="1:12" hidden="1" x14ac:dyDescent="0.3">
      <c r="A651" s="16" t="s">
        <v>2479</v>
      </c>
      <c r="B651" s="16"/>
      <c r="C651" s="16"/>
      <c r="D651" s="16" t="s">
        <v>2480</v>
      </c>
      <c r="E651" s="16" t="s">
        <v>1779</v>
      </c>
      <c r="F651" s="16" t="s">
        <v>133</v>
      </c>
      <c r="G651" s="16" t="s">
        <v>1791</v>
      </c>
      <c r="J651" s="16" t="s">
        <v>33</v>
      </c>
    </row>
    <row r="652" spans="1:12" x14ac:dyDescent="0.3">
      <c r="A652" s="16" t="s">
        <v>1548</v>
      </c>
      <c r="B652" s="16"/>
      <c r="C652" s="16"/>
      <c r="D652" s="16" t="s">
        <v>2481</v>
      </c>
      <c r="E652" s="16" t="s">
        <v>1778</v>
      </c>
      <c r="F652" s="16" t="s">
        <v>18</v>
      </c>
      <c r="G652" s="16" t="s">
        <v>539</v>
      </c>
      <c r="I652" s="16" t="s">
        <v>1770</v>
      </c>
      <c r="J652" s="16" t="s">
        <v>33</v>
      </c>
    </row>
    <row r="653" spans="1:12" x14ac:dyDescent="0.3">
      <c r="A653" s="16" t="s">
        <v>1548</v>
      </c>
      <c r="B653" s="16"/>
      <c r="C653" s="16"/>
      <c r="D653" s="16" t="s">
        <v>1549</v>
      </c>
      <c r="E653" s="16" t="s">
        <v>1779</v>
      </c>
      <c r="F653" s="16" t="s">
        <v>18</v>
      </c>
      <c r="G653" s="16" t="s">
        <v>539</v>
      </c>
      <c r="I653" s="16" t="s">
        <v>1103</v>
      </c>
      <c r="J653" s="16" t="s">
        <v>33</v>
      </c>
    </row>
    <row r="654" spans="1:12" x14ac:dyDescent="0.3">
      <c r="A654" s="16" t="s">
        <v>2482</v>
      </c>
      <c r="B654" s="16"/>
      <c r="C654" s="16"/>
      <c r="D654" s="16" t="s">
        <v>2483</v>
      </c>
      <c r="E654" s="16" t="s">
        <v>1778</v>
      </c>
      <c r="F654" s="16" t="s">
        <v>133</v>
      </c>
      <c r="G654" s="16" t="s">
        <v>539</v>
      </c>
      <c r="J654" s="16" t="s">
        <v>33</v>
      </c>
    </row>
    <row r="655" spans="1:12" x14ac:dyDescent="0.3">
      <c r="A655" s="16" t="s">
        <v>2484</v>
      </c>
      <c r="B655" s="16"/>
      <c r="C655" s="16"/>
      <c r="D655" s="16" t="s">
        <v>103</v>
      </c>
      <c r="E655" s="16" t="s">
        <v>1779</v>
      </c>
      <c r="F655" s="16" t="s">
        <v>388</v>
      </c>
      <c r="G655" s="16" t="s">
        <v>539</v>
      </c>
      <c r="J655" s="16" t="s">
        <v>33</v>
      </c>
      <c r="L655" s="16" t="s">
        <v>32</v>
      </c>
    </row>
    <row r="656" spans="1:12" hidden="1" x14ac:dyDescent="0.3">
      <c r="A656" s="16" t="s">
        <v>2485</v>
      </c>
      <c r="B656" s="16"/>
      <c r="C656" s="16"/>
      <c r="D656" s="16" t="s">
        <v>2486</v>
      </c>
      <c r="E656" s="16" t="s">
        <v>1779</v>
      </c>
      <c r="F656" s="16" t="s">
        <v>133</v>
      </c>
      <c r="G656" s="16" t="s">
        <v>1791</v>
      </c>
      <c r="J656" s="16" t="s">
        <v>33</v>
      </c>
    </row>
    <row r="657" spans="1:13" hidden="1" x14ac:dyDescent="0.3">
      <c r="A657" s="16" t="s">
        <v>2487</v>
      </c>
      <c r="B657" s="16"/>
      <c r="C657" s="16"/>
      <c r="D657" s="16" t="s">
        <v>2488</v>
      </c>
      <c r="E657" s="16" t="s">
        <v>2489</v>
      </c>
      <c r="F657" s="16" t="s">
        <v>388</v>
      </c>
      <c r="G657" s="16" t="s">
        <v>539</v>
      </c>
      <c r="J657" s="16" t="s">
        <v>33</v>
      </c>
      <c r="L657" s="16" t="s">
        <v>32</v>
      </c>
    </row>
    <row r="658" spans="1:13" hidden="1" x14ac:dyDescent="0.3">
      <c r="A658" s="16" t="s">
        <v>2487</v>
      </c>
      <c r="B658" s="16"/>
      <c r="C658" s="16"/>
      <c r="D658" s="16" t="s">
        <v>2488</v>
      </c>
      <c r="E658" s="16" t="s">
        <v>1769</v>
      </c>
      <c r="F658" s="16" t="s">
        <v>388</v>
      </c>
      <c r="G658" s="16" t="s">
        <v>539</v>
      </c>
      <c r="J658" s="16" t="s">
        <v>33</v>
      </c>
      <c r="L658" s="16" t="s">
        <v>32</v>
      </c>
    </row>
    <row r="659" spans="1:13" hidden="1" x14ac:dyDescent="0.3">
      <c r="A659" s="16" t="s">
        <v>2490</v>
      </c>
      <c r="B659" s="16"/>
      <c r="C659" s="16"/>
      <c r="D659" s="16" t="s">
        <v>2491</v>
      </c>
      <c r="E659" s="16" t="s">
        <v>1779</v>
      </c>
      <c r="F659" s="16" t="s">
        <v>18</v>
      </c>
      <c r="G659" s="16" t="s">
        <v>539</v>
      </c>
      <c r="I659" s="16" t="s">
        <v>1770</v>
      </c>
      <c r="J659" s="16" t="s">
        <v>33</v>
      </c>
    </row>
    <row r="660" spans="1:13" hidden="1" x14ac:dyDescent="0.3">
      <c r="A660" s="16" t="s">
        <v>2492</v>
      </c>
      <c r="B660" s="16"/>
      <c r="C660" s="16"/>
      <c r="D660" s="16" t="s">
        <v>2493</v>
      </c>
      <c r="E660" s="16" t="s">
        <v>1779</v>
      </c>
      <c r="F660" s="16" t="s">
        <v>18</v>
      </c>
      <c r="G660" s="16" t="s">
        <v>539</v>
      </c>
      <c r="I660" s="16" t="s">
        <v>1770</v>
      </c>
      <c r="J660" s="16" t="s">
        <v>33</v>
      </c>
    </row>
    <row r="661" spans="1:13" hidden="1" x14ac:dyDescent="0.3">
      <c r="A661" s="16" t="s">
        <v>2494</v>
      </c>
      <c r="B661" s="16"/>
      <c r="C661" s="16"/>
      <c r="D661" s="16" t="s">
        <v>2495</v>
      </c>
      <c r="E661" s="16" t="s">
        <v>1779</v>
      </c>
      <c r="F661" s="16" t="s">
        <v>18</v>
      </c>
      <c r="G661" s="16" t="s">
        <v>588</v>
      </c>
      <c r="I661" s="16" t="s">
        <v>1770</v>
      </c>
      <c r="J661" s="16" t="s">
        <v>33</v>
      </c>
    </row>
    <row r="662" spans="1:13" hidden="1" x14ac:dyDescent="0.3">
      <c r="A662" s="16" t="s">
        <v>2496</v>
      </c>
      <c r="B662" s="16"/>
      <c r="C662" s="16"/>
      <c r="D662" s="16" t="s">
        <v>2497</v>
      </c>
      <c r="E662" s="16" t="s">
        <v>1915</v>
      </c>
      <c r="F662" s="16" t="s">
        <v>388</v>
      </c>
      <c r="G662" s="16" t="s">
        <v>539</v>
      </c>
      <c r="J662" s="16" t="s">
        <v>33</v>
      </c>
      <c r="L662" s="16" t="s">
        <v>32</v>
      </c>
    </row>
    <row r="663" spans="1:13" hidden="1" x14ac:dyDescent="0.3">
      <c r="A663" s="16" t="s">
        <v>2498</v>
      </c>
      <c r="B663" s="16"/>
      <c r="C663" s="16"/>
      <c r="D663" s="16" t="s">
        <v>2499</v>
      </c>
      <c r="E663" s="16" t="s">
        <v>1915</v>
      </c>
      <c r="F663" s="16" t="s">
        <v>388</v>
      </c>
      <c r="G663" s="16" t="s">
        <v>539</v>
      </c>
      <c r="J663" s="16" t="s">
        <v>33</v>
      </c>
      <c r="L663" s="16" t="s">
        <v>32</v>
      </c>
    </row>
    <row r="664" spans="1:13" hidden="1" x14ac:dyDescent="0.3">
      <c r="A664" s="16" t="s">
        <v>1327</v>
      </c>
      <c r="B664" s="16"/>
      <c r="C664" s="16"/>
      <c r="D664" s="16" t="s">
        <v>1328</v>
      </c>
      <c r="E664" s="16" t="s">
        <v>1778</v>
      </c>
      <c r="F664" s="16" t="s">
        <v>18</v>
      </c>
      <c r="G664" s="16" t="s">
        <v>539</v>
      </c>
      <c r="I664" s="16" t="s">
        <v>1127</v>
      </c>
      <c r="J664" s="16" t="s">
        <v>33</v>
      </c>
    </row>
    <row r="665" spans="1:13" hidden="1" x14ac:dyDescent="0.3">
      <c r="A665" s="16" t="s">
        <v>2500</v>
      </c>
      <c r="B665" s="16"/>
      <c r="C665" s="16"/>
      <c r="D665" s="16" t="s">
        <v>2501</v>
      </c>
      <c r="E665" s="16" t="s">
        <v>1778</v>
      </c>
      <c r="F665" s="16" t="s">
        <v>18</v>
      </c>
      <c r="G665" s="16" t="s">
        <v>539</v>
      </c>
      <c r="I665" s="16" t="s">
        <v>1770</v>
      </c>
      <c r="J665" s="16" t="s">
        <v>33</v>
      </c>
    </row>
    <row r="666" spans="1:13" hidden="1" x14ac:dyDescent="0.3">
      <c r="A666" s="16" t="s">
        <v>249</v>
      </c>
      <c r="B666" s="16"/>
      <c r="C666" s="16"/>
      <c r="D666" s="16" t="s">
        <v>250</v>
      </c>
      <c r="E666" s="16" t="s">
        <v>1779</v>
      </c>
      <c r="F666" s="16" t="s">
        <v>133</v>
      </c>
      <c r="G666" s="16" t="s">
        <v>539</v>
      </c>
      <c r="J666" s="16" t="s">
        <v>33</v>
      </c>
    </row>
    <row r="667" spans="1:13" hidden="1" x14ac:dyDescent="0.3">
      <c r="A667" s="16" t="s">
        <v>2502</v>
      </c>
      <c r="B667" s="16"/>
      <c r="C667" s="16"/>
      <c r="D667" s="16" t="s">
        <v>2503</v>
      </c>
      <c r="E667" s="16" t="s">
        <v>1779</v>
      </c>
      <c r="F667" s="16" t="s">
        <v>388</v>
      </c>
      <c r="G667" s="16" t="s">
        <v>539</v>
      </c>
      <c r="J667" s="16" t="s">
        <v>33</v>
      </c>
      <c r="L667" s="16" t="s">
        <v>32</v>
      </c>
    </row>
    <row r="668" spans="1:13" hidden="1" x14ac:dyDescent="0.3">
      <c r="A668" s="16" t="s">
        <v>2504</v>
      </c>
      <c r="B668" s="16"/>
      <c r="C668" s="16"/>
      <c r="D668" s="16" t="s">
        <v>2505</v>
      </c>
      <c r="E668" s="16" t="s">
        <v>1782</v>
      </c>
      <c r="F668" s="16" t="s">
        <v>388</v>
      </c>
      <c r="G668" s="16" t="s">
        <v>539</v>
      </c>
      <c r="J668" s="16" t="s">
        <v>33</v>
      </c>
      <c r="L668" s="16" t="s">
        <v>32</v>
      </c>
    </row>
    <row r="669" spans="1:13" hidden="1" x14ac:dyDescent="0.3">
      <c r="A669" s="16" t="s">
        <v>2504</v>
      </c>
      <c r="B669" s="16"/>
      <c r="C669" s="16"/>
      <c r="D669" s="16" t="s">
        <v>2506</v>
      </c>
      <c r="E669" s="16" t="s">
        <v>1915</v>
      </c>
      <c r="F669" s="16" t="s">
        <v>388</v>
      </c>
      <c r="G669" s="16" t="s">
        <v>539</v>
      </c>
      <c r="J669" s="16" t="s">
        <v>33</v>
      </c>
      <c r="L669" s="16" t="s">
        <v>32</v>
      </c>
      <c r="M669" s="16" t="s">
        <v>2507</v>
      </c>
    </row>
    <row r="670" spans="1:13" hidden="1" x14ac:dyDescent="0.3">
      <c r="A670" s="16" t="s">
        <v>2504</v>
      </c>
      <c r="B670" s="16"/>
      <c r="C670" s="16"/>
      <c r="D670" s="16" t="s">
        <v>252</v>
      </c>
      <c r="E670" s="16" t="s">
        <v>1779</v>
      </c>
      <c r="F670" s="16" t="s">
        <v>388</v>
      </c>
      <c r="G670" s="16" t="s">
        <v>539</v>
      </c>
      <c r="J670" s="16" t="s">
        <v>33</v>
      </c>
      <c r="L670" s="16" t="s">
        <v>32</v>
      </c>
    </row>
    <row r="671" spans="1:13" hidden="1" x14ac:dyDescent="0.3">
      <c r="A671" s="16" t="s">
        <v>1550</v>
      </c>
      <c r="B671" s="16"/>
      <c r="C671" s="16"/>
      <c r="D671" s="16" t="s">
        <v>1551</v>
      </c>
      <c r="E671" s="16" t="s">
        <v>1779</v>
      </c>
      <c r="F671" s="16" t="s">
        <v>18</v>
      </c>
      <c r="G671" s="16" t="s">
        <v>539</v>
      </c>
      <c r="I671" s="16" t="s">
        <v>1127</v>
      </c>
      <c r="J671" s="16" t="s">
        <v>33</v>
      </c>
    </row>
    <row r="672" spans="1:13" hidden="1" x14ac:dyDescent="0.3">
      <c r="A672" s="16" t="s">
        <v>1552</v>
      </c>
      <c r="B672" s="16"/>
      <c r="C672" s="16"/>
      <c r="D672" s="16" t="s">
        <v>1553</v>
      </c>
      <c r="E672" s="16" t="s">
        <v>1779</v>
      </c>
      <c r="F672" s="16" t="s">
        <v>18</v>
      </c>
      <c r="G672" s="16" t="s">
        <v>539</v>
      </c>
      <c r="I672" s="16" t="s">
        <v>1127</v>
      </c>
      <c r="J672" s="16" t="s">
        <v>33</v>
      </c>
    </row>
    <row r="673" spans="1:12" hidden="1" x14ac:dyDescent="0.3">
      <c r="A673" s="16" t="s">
        <v>2508</v>
      </c>
      <c r="B673" s="16"/>
      <c r="C673" s="16"/>
      <c r="D673" s="16" t="s">
        <v>2509</v>
      </c>
      <c r="E673" s="16" t="s">
        <v>1779</v>
      </c>
      <c r="F673" s="16" t="s">
        <v>133</v>
      </c>
      <c r="G673" s="16" t="s">
        <v>1791</v>
      </c>
      <c r="J673" s="16" t="s">
        <v>33</v>
      </c>
    </row>
    <row r="674" spans="1:12" hidden="1" x14ac:dyDescent="0.3">
      <c r="A674" s="16" t="s">
        <v>2510</v>
      </c>
      <c r="B674" s="16"/>
      <c r="C674" s="16"/>
      <c r="D674" s="16" t="s">
        <v>2511</v>
      </c>
      <c r="E674" s="16" t="s">
        <v>1779</v>
      </c>
      <c r="F674" s="16" t="s">
        <v>133</v>
      </c>
      <c r="G674" s="16" t="s">
        <v>1791</v>
      </c>
      <c r="J674" s="16" t="s">
        <v>33</v>
      </c>
    </row>
    <row r="675" spans="1:12" hidden="1" x14ac:dyDescent="0.3">
      <c r="A675" s="16" t="s">
        <v>2512</v>
      </c>
      <c r="B675" s="16"/>
      <c r="C675" s="16"/>
      <c r="D675" s="16" t="s">
        <v>2513</v>
      </c>
      <c r="E675" s="16" t="s">
        <v>1779</v>
      </c>
      <c r="F675" s="16" t="s">
        <v>133</v>
      </c>
      <c r="G675" s="16" t="s">
        <v>1791</v>
      </c>
      <c r="J675" s="16" t="s">
        <v>33</v>
      </c>
    </row>
    <row r="676" spans="1:12" hidden="1" x14ac:dyDescent="0.3">
      <c r="A676" s="16" t="s">
        <v>2514</v>
      </c>
      <c r="B676" s="16"/>
      <c r="C676" s="16"/>
      <c r="D676" s="16" t="s">
        <v>2515</v>
      </c>
      <c r="E676" s="16" t="s">
        <v>1779</v>
      </c>
      <c r="F676" s="16" t="s">
        <v>133</v>
      </c>
      <c r="G676" s="16" t="s">
        <v>1791</v>
      </c>
      <c r="J676" s="16" t="s">
        <v>33</v>
      </c>
    </row>
    <row r="677" spans="1:12" hidden="1" x14ac:dyDescent="0.3">
      <c r="A677" s="16" t="s">
        <v>2516</v>
      </c>
      <c r="B677" s="16"/>
      <c r="C677" s="16"/>
      <c r="D677" s="16" t="s">
        <v>2517</v>
      </c>
      <c r="E677" s="16" t="s">
        <v>1779</v>
      </c>
      <c r="F677" s="16" t="s">
        <v>133</v>
      </c>
      <c r="G677" s="16" t="s">
        <v>1791</v>
      </c>
      <c r="J677" s="16" t="s">
        <v>33</v>
      </c>
    </row>
    <row r="678" spans="1:12" hidden="1" x14ac:dyDescent="0.3">
      <c r="A678" s="16" t="s">
        <v>2516</v>
      </c>
      <c r="B678" s="16"/>
      <c r="C678" s="16"/>
      <c r="D678" s="16" t="s">
        <v>2518</v>
      </c>
      <c r="E678" s="16" t="s">
        <v>1915</v>
      </c>
      <c r="F678" s="16" t="s">
        <v>133</v>
      </c>
      <c r="G678" s="16" t="s">
        <v>1791</v>
      </c>
      <c r="J678" s="16" t="s">
        <v>33</v>
      </c>
    </row>
    <row r="679" spans="1:12" hidden="1" x14ac:dyDescent="0.3">
      <c r="A679" s="16" t="s">
        <v>2519</v>
      </c>
      <c r="B679" s="16"/>
      <c r="C679" s="16"/>
      <c r="D679" s="16" t="s">
        <v>2520</v>
      </c>
      <c r="E679" s="16" t="s">
        <v>1779</v>
      </c>
      <c r="F679" s="16" t="s">
        <v>133</v>
      </c>
      <c r="G679" s="16" t="s">
        <v>1791</v>
      </c>
      <c r="J679" s="16" t="s">
        <v>33</v>
      </c>
    </row>
    <row r="680" spans="1:12" hidden="1" x14ac:dyDescent="0.3">
      <c r="A680" s="16" t="s">
        <v>2521</v>
      </c>
      <c r="B680" s="16"/>
      <c r="C680" s="16"/>
      <c r="D680" s="16" t="s">
        <v>2522</v>
      </c>
      <c r="E680" s="16" t="s">
        <v>1779</v>
      </c>
      <c r="F680" s="16" t="s">
        <v>133</v>
      </c>
      <c r="G680" s="16" t="s">
        <v>1791</v>
      </c>
      <c r="J680" s="16" t="s">
        <v>33</v>
      </c>
    </row>
    <row r="681" spans="1:12" hidden="1" x14ac:dyDescent="0.3">
      <c r="A681" s="16" t="s">
        <v>2523</v>
      </c>
      <c r="B681" s="16"/>
      <c r="C681" s="16"/>
      <c r="D681" s="16" t="s">
        <v>2524</v>
      </c>
      <c r="E681" s="16" t="s">
        <v>1778</v>
      </c>
      <c r="F681" s="16" t="s">
        <v>18</v>
      </c>
      <c r="G681" s="16" t="s">
        <v>588</v>
      </c>
      <c r="I681" s="16" t="s">
        <v>1770</v>
      </c>
      <c r="J681" s="16" t="s">
        <v>33</v>
      </c>
    </row>
    <row r="682" spans="1:12" hidden="1" x14ac:dyDescent="0.3">
      <c r="A682" s="16" t="s">
        <v>2525</v>
      </c>
      <c r="B682" s="16"/>
      <c r="C682" s="16"/>
      <c r="D682" s="16" t="s">
        <v>2526</v>
      </c>
      <c r="E682" s="16" t="s">
        <v>1779</v>
      </c>
      <c r="F682" s="16" t="s">
        <v>388</v>
      </c>
      <c r="G682" s="16" t="s">
        <v>539</v>
      </c>
      <c r="J682" s="16" t="s">
        <v>33</v>
      </c>
      <c r="L682" s="16" t="s">
        <v>32</v>
      </c>
    </row>
    <row r="683" spans="1:12" hidden="1" x14ac:dyDescent="0.3">
      <c r="A683" s="16" t="s">
        <v>16</v>
      </c>
      <c r="B683" s="16"/>
      <c r="C683" s="16"/>
      <c r="D683" s="16" t="s">
        <v>1121</v>
      </c>
      <c r="E683" s="16" t="s">
        <v>2092</v>
      </c>
      <c r="F683" s="16" t="s">
        <v>18</v>
      </c>
      <c r="G683" s="16" t="s">
        <v>539</v>
      </c>
      <c r="I683" s="16" t="s">
        <v>1103</v>
      </c>
      <c r="J683" s="16" t="s">
        <v>33</v>
      </c>
      <c r="K683" s="16" t="s">
        <v>33</v>
      </c>
    </row>
    <row r="684" spans="1:12" hidden="1" x14ac:dyDescent="0.3">
      <c r="A684" s="16" t="s">
        <v>16</v>
      </c>
      <c r="B684" s="16"/>
      <c r="C684" s="16"/>
      <c r="D684" s="16" t="s">
        <v>2527</v>
      </c>
      <c r="E684" s="16" t="s">
        <v>1782</v>
      </c>
      <c r="F684" s="16" t="s">
        <v>133</v>
      </c>
      <c r="G684" s="16" t="s">
        <v>539</v>
      </c>
      <c r="J684" s="16" t="s">
        <v>33</v>
      </c>
    </row>
    <row r="685" spans="1:12" hidden="1" x14ac:dyDescent="0.3">
      <c r="A685" s="16" t="s">
        <v>16</v>
      </c>
      <c r="B685" s="16"/>
      <c r="C685" s="16"/>
      <c r="D685" s="16" t="s">
        <v>17</v>
      </c>
      <c r="E685" s="16" t="s">
        <v>1778</v>
      </c>
      <c r="F685" s="16" t="s">
        <v>18</v>
      </c>
      <c r="G685" s="16" t="s">
        <v>539</v>
      </c>
      <c r="I685" s="16" t="s">
        <v>1103</v>
      </c>
      <c r="J685" s="16" t="s">
        <v>33</v>
      </c>
      <c r="K685" s="16" t="s">
        <v>33</v>
      </c>
    </row>
    <row r="686" spans="1:12" hidden="1" x14ac:dyDescent="0.3">
      <c r="A686" s="16" t="s">
        <v>1554</v>
      </c>
      <c r="B686" s="16"/>
      <c r="C686" s="16"/>
      <c r="D686" s="16" t="s">
        <v>1555</v>
      </c>
      <c r="E686" s="16" t="s">
        <v>1779</v>
      </c>
      <c r="F686" s="16" t="s">
        <v>18</v>
      </c>
      <c r="G686" s="16" t="s">
        <v>539</v>
      </c>
      <c r="I686" s="16" t="s">
        <v>1127</v>
      </c>
      <c r="J686" s="16" t="s">
        <v>33</v>
      </c>
    </row>
    <row r="687" spans="1:12" hidden="1" x14ac:dyDescent="0.3">
      <c r="A687" s="16" t="s">
        <v>2528</v>
      </c>
      <c r="B687" s="16"/>
      <c r="C687" s="16"/>
      <c r="D687" s="16" t="s">
        <v>2529</v>
      </c>
      <c r="E687" s="16" t="s">
        <v>1779</v>
      </c>
      <c r="F687" s="16" t="s">
        <v>133</v>
      </c>
      <c r="G687" s="16" t="s">
        <v>661</v>
      </c>
      <c r="J687" s="16" t="s">
        <v>33</v>
      </c>
    </row>
    <row r="688" spans="1:12" hidden="1" x14ac:dyDescent="0.3">
      <c r="A688" s="16" t="s">
        <v>2530</v>
      </c>
      <c r="B688" s="16"/>
      <c r="C688" s="16"/>
      <c r="D688" s="16" t="s">
        <v>2531</v>
      </c>
      <c r="E688" s="16" t="s">
        <v>1778</v>
      </c>
      <c r="F688" s="16" t="s">
        <v>50</v>
      </c>
      <c r="G688" s="16" t="s">
        <v>555</v>
      </c>
      <c r="J688" s="16" t="s">
        <v>33</v>
      </c>
    </row>
    <row r="689" spans="1:10" hidden="1" x14ac:dyDescent="0.3">
      <c r="A689" s="16" t="s">
        <v>2530</v>
      </c>
      <c r="B689" s="16"/>
      <c r="C689" s="16"/>
      <c r="D689" s="16" t="s">
        <v>2532</v>
      </c>
      <c r="E689" s="16" t="s">
        <v>1778</v>
      </c>
      <c r="F689" s="16" t="s">
        <v>18</v>
      </c>
      <c r="G689" s="16" t="s">
        <v>555</v>
      </c>
      <c r="I689" s="16" t="s">
        <v>1770</v>
      </c>
      <c r="J689" s="16" t="s">
        <v>33</v>
      </c>
    </row>
    <row r="690" spans="1:10" hidden="1" x14ac:dyDescent="0.3">
      <c r="A690" s="16" t="s">
        <v>2533</v>
      </c>
      <c r="B690" s="16"/>
      <c r="C690" s="16"/>
      <c r="D690" s="16" t="s">
        <v>2534</v>
      </c>
      <c r="E690" s="16" t="s">
        <v>1778</v>
      </c>
      <c r="F690" s="16" t="s">
        <v>50</v>
      </c>
      <c r="G690" s="16" t="s">
        <v>555</v>
      </c>
      <c r="J690" s="16" t="s">
        <v>33</v>
      </c>
    </row>
    <row r="691" spans="1:10" hidden="1" x14ac:dyDescent="0.3">
      <c r="A691" s="16" t="s">
        <v>2533</v>
      </c>
      <c r="B691" s="16"/>
      <c r="C691" s="16"/>
      <c r="D691" s="16" t="s">
        <v>2535</v>
      </c>
      <c r="E691" s="16" t="s">
        <v>1778</v>
      </c>
      <c r="F691" s="16" t="s">
        <v>18</v>
      </c>
      <c r="G691" s="16" t="s">
        <v>555</v>
      </c>
      <c r="I691" s="16" t="s">
        <v>1770</v>
      </c>
      <c r="J691" s="16" t="s">
        <v>33</v>
      </c>
    </row>
    <row r="692" spans="1:10" hidden="1" x14ac:dyDescent="0.3">
      <c r="A692" s="16" t="s">
        <v>2536</v>
      </c>
      <c r="B692" s="16"/>
      <c r="C692" s="16"/>
      <c r="D692" s="16" t="s">
        <v>2537</v>
      </c>
      <c r="E692" s="16" t="s">
        <v>1778</v>
      </c>
      <c r="F692" s="16" t="s">
        <v>50</v>
      </c>
      <c r="G692" s="16" t="s">
        <v>555</v>
      </c>
      <c r="J692" s="16" t="s">
        <v>33</v>
      </c>
    </row>
    <row r="693" spans="1:10" hidden="1" x14ac:dyDescent="0.3">
      <c r="A693" s="16" t="s">
        <v>2536</v>
      </c>
      <c r="B693" s="16"/>
      <c r="C693" s="16"/>
      <c r="D693" s="16" t="s">
        <v>2538</v>
      </c>
      <c r="E693" s="16" t="s">
        <v>1778</v>
      </c>
      <c r="F693" s="16" t="s">
        <v>18</v>
      </c>
      <c r="G693" s="16" t="s">
        <v>555</v>
      </c>
      <c r="I693" s="16" t="s">
        <v>1770</v>
      </c>
      <c r="J693" s="16" t="s">
        <v>33</v>
      </c>
    </row>
    <row r="694" spans="1:10" hidden="1" x14ac:dyDescent="0.3">
      <c r="A694" s="16" t="s">
        <v>2539</v>
      </c>
      <c r="B694" s="16"/>
      <c r="C694" s="16"/>
      <c r="D694" s="16" t="s">
        <v>2540</v>
      </c>
      <c r="E694" s="16" t="s">
        <v>1778</v>
      </c>
      <c r="F694" s="16" t="s">
        <v>50</v>
      </c>
      <c r="G694" s="16" t="s">
        <v>555</v>
      </c>
      <c r="J694" s="16" t="s">
        <v>33</v>
      </c>
    </row>
    <row r="695" spans="1:10" hidden="1" x14ac:dyDescent="0.3">
      <c r="A695" s="16" t="s">
        <v>2539</v>
      </c>
      <c r="B695" s="16"/>
      <c r="C695" s="16"/>
      <c r="D695" s="16" t="s">
        <v>2541</v>
      </c>
      <c r="E695" s="16" t="s">
        <v>1778</v>
      </c>
      <c r="F695" s="16" t="s">
        <v>18</v>
      </c>
      <c r="G695" s="16" t="s">
        <v>555</v>
      </c>
      <c r="I695" s="16" t="s">
        <v>1770</v>
      </c>
      <c r="J695" s="16" t="s">
        <v>33</v>
      </c>
    </row>
    <row r="696" spans="1:10" hidden="1" x14ac:dyDescent="0.3">
      <c r="A696" s="16" t="s">
        <v>2542</v>
      </c>
      <c r="B696" s="16"/>
      <c r="C696" s="16"/>
      <c r="D696" s="16" t="s">
        <v>2543</v>
      </c>
      <c r="E696" s="16" t="s">
        <v>1778</v>
      </c>
      <c r="F696" s="16" t="s">
        <v>50</v>
      </c>
      <c r="G696" s="16" t="s">
        <v>555</v>
      </c>
      <c r="J696" s="16" t="s">
        <v>33</v>
      </c>
    </row>
    <row r="697" spans="1:10" hidden="1" x14ac:dyDescent="0.3">
      <c r="A697" s="16" t="s">
        <v>2542</v>
      </c>
      <c r="B697" s="16"/>
      <c r="C697" s="16"/>
      <c r="D697" s="16" t="s">
        <v>2544</v>
      </c>
      <c r="E697" s="16" t="s">
        <v>1778</v>
      </c>
      <c r="F697" s="16" t="s">
        <v>18</v>
      </c>
      <c r="G697" s="16" t="s">
        <v>555</v>
      </c>
      <c r="I697" s="16" t="s">
        <v>1770</v>
      </c>
      <c r="J697" s="16" t="s">
        <v>33</v>
      </c>
    </row>
    <row r="698" spans="1:10" hidden="1" x14ac:dyDescent="0.3">
      <c r="A698" s="16" t="s">
        <v>2545</v>
      </c>
      <c r="B698" s="16"/>
      <c r="C698" s="16"/>
      <c r="D698" s="16" t="s">
        <v>2546</v>
      </c>
      <c r="E698" s="16" t="s">
        <v>1778</v>
      </c>
      <c r="F698" s="16" t="s">
        <v>50</v>
      </c>
      <c r="G698" s="16" t="s">
        <v>555</v>
      </c>
      <c r="J698" s="16" t="s">
        <v>33</v>
      </c>
    </row>
    <row r="699" spans="1:10" hidden="1" x14ac:dyDescent="0.3">
      <c r="A699" s="16" t="s">
        <v>2545</v>
      </c>
      <c r="B699" s="16"/>
      <c r="C699" s="16"/>
      <c r="D699" s="16" t="s">
        <v>2547</v>
      </c>
      <c r="E699" s="16" t="s">
        <v>1778</v>
      </c>
      <c r="F699" s="16" t="s">
        <v>18</v>
      </c>
      <c r="G699" s="16" t="s">
        <v>555</v>
      </c>
      <c r="I699" s="16" t="s">
        <v>1770</v>
      </c>
      <c r="J699" s="16" t="s">
        <v>33</v>
      </c>
    </row>
    <row r="700" spans="1:10" hidden="1" x14ac:dyDescent="0.3">
      <c r="A700" s="16" t="s">
        <v>2548</v>
      </c>
      <c r="B700" s="16"/>
      <c r="C700" s="16"/>
      <c r="D700" s="16" t="s">
        <v>2549</v>
      </c>
      <c r="E700" s="16" t="s">
        <v>1778</v>
      </c>
      <c r="F700" s="16" t="s">
        <v>50</v>
      </c>
      <c r="G700" s="16" t="s">
        <v>555</v>
      </c>
      <c r="J700" s="16" t="s">
        <v>33</v>
      </c>
    </row>
    <row r="701" spans="1:10" hidden="1" x14ac:dyDescent="0.3">
      <c r="A701" s="16" t="s">
        <v>2548</v>
      </c>
      <c r="B701" s="16"/>
      <c r="C701" s="16"/>
      <c r="D701" s="16" t="s">
        <v>2550</v>
      </c>
      <c r="E701" s="16" t="s">
        <v>1778</v>
      </c>
      <c r="F701" s="16" t="s">
        <v>18</v>
      </c>
      <c r="G701" s="16" t="s">
        <v>555</v>
      </c>
      <c r="I701" s="16" t="s">
        <v>1770</v>
      </c>
      <c r="J701" s="16" t="s">
        <v>33</v>
      </c>
    </row>
    <row r="702" spans="1:10" hidden="1" x14ac:dyDescent="0.3">
      <c r="A702" s="16" t="s">
        <v>2551</v>
      </c>
      <c r="B702" s="16"/>
      <c r="C702" s="16"/>
      <c r="D702" s="16" t="s">
        <v>2552</v>
      </c>
      <c r="E702" s="16" t="s">
        <v>1778</v>
      </c>
      <c r="F702" s="16" t="s">
        <v>50</v>
      </c>
      <c r="G702" s="16" t="s">
        <v>555</v>
      </c>
      <c r="J702" s="16" t="s">
        <v>33</v>
      </c>
    </row>
    <row r="703" spans="1:10" hidden="1" x14ac:dyDescent="0.3">
      <c r="A703" s="16" t="s">
        <v>2551</v>
      </c>
      <c r="B703" s="16"/>
      <c r="C703" s="16"/>
      <c r="D703" s="16" t="s">
        <v>2553</v>
      </c>
      <c r="E703" s="16" t="s">
        <v>1778</v>
      </c>
      <c r="F703" s="16" t="s">
        <v>18</v>
      </c>
      <c r="G703" s="16" t="s">
        <v>555</v>
      </c>
      <c r="I703" s="16" t="s">
        <v>1770</v>
      </c>
      <c r="J703" s="16" t="s">
        <v>33</v>
      </c>
    </row>
    <row r="704" spans="1:10" hidden="1" x14ac:dyDescent="0.3">
      <c r="A704" s="16" t="s">
        <v>2554</v>
      </c>
      <c r="B704" s="16"/>
      <c r="C704" s="16"/>
      <c r="D704" s="16" t="s">
        <v>2555</v>
      </c>
      <c r="E704" s="16" t="s">
        <v>1778</v>
      </c>
      <c r="F704" s="16" t="s">
        <v>50</v>
      </c>
      <c r="G704" s="16" t="s">
        <v>555</v>
      </c>
      <c r="J704" s="16" t="s">
        <v>33</v>
      </c>
    </row>
    <row r="705" spans="1:12" hidden="1" x14ac:dyDescent="0.3">
      <c r="A705" s="16" t="s">
        <v>2554</v>
      </c>
      <c r="B705" s="16"/>
      <c r="C705" s="16"/>
      <c r="D705" s="16" t="s">
        <v>2556</v>
      </c>
      <c r="E705" s="16" t="s">
        <v>1778</v>
      </c>
      <c r="F705" s="16" t="s">
        <v>18</v>
      </c>
      <c r="G705" s="16" t="s">
        <v>555</v>
      </c>
      <c r="I705" s="16" t="s">
        <v>1770</v>
      </c>
      <c r="J705" s="16" t="s">
        <v>33</v>
      </c>
    </row>
    <row r="706" spans="1:12" hidden="1" x14ac:dyDescent="0.3">
      <c r="A706" s="16" t="s">
        <v>2557</v>
      </c>
      <c r="B706" s="16"/>
      <c r="C706" s="16"/>
      <c r="D706" s="16" t="s">
        <v>2558</v>
      </c>
      <c r="E706" s="16" t="s">
        <v>1778</v>
      </c>
      <c r="F706" s="16" t="s">
        <v>50</v>
      </c>
      <c r="G706" s="16" t="s">
        <v>555</v>
      </c>
      <c r="J706" s="16" t="s">
        <v>33</v>
      </c>
    </row>
    <row r="707" spans="1:12" hidden="1" x14ac:dyDescent="0.3">
      <c r="A707" s="16" t="s">
        <v>2557</v>
      </c>
      <c r="B707" s="16"/>
      <c r="C707" s="16"/>
      <c r="D707" s="16" t="s">
        <v>2559</v>
      </c>
      <c r="E707" s="16" t="s">
        <v>1778</v>
      </c>
      <c r="F707" s="16" t="s">
        <v>18</v>
      </c>
      <c r="G707" s="16" t="s">
        <v>555</v>
      </c>
      <c r="I707" s="16" t="s">
        <v>1770</v>
      </c>
      <c r="J707" s="16" t="s">
        <v>33</v>
      </c>
    </row>
    <row r="708" spans="1:12" hidden="1" x14ac:dyDescent="0.3">
      <c r="A708" s="16" t="s">
        <v>2560</v>
      </c>
      <c r="B708" s="16"/>
      <c r="C708" s="16"/>
      <c r="D708" s="16" t="s">
        <v>2561</v>
      </c>
      <c r="E708" s="16" t="s">
        <v>1778</v>
      </c>
      <c r="F708" s="16" t="s">
        <v>50</v>
      </c>
      <c r="G708" s="16" t="s">
        <v>555</v>
      </c>
      <c r="J708" s="16" t="s">
        <v>33</v>
      </c>
    </row>
    <row r="709" spans="1:12" hidden="1" x14ac:dyDescent="0.3">
      <c r="A709" s="16" t="s">
        <v>2560</v>
      </c>
      <c r="B709" s="16"/>
      <c r="C709" s="16"/>
      <c r="D709" s="16" t="s">
        <v>2562</v>
      </c>
      <c r="E709" s="16" t="s">
        <v>1778</v>
      </c>
      <c r="F709" s="16" t="s">
        <v>18</v>
      </c>
      <c r="G709" s="16" t="s">
        <v>555</v>
      </c>
      <c r="I709" s="16" t="s">
        <v>1770</v>
      </c>
      <c r="J709" s="16" t="s">
        <v>33</v>
      </c>
    </row>
    <row r="710" spans="1:12" hidden="1" x14ac:dyDescent="0.3">
      <c r="A710" s="16" t="s">
        <v>2563</v>
      </c>
      <c r="B710" s="16"/>
      <c r="C710" s="16"/>
      <c r="D710" s="16" t="s">
        <v>2564</v>
      </c>
      <c r="E710" s="16" t="s">
        <v>1778</v>
      </c>
      <c r="F710" s="16" t="s">
        <v>50</v>
      </c>
      <c r="G710" s="16" t="s">
        <v>555</v>
      </c>
      <c r="J710" s="16" t="s">
        <v>33</v>
      </c>
    </row>
    <row r="711" spans="1:12" hidden="1" x14ac:dyDescent="0.3">
      <c r="A711" s="16" t="s">
        <v>2563</v>
      </c>
      <c r="B711" s="16"/>
      <c r="C711" s="16"/>
      <c r="D711" s="16" t="s">
        <v>2565</v>
      </c>
      <c r="E711" s="16" t="s">
        <v>1778</v>
      </c>
      <c r="F711" s="16" t="s">
        <v>18</v>
      </c>
      <c r="G711" s="16" t="s">
        <v>555</v>
      </c>
      <c r="I711" s="16" t="s">
        <v>1770</v>
      </c>
      <c r="J711" s="16" t="s">
        <v>33</v>
      </c>
    </row>
    <row r="712" spans="1:12" hidden="1" x14ac:dyDescent="0.3">
      <c r="A712" s="16" t="s">
        <v>2566</v>
      </c>
      <c r="B712" s="16"/>
      <c r="C712" s="16"/>
      <c r="D712" s="16" t="s">
        <v>2567</v>
      </c>
      <c r="E712" s="16" t="s">
        <v>1778</v>
      </c>
      <c r="F712" s="16" t="s">
        <v>50</v>
      </c>
      <c r="G712" s="16" t="s">
        <v>555</v>
      </c>
      <c r="J712" s="16" t="s">
        <v>33</v>
      </c>
    </row>
    <row r="713" spans="1:12" hidden="1" x14ac:dyDescent="0.3">
      <c r="A713" s="16" t="s">
        <v>2566</v>
      </c>
      <c r="B713" s="16"/>
      <c r="C713" s="16"/>
      <c r="D713" s="16" t="s">
        <v>2568</v>
      </c>
      <c r="E713" s="16" t="s">
        <v>1778</v>
      </c>
      <c r="F713" s="16" t="s">
        <v>18</v>
      </c>
      <c r="G713" s="16" t="s">
        <v>555</v>
      </c>
      <c r="I713" s="16" t="s">
        <v>1770</v>
      </c>
      <c r="J713" s="16" t="s">
        <v>33</v>
      </c>
    </row>
    <row r="714" spans="1:12" hidden="1" x14ac:dyDescent="0.3">
      <c r="A714" s="16" t="s">
        <v>1112</v>
      </c>
      <c r="B714" s="16"/>
      <c r="C714" s="16"/>
      <c r="D714" s="16" t="s">
        <v>1113</v>
      </c>
      <c r="E714" s="16" t="s">
        <v>1812</v>
      </c>
      <c r="F714" s="16" t="s">
        <v>18</v>
      </c>
      <c r="G714" s="16" t="s">
        <v>588</v>
      </c>
      <c r="I714" s="16" t="s">
        <v>1103</v>
      </c>
      <c r="J714" s="16" t="s">
        <v>33</v>
      </c>
    </row>
    <row r="715" spans="1:12" hidden="1" x14ac:dyDescent="0.3">
      <c r="A715" s="16" t="s">
        <v>1114</v>
      </c>
      <c r="B715" s="16"/>
      <c r="C715" s="16"/>
      <c r="D715" s="16" t="s">
        <v>1115</v>
      </c>
      <c r="E715" s="16" t="s">
        <v>1812</v>
      </c>
      <c r="F715" s="16" t="s">
        <v>18</v>
      </c>
      <c r="G715" s="16" t="s">
        <v>555</v>
      </c>
      <c r="I715" s="16" t="s">
        <v>1103</v>
      </c>
      <c r="J715" s="16" t="s">
        <v>33</v>
      </c>
    </row>
    <row r="716" spans="1:12" hidden="1" x14ac:dyDescent="0.3">
      <c r="A716" s="16" t="s">
        <v>899</v>
      </c>
      <c r="B716" s="16"/>
      <c r="C716" s="16"/>
      <c r="D716" s="16" t="s">
        <v>2569</v>
      </c>
      <c r="E716" s="16" t="s">
        <v>2570</v>
      </c>
      <c r="F716" s="16" t="s">
        <v>388</v>
      </c>
      <c r="G716" s="16" t="s">
        <v>539</v>
      </c>
      <c r="L716" s="16" t="s">
        <v>32</v>
      </c>
    </row>
    <row r="717" spans="1:12" hidden="1" x14ac:dyDescent="0.3">
      <c r="A717" s="16" t="s">
        <v>899</v>
      </c>
      <c r="B717" s="16"/>
      <c r="C717" s="16"/>
      <c r="D717" s="16" t="s">
        <v>2571</v>
      </c>
      <c r="E717" s="16" t="s">
        <v>1779</v>
      </c>
      <c r="F717" s="16" t="s">
        <v>133</v>
      </c>
      <c r="G717" s="16" t="s">
        <v>1791</v>
      </c>
      <c r="J717" s="16" t="s">
        <v>33</v>
      </c>
    </row>
    <row r="718" spans="1:12" hidden="1" x14ac:dyDescent="0.3">
      <c r="A718" s="16" t="s">
        <v>1178</v>
      </c>
      <c r="B718" s="16"/>
      <c r="C718" s="16"/>
      <c r="D718" s="16" t="s">
        <v>476</v>
      </c>
      <c r="E718" s="16" t="s">
        <v>1778</v>
      </c>
      <c r="F718" s="16" t="s">
        <v>18</v>
      </c>
      <c r="G718" s="16" t="s">
        <v>539</v>
      </c>
      <c r="I718" s="16" t="s">
        <v>1127</v>
      </c>
      <c r="J718" s="16" t="s">
        <v>33</v>
      </c>
    </row>
    <row r="719" spans="1:12" hidden="1" x14ac:dyDescent="0.3">
      <c r="A719" s="16" t="s">
        <v>1178</v>
      </c>
      <c r="B719" s="16"/>
      <c r="C719" s="16"/>
      <c r="D719" s="16" t="s">
        <v>1179</v>
      </c>
      <c r="E719" s="16" t="s">
        <v>1777</v>
      </c>
      <c r="F719" s="16" t="s">
        <v>18</v>
      </c>
      <c r="G719" s="16" t="s">
        <v>539</v>
      </c>
      <c r="I719" s="16" t="s">
        <v>1127</v>
      </c>
      <c r="J719" s="16" t="s">
        <v>33</v>
      </c>
    </row>
    <row r="720" spans="1:12" hidden="1" x14ac:dyDescent="0.3">
      <c r="A720" s="16" t="s">
        <v>1178</v>
      </c>
      <c r="B720" s="16"/>
      <c r="C720" s="16"/>
      <c r="D720" s="16" t="s">
        <v>1559</v>
      </c>
      <c r="E720" s="16" t="s">
        <v>1779</v>
      </c>
      <c r="F720" s="16" t="s">
        <v>18</v>
      </c>
      <c r="G720" s="16" t="s">
        <v>539</v>
      </c>
      <c r="I720" s="16" t="s">
        <v>1127</v>
      </c>
      <c r="J720" s="16" t="s">
        <v>33</v>
      </c>
    </row>
    <row r="721" spans="1:10" hidden="1" x14ac:dyDescent="0.3">
      <c r="A721" s="16" t="s">
        <v>1329</v>
      </c>
      <c r="B721" s="16"/>
      <c r="C721" s="16"/>
      <c r="D721" s="16" t="s">
        <v>2572</v>
      </c>
      <c r="E721" s="16" t="s">
        <v>1778</v>
      </c>
      <c r="F721" s="16" t="s">
        <v>50</v>
      </c>
      <c r="G721" s="16" t="s">
        <v>555</v>
      </c>
      <c r="J721" s="16" t="s">
        <v>33</v>
      </c>
    </row>
    <row r="722" spans="1:10" hidden="1" x14ac:dyDescent="0.3">
      <c r="A722" s="16" t="s">
        <v>1329</v>
      </c>
      <c r="B722" s="16"/>
      <c r="C722" s="16"/>
      <c r="D722" s="16" t="s">
        <v>1330</v>
      </c>
      <c r="E722" s="16" t="s">
        <v>1778</v>
      </c>
      <c r="F722" s="16" t="s">
        <v>18</v>
      </c>
      <c r="G722" s="16" t="s">
        <v>555</v>
      </c>
      <c r="I722" s="16" t="s">
        <v>1770</v>
      </c>
      <c r="J722" s="16" t="s">
        <v>33</v>
      </c>
    </row>
    <row r="723" spans="1:10" hidden="1" x14ac:dyDescent="0.3">
      <c r="A723" s="16" t="s">
        <v>2573</v>
      </c>
      <c r="B723" s="16"/>
      <c r="C723" s="16"/>
      <c r="D723" s="16" t="s">
        <v>2574</v>
      </c>
      <c r="E723" s="16" t="s">
        <v>1778</v>
      </c>
      <c r="F723" s="16" t="s">
        <v>50</v>
      </c>
      <c r="G723" s="16" t="s">
        <v>555</v>
      </c>
      <c r="J723" s="16" t="s">
        <v>33</v>
      </c>
    </row>
    <row r="724" spans="1:10" hidden="1" x14ac:dyDescent="0.3">
      <c r="A724" s="16" t="s">
        <v>2573</v>
      </c>
      <c r="B724" s="16"/>
      <c r="C724" s="16"/>
      <c r="D724" s="16" t="s">
        <v>2575</v>
      </c>
      <c r="E724" s="16" t="s">
        <v>1778</v>
      </c>
      <c r="F724" s="16" t="s">
        <v>18</v>
      </c>
      <c r="G724" s="16" t="s">
        <v>555</v>
      </c>
      <c r="I724" s="16" t="s">
        <v>1770</v>
      </c>
      <c r="J724" s="16" t="s">
        <v>33</v>
      </c>
    </row>
    <row r="725" spans="1:10" hidden="1" x14ac:dyDescent="0.3">
      <c r="A725" s="16" t="s">
        <v>2576</v>
      </c>
      <c r="B725" s="16"/>
      <c r="C725" s="16"/>
      <c r="D725" s="16" t="s">
        <v>2577</v>
      </c>
      <c r="E725" s="16" t="s">
        <v>1778</v>
      </c>
      <c r="F725" s="16" t="s">
        <v>2042</v>
      </c>
      <c r="G725" s="16" t="s">
        <v>555</v>
      </c>
      <c r="J725" s="16" t="s">
        <v>33</v>
      </c>
    </row>
    <row r="726" spans="1:10" hidden="1" x14ac:dyDescent="0.3">
      <c r="A726" s="16" t="s">
        <v>2576</v>
      </c>
      <c r="B726" s="16"/>
      <c r="C726" s="16"/>
      <c r="D726" s="16" t="s">
        <v>2578</v>
      </c>
      <c r="E726" s="16" t="s">
        <v>1778</v>
      </c>
      <c r="F726" s="16" t="s">
        <v>18</v>
      </c>
      <c r="G726" s="16" t="s">
        <v>555</v>
      </c>
      <c r="I726" s="16" t="s">
        <v>1770</v>
      </c>
      <c r="J726" s="16" t="s">
        <v>33</v>
      </c>
    </row>
    <row r="727" spans="1:10" hidden="1" x14ac:dyDescent="0.3">
      <c r="A727" s="16" t="s">
        <v>2579</v>
      </c>
      <c r="B727" s="16"/>
      <c r="C727" s="16"/>
      <c r="D727" s="16" t="s">
        <v>2580</v>
      </c>
      <c r="E727" s="16" t="s">
        <v>1778</v>
      </c>
      <c r="F727" s="16" t="s">
        <v>2042</v>
      </c>
      <c r="G727" s="16" t="s">
        <v>555</v>
      </c>
      <c r="J727" s="16" t="s">
        <v>33</v>
      </c>
    </row>
    <row r="728" spans="1:10" hidden="1" x14ac:dyDescent="0.3">
      <c r="A728" s="16" t="s">
        <v>2579</v>
      </c>
      <c r="B728" s="16"/>
      <c r="C728" s="16"/>
      <c r="D728" s="16" t="s">
        <v>2581</v>
      </c>
      <c r="E728" s="16" t="s">
        <v>1778</v>
      </c>
      <c r="F728" s="16" t="s">
        <v>18</v>
      </c>
      <c r="G728" s="16" t="s">
        <v>555</v>
      </c>
      <c r="I728" s="16" t="s">
        <v>1770</v>
      </c>
      <c r="J728" s="16" t="s">
        <v>33</v>
      </c>
    </row>
    <row r="729" spans="1:10" hidden="1" x14ac:dyDescent="0.3">
      <c r="A729" s="16" t="s">
        <v>2582</v>
      </c>
      <c r="B729" s="16"/>
      <c r="C729" s="16"/>
      <c r="D729" s="16" t="s">
        <v>2583</v>
      </c>
      <c r="E729" s="16" t="s">
        <v>1778</v>
      </c>
      <c r="F729" s="16" t="s">
        <v>2042</v>
      </c>
      <c r="G729" s="16" t="s">
        <v>555</v>
      </c>
      <c r="J729" s="16" t="s">
        <v>33</v>
      </c>
    </row>
    <row r="730" spans="1:10" hidden="1" x14ac:dyDescent="0.3">
      <c r="A730" s="16" t="s">
        <v>2582</v>
      </c>
      <c r="B730" s="16"/>
      <c r="C730" s="16"/>
      <c r="D730" s="16" t="s">
        <v>2584</v>
      </c>
      <c r="E730" s="16" t="s">
        <v>1778</v>
      </c>
      <c r="F730" s="16" t="s">
        <v>18</v>
      </c>
      <c r="G730" s="16" t="s">
        <v>555</v>
      </c>
      <c r="I730" s="16" t="s">
        <v>1770</v>
      </c>
      <c r="J730" s="16" t="s">
        <v>33</v>
      </c>
    </row>
    <row r="731" spans="1:10" hidden="1" x14ac:dyDescent="0.3">
      <c r="A731" s="16" t="s">
        <v>2585</v>
      </c>
      <c r="B731" s="16"/>
      <c r="C731" s="16"/>
      <c r="D731" s="16" t="s">
        <v>2586</v>
      </c>
      <c r="E731" s="16" t="s">
        <v>1778</v>
      </c>
      <c r="F731" s="16" t="s">
        <v>2042</v>
      </c>
      <c r="G731" s="16" t="s">
        <v>555</v>
      </c>
      <c r="J731" s="16" t="s">
        <v>33</v>
      </c>
    </row>
    <row r="732" spans="1:10" hidden="1" x14ac:dyDescent="0.3">
      <c r="A732" s="16" t="s">
        <v>2585</v>
      </c>
      <c r="B732" s="16"/>
      <c r="C732" s="16"/>
      <c r="D732" s="16" t="s">
        <v>2587</v>
      </c>
      <c r="E732" s="16" t="s">
        <v>1778</v>
      </c>
      <c r="F732" s="16" t="s">
        <v>18</v>
      </c>
      <c r="G732" s="16" t="s">
        <v>555</v>
      </c>
      <c r="I732" s="16" t="s">
        <v>1770</v>
      </c>
      <c r="J732" s="16" t="s">
        <v>33</v>
      </c>
    </row>
    <row r="733" spans="1:10" hidden="1" x14ac:dyDescent="0.3">
      <c r="A733" s="16" t="s">
        <v>2588</v>
      </c>
      <c r="B733" s="16"/>
      <c r="C733" s="16"/>
      <c r="D733" s="16" t="s">
        <v>2589</v>
      </c>
      <c r="E733" s="16" t="s">
        <v>1778</v>
      </c>
      <c r="F733" s="16" t="s">
        <v>50</v>
      </c>
      <c r="G733" s="16" t="s">
        <v>555</v>
      </c>
      <c r="J733" s="16" t="s">
        <v>33</v>
      </c>
    </row>
    <row r="734" spans="1:10" hidden="1" x14ac:dyDescent="0.3">
      <c r="A734" s="16" t="s">
        <v>2588</v>
      </c>
      <c r="B734" s="16"/>
      <c r="C734" s="16"/>
      <c r="D734" s="16" t="s">
        <v>2590</v>
      </c>
      <c r="E734" s="16" t="s">
        <v>1778</v>
      </c>
      <c r="F734" s="16" t="s">
        <v>18</v>
      </c>
      <c r="G734" s="16" t="s">
        <v>555</v>
      </c>
      <c r="I734" s="16" t="s">
        <v>1770</v>
      </c>
      <c r="J734" s="16" t="s">
        <v>33</v>
      </c>
    </row>
    <row r="735" spans="1:10" hidden="1" x14ac:dyDescent="0.3">
      <c r="A735" s="16" t="s">
        <v>1331</v>
      </c>
      <c r="B735" s="16"/>
      <c r="C735" s="16"/>
      <c r="D735" s="16" t="s">
        <v>1332</v>
      </c>
      <c r="E735" s="16" t="s">
        <v>1778</v>
      </c>
      <c r="F735" s="16" t="s">
        <v>18</v>
      </c>
      <c r="G735" s="16" t="s">
        <v>555</v>
      </c>
      <c r="I735" s="16" t="s">
        <v>1127</v>
      </c>
      <c r="J735" s="16" t="s">
        <v>33</v>
      </c>
    </row>
    <row r="736" spans="1:10" hidden="1" x14ac:dyDescent="0.3">
      <c r="A736" s="16" t="s">
        <v>1674</v>
      </c>
      <c r="B736" s="16"/>
      <c r="C736" s="16"/>
      <c r="D736" s="16" t="s">
        <v>1675</v>
      </c>
      <c r="E736" s="16" t="s">
        <v>1778</v>
      </c>
      <c r="F736" s="16" t="s">
        <v>18</v>
      </c>
      <c r="G736" s="16" t="s">
        <v>555</v>
      </c>
      <c r="I736" s="16" t="s">
        <v>1770</v>
      </c>
      <c r="J736" s="16" t="s">
        <v>33</v>
      </c>
    </row>
    <row r="737" spans="1:10" hidden="1" x14ac:dyDescent="0.3">
      <c r="A737" s="16" t="s">
        <v>1333</v>
      </c>
      <c r="B737" s="16"/>
      <c r="C737" s="16"/>
      <c r="D737" s="16" t="s">
        <v>1334</v>
      </c>
      <c r="E737" s="16" t="s">
        <v>1778</v>
      </c>
      <c r="F737" s="16" t="s">
        <v>18</v>
      </c>
      <c r="G737" s="16" t="s">
        <v>555</v>
      </c>
      <c r="I737" s="16" t="s">
        <v>1770</v>
      </c>
      <c r="J737" s="16" t="s">
        <v>33</v>
      </c>
    </row>
    <row r="738" spans="1:10" hidden="1" x14ac:dyDescent="0.3">
      <c r="A738" s="16" t="s">
        <v>2591</v>
      </c>
      <c r="B738" s="16"/>
      <c r="C738" s="16"/>
      <c r="D738" s="16" t="s">
        <v>2592</v>
      </c>
      <c r="E738" s="16" t="s">
        <v>1778</v>
      </c>
      <c r="F738" s="16" t="s">
        <v>2042</v>
      </c>
      <c r="G738" s="16" t="s">
        <v>555</v>
      </c>
      <c r="J738" s="16" t="s">
        <v>33</v>
      </c>
    </row>
    <row r="739" spans="1:10" hidden="1" x14ac:dyDescent="0.3">
      <c r="A739" s="16" t="s">
        <v>2593</v>
      </c>
      <c r="B739" s="16"/>
      <c r="C739" s="16"/>
      <c r="D739" s="16" t="s">
        <v>2594</v>
      </c>
      <c r="E739" s="16" t="s">
        <v>1778</v>
      </c>
      <c r="F739" s="16" t="s">
        <v>2042</v>
      </c>
      <c r="G739" s="16" t="s">
        <v>555</v>
      </c>
      <c r="J739" s="16" t="s">
        <v>33</v>
      </c>
    </row>
    <row r="740" spans="1:10" hidden="1" x14ac:dyDescent="0.3">
      <c r="A740" s="16" t="s">
        <v>2593</v>
      </c>
      <c r="B740" s="16"/>
      <c r="C740" s="16"/>
      <c r="D740" s="16" t="s">
        <v>2595</v>
      </c>
      <c r="E740" s="16" t="s">
        <v>1778</v>
      </c>
      <c r="F740" s="16" t="s">
        <v>18</v>
      </c>
      <c r="G740" s="16" t="s">
        <v>555</v>
      </c>
      <c r="I740" s="16" t="s">
        <v>1770</v>
      </c>
      <c r="J740" s="16" t="s">
        <v>33</v>
      </c>
    </row>
    <row r="741" spans="1:10" hidden="1" x14ac:dyDescent="0.3">
      <c r="A741" s="16" t="s">
        <v>2596</v>
      </c>
      <c r="B741" s="16"/>
      <c r="C741" s="16"/>
      <c r="D741" s="16" t="s">
        <v>2597</v>
      </c>
      <c r="E741" s="16" t="s">
        <v>1778</v>
      </c>
      <c r="F741" s="16" t="s">
        <v>2042</v>
      </c>
      <c r="G741" s="16" t="s">
        <v>555</v>
      </c>
      <c r="J741" s="16" t="s">
        <v>33</v>
      </c>
    </row>
    <row r="742" spans="1:10" hidden="1" x14ac:dyDescent="0.3">
      <c r="A742" s="16" t="s">
        <v>2596</v>
      </c>
      <c r="B742" s="16"/>
      <c r="C742" s="16"/>
      <c r="D742" s="16" t="s">
        <v>2598</v>
      </c>
      <c r="E742" s="16" t="s">
        <v>1778</v>
      </c>
      <c r="F742" s="16" t="s">
        <v>18</v>
      </c>
      <c r="G742" s="16" t="s">
        <v>555</v>
      </c>
      <c r="I742" s="16" t="s">
        <v>1770</v>
      </c>
      <c r="J742" s="16" t="s">
        <v>33</v>
      </c>
    </row>
    <row r="743" spans="1:10" hidden="1" x14ac:dyDescent="0.3">
      <c r="A743" s="16" t="s">
        <v>2599</v>
      </c>
      <c r="B743" s="16"/>
      <c r="C743" s="16"/>
      <c r="D743" s="16" t="s">
        <v>2600</v>
      </c>
      <c r="E743" s="16" t="s">
        <v>1778</v>
      </c>
      <c r="F743" s="16" t="s">
        <v>2042</v>
      </c>
      <c r="G743" s="16" t="s">
        <v>555</v>
      </c>
      <c r="J743" s="16" t="s">
        <v>33</v>
      </c>
    </row>
    <row r="744" spans="1:10" hidden="1" x14ac:dyDescent="0.3">
      <c r="A744" s="16" t="s">
        <v>2599</v>
      </c>
      <c r="B744" s="16"/>
      <c r="C744" s="16"/>
      <c r="D744" s="16" t="s">
        <v>2601</v>
      </c>
      <c r="E744" s="16" t="s">
        <v>1778</v>
      </c>
      <c r="F744" s="16" t="s">
        <v>18</v>
      </c>
      <c r="G744" s="16" t="s">
        <v>555</v>
      </c>
      <c r="I744" s="16" t="s">
        <v>1770</v>
      </c>
      <c r="J744" s="16" t="s">
        <v>33</v>
      </c>
    </row>
    <row r="745" spans="1:10" hidden="1" x14ac:dyDescent="0.3">
      <c r="A745" s="16" t="s">
        <v>2602</v>
      </c>
      <c r="B745" s="16"/>
      <c r="C745" s="16"/>
      <c r="D745" s="16" t="s">
        <v>2603</v>
      </c>
      <c r="E745" s="16" t="s">
        <v>1778</v>
      </c>
      <c r="F745" s="16" t="s">
        <v>2042</v>
      </c>
      <c r="G745" s="16" t="s">
        <v>555</v>
      </c>
      <c r="J745" s="16" t="s">
        <v>33</v>
      </c>
    </row>
    <row r="746" spans="1:10" hidden="1" x14ac:dyDescent="0.3">
      <c r="A746" s="16" t="s">
        <v>2604</v>
      </c>
      <c r="B746" s="16"/>
      <c r="C746" s="16"/>
      <c r="D746" s="16" t="s">
        <v>2605</v>
      </c>
      <c r="E746" s="16" t="s">
        <v>1778</v>
      </c>
      <c r="F746" s="16" t="s">
        <v>2042</v>
      </c>
      <c r="G746" s="16" t="s">
        <v>555</v>
      </c>
      <c r="J746" s="16" t="s">
        <v>33</v>
      </c>
    </row>
    <row r="747" spans="1:10" hidden="1" x14ac:dyDescent="0.3">
      <c r="A747" s="16" t="s">
        <v>2604</v>
      </c>
      <c r="B747" s="16"/>
      <c r="C747" s="16"/>
      <c r="D747" s="16" t="s">
        <v>2606</v>
      </c>
      <c r="E747" s="16" t="s">
        <v>1778</v>
      </c>
      <c r="F747" s="16" t="s">
        <v>18</v>
      </c>
      <c r="G747" s="16" t="s">
        <v>555</v>
      </c>
      <c r="I747" s="16" t="s">
        <v>1770</v>
      </c>
      <c r="J747" s="16" t="s">
        <v>33</v>
      </c>
    </row>
    <row r="748" spans="1:10" hidden="1" x14ac:dyDescent="0.3">
      <c r="A748" s="16" t="s">
        <v>2607</v>
      </c>
      <c r="B748" s="16"/>
      <c r="C748" s="16"/>
      <c r="D748" s="16" t="s">
        <v>2608</v>
      </c>
      <c r="E748" s="16" t="s">
        <v>1778</v>
      </c>
      <c r="F748" s="16" t="s">
        <v>2042</v>
      </c>
      <c r="G748" s="16" t="s">
        <v>555</v>
      </c>
      <c r="J748" s="16" t="s">
        <v>33</v>
      </c>
    </row>
    <row r="749" spans="1:10" hidden="1" x14ac:dyDescent="0.3">
      <c r="A749" s="16" t="s">
        <v>2607</v>
      </c>
      <c r="B749" s="16"/>
      <c r="C749" s="16"/>
      <c r="D749" s="16" t="s">
        <v>2609</v>
      </c>
      <c r="E749" s="16" t="s">
        <v>1778</v>
      </c>
      <c r="F749" s="16" t="s">
        <v>18</v>
      </c>
      <c r="G749" s="16" t="s">
        <v>555</v>
      </c>
      <c r="I749" s="16" t="s">
        <v>1770</v>
      </c>
      <c r="J749" s="16" t="s">
        <v>33</v>
      </c>
    </row>
    <row r="750" spans="1:10" hidden="1" x14ac:dyDescent="0.3">
      <c r="A750" s="16" t="s">
        <v>2610</v>
      </c>
      <c r="B750" s="16"/>
      <c r="C750" s="16"/>
      <c r="D750" s="16" t="s">
        <v>2611</v>
      </c>
      <c r="E750" s="16" t="s">
        <v>1778</v>
      </c>
      <c r="F750" s="16" t="s">
        <v>50</v>
      </c>
      <c r="G750" s="16" t="s">
        <v>555</v>
      </c>
      <c r="J750" s="16" t="s">
        <v>33</v>
      </c>
    </row>
    <row r="751" spans="1:10" hidden="1" x14ac:dyDescent="0.3">
      <c r="A751" s="16" t="s">
        <v>2610</v>
      </c>
      <c r="B751" s="16"/>
      <c r="C751" s="16"/>
      <c r="D751" s="16" t="s">
        <v>2612</v>
      </c>
      <c r="E751" s="16" t="s">
        <v>1778</v>
      </c>
      <c r="F751" s="16" t="s">
        <v>18</v>
      </c>
      <c r="G751" s="16" t="s">
        <v>555</v>
      </c>
      <c r="I751" s="16" t="s">
        <v>1770</v>
      </c>
      <c r="J751" s="16" t="s">
        <v>33</v>
      </c>
    </row>
    <row r="752" spans="1:10" hidden="1" x14ac:dyDescent="0.3">
      <c r="A752" s="16" t="s">
        <v>2613</v>
      </c>
      <c r="B752" s="16"/>
      <c r="C752" s="16"/>
      <c r="D752" s="16" t="s">
        <v>2614</v>
      </c>
      <c r="E752" s="16" t="s">
        <v>1778</v>
      </c>
      <c r="F752" s="16" t="s">
        <v>50</v>
      </c>
      <c r="G752" s="16" t="s">
        <v>555</v>
      </c>
      <c r="J752" s="16" t="s">
        <v>33</v>
      </c>
    </row>
    <row r="753" spans="1:10" hidden="1" x14ac:dyDescent="0.3">
      <c r="A753" s="16" t="s">
        <v>2613</v>
      </c>
      <c r="B753" s="16"/>
      <c r="C753" s="16"/>
      <c r="D753" s="16" t="s">
        <v>2615</v>
      </c>
      <c r="E753" s="16" t="s">
        <v>1778</v>
      </c>
      <c r="F753" s="16" t="s">
        <v>18</v>
      </c>
      <c r="G753" s="16" t="s">
        <v>555</v>
      </c>
      <c r="I753" s="16" t="s">
        <v>1770</v>
      </c>
      <c r="J753" s="16" t="s">
        <v>33</v>
      </c>
    </row>
    <row r="754" spans="1:10" hidden="1" x14ac:dyDescent="0.3">
      <c r="A754" s="16" t="s">
        <v>2616</v>
      </c>
      <c r="B754" s="16"/>
      <c r="C754" s="16"/>
      <c r="D754" s="16" t="s">
        <v>2617</v>
      </c>
      <c r="E754" s="16" t="s">
        <v>1778</v>
      </c>
      <c r="F754" s="16" t="s">
        <v>50</v>
      </c>
      <c r="G754" s="16" t="s">
        <v>555</v>
      </c>
      <c r="J754" s="16" t="s">
        <v>33</v>
      </c>
    </row>
    <row r="755" spans="1:10" hidden="1" x14ac:dyDescent="0.3">
      <c r="A755" s="16" t="s">
        <v>2616</v>
      </c>
      <c r="B755" s="16"/>
      <c r="C755" s="16"/>
      <c r="D755" s="16" t="s">
        <v>2618</v>
      </c>
      <c r="E755" s="16" t="s">
        <v>1778</v>
      </c>
      <c r="F755" s="16" t="s">
        <v>18</v>
      </c>
      <c r="G755" s="16" t="s">
        <v>555</v>
      </c>
      <c r="I755" s="16" t="s">
        <v>1770</v>
      </c>
      <c r="J755" s="16" t="s">
        <v>33</v>
      </c>
    </row>
    <row r="756" spans="1:10" hidden="1" x14ac:dyDescent="0.3">
      <c r="A756" s="16" t="s">
        <v>2619</v>
      </c>
      <c r="B756" s="16"/>
      <c r="C756" s="16"/>
      <c r="D756" s="16" t="s">
        <v>2620</v>
      </c>
      <c r="E756" s="16" t="s">
        <v>1778</v>
      </c>
      <c r="F756" s="16" t="s">
        <v>50</v>
      </c>
      <c r="G756" s="16" t="s">
        <v>555</v>
      </c>
      <c r="J756" s="16" t="s">
        <v>33</v>
      </c>
    </row>
    <row r="757" spans="1:10" hidden="1" x14ac:dyDescent="0.3">
      <c r="A757" s="16" t="s">
        <v>2619</v>
      </c>
      <c r="B757" s="16"/>
      <c r="C757" s="16"/>
      <c r="D757" s="16" t="s">
        <v>2621</v>
      </c>
      <c r="E757" s="16" t="s">
        <v>1778</v>
      </c>
      <c r="F757" s="16" t="s">
        <v>18</v>
      </c>
      <c r="G757" s="16" t="s">
        <v>555</v>
      </c>
      <c r="I757" s="16" t="s">
        <v>1770</v>
      </c>
      <c r="J757" s="16" t="s">
        <v>33</v>
      </c>
    </row>
    <row r="758" spans="1:10" hidden="1" x14ac:dyDescent="0.3">
      <c r="A758" s="16" t="s">
        <v>2622</v>
      </c>
      <c r="B758" s="16"/>
      <c r="C758" s="16"/>
      <c r="D758" s="16" t="s">
        <v>2623</v>
      </c>
      <c r="E758" s="16" t="s">
        <v>1778</v>
      </c>
      <c r="F758" s="16" t="s">
        <v>50</v>
      </c>
      <c r="G758" s="16" t="s">
        <v>555</v>
      </c>
      <c r="J758" s="16" t="s">
        <v>33</v>
      </c>
    </row>
    <row r="759" spans="1:10" hidden="1" x14ac:dyDescent="0.3">
      <c r="A759" s="16" t="s">
        <v>2622</v>
      </c>
      <c r="B759" s="16"/>
      <c r="C759" s="16"/>
      <c r="D759" s="16" t="s">
        <v>2624</v>
      </c>
      <c r="E759" s="16" t="s">
        <v>1778</v>
      </c>
      <c r="F759" s="16" t="s">
        <v>18</v>
      </c>
      <c r="G759" s="16" t="s">
        <v>555</v>
      </c>
      <c r="I759" s="16" t="s">
        <v>1770</v>
      </c>
      <c r="J759" s="16" t="s">
        <v>33</v>
      </c>
    </row>
    <row r="760" spans="1:10" hidden="1" x14ac:dyDescent="0.3">
      <c r="A760" s="16" t="s">
        <v>2625</v>
      </c>
      <c r="B760" s="16"/>
      <c r="C760" s="16"/>
      <c r="D760" s="16" t="s">
        <v>2626</v>
      </c>
      <c r="E760" s="16" t="s">
        <v>1915</v>
      </c>
      <c r="F760" s="16" t="s">
        <v>133</v>
      </c>
      <c r="G760" s="16" t="s">
        <v>1791</v>
      </c>
      <c r="J760" s="16" t="s">
        <v>33</v>
      </c>
    </row>
    <row r="761" spans="1:10" hidden="1" x14ac:dyDescent="0.3">
      <c r="A761" s="16" t="s">
        <v>1560</v>
      </c>
      <c r="B761" s="16"/>
      <c r="C761" s="16"/>
      <c r="D761" s="16" t="s">
        <v>1561</v>
      </c>
      <c r="E761" s="16" t="s">
        <v>1779</v>
      </c>
      <c r="F761" s="16" t="s">
        <v>133</v>
      </c>
      <c r="G761" s="16" t="s">
        <v>1791</v>
      </c>
      <c r="I761" s="16" t="s">
        <v>1337</v>
      </c>
      <c r="J761" s="16" t="s">
        <v>33</v>
      </c>
    </row>
    <row r="762" spans="1:10" hidden="1" x14ac:dyDescent="0.3">
      <c r="A762" s="16" t="s">
        <v>1335</v>
      </c>
      <c r="B762" s="16"/>
      <c r="C762" s="16"/>
      <c r="D762" s="16" t="s">
        <v>1336</v>
      </c>
      <c r="E762" s="16" t="s">
        <v>1778</v>
      </c>
      <c r="F762" s="16" t="s">
        <v>133</v>
      </c>
      <c r="G762" s="16" t="s">
        <v>1791</v>
      </c>
      <c r="I762" s="16" t="s">
        <v>1337</v>
      </c>
      <c r="J762" s="16" t="s">
        <v>33</v>
      </c>
    </row>
    <row r="763" spans="1:10" hidden="1" x14ac:dyDescent="0.3">
      <c r="A763" s="16" t="s">
        <v>1562</v>
      </c>
      <c r="B763" s="16"/>
      <c r="C763" s="16"/>
      <c r="D763" s="16" t="s">
        <v>1563</v>
      </c>
      <c r="E763" s="16" t="s">
        <v>1779</v>
      </c>
      <c r="F763" s="16" t="s">
        <v>133</v>
      </c>
      <c r="G763" s="16" t="s">
        <v>1791</v>
      </c>
      <c r="I763" s="16" t="s">
        <v>1337</v>
      </c>
      <c r="J763" s="16" t="s">
        <v>33</v>
      </c>
    </row>
    <row r="764" spans="1:10" hidden="1" x14ac:dyDescent="0.3">
      <c r="A764" s="16" t="s">
        <v>2627</v>
      </c>
      <c r="B764" s="16"/>
      <c r="C764" s="16"/>
      <c r="D764" s="16" t="s">
        <v>2628</v>
      </c>
      <c r="E764" s="16" t="s">
        <v>1778</v>
      </c>
      <c r="F764" s="16" t="s">
        <v>18</v>
      </c>
      <c r="G764" s="16" t="s">
        <v>555</v>
      </c>
      <c r="I764" s="16" t="s">
        <v>1770</v>
      </c>
      <c r="J764" s="16" t="s">
        <v>33</v>
      </c>
    </row>
    <row r="765" spans="1:10" hidden="1" x14ac:dyDescent="0.3">
      <c r="A765" s="16" t="s">
        <v>2629</v>
      </c>
      <c r="B765" s="16"/>
      <c r="C765" s="16"/>
      <c r="D765" s="16" t="s">
        <v>2630</v>
      </c>
      <c r="E765" s="16" t="s">
        <v>1778</v>
      </c>
      <c r="F765" s="16" t="s">
        <v>18</v>
      </c>
      <c r="G765" s="16" t="s">
        <v>555</v>
      </c>
      <c r="I765" s="16" t="s">
        <v>1770</v>
      </c>
      <c r="J765" s="16" t="s">
        <v>33</v>
      </c>
    </row>
    <row r="766" spans="1:10" hidden="1" x14ac:dyDescent="0.3">
      <c r="A766" s="16" t="s">
        <v>2631</v>
      </c>
      <c r="B766" s="16"/>
      <c r="C766" s="16"/>
      <c r="D766" s="16" t="s">
        <v>2632</v>
      </c>
      <c r="E766" s="16" t="s">
        <v>1778</v>
      </c>
      <c r="F766" s="16" t="s">
        <v>18</v>
      </c>
      <c r="G766" s="16" t="s">
        <v>555</v>
      </c>
      <c r="I766" s="16" t="s">
        <v>1770</v>
      </c>
      <c r="J766" s="16" t="s">
        <v>33</v>
      </c>
    </row>
    <row r="767" spans="1:10" hidden="1" x14ac:dyDescent="0.3">
      <c r="A767" s="16" t="s">
        <v>2633</v>
      </c>
      <c r="B767" s="16"/>
      <c r="C767" s="16"/>
      <c r="D767" s="16" t="s">
        <v>2634</v>
      </c>
      <c r="E767" s="16" t="s">
        <v>1778</v>
      </c>
      <c r="F767" s="16" t="s">
        <v>18</v>
      </c>
      <c r="G767" s="16" t="s">
        <v>555</v>
      </c>
      <c r="I767" s="16" t="s">
        <v>1770</v>
      </c>
      <c r="J767" s="16" t="s">
        <v>33</v>
      </c>
    </row>
    <row r="768" spans="1:10" hidden="1" x14ac:dyDescent="0.3">
      <c r="A768" s="16" t="s">
        <v>2635</v>
      </c>
      <c r="B768" s="16"/>
      <c r="C768" s="16"/>
      <c r="D768" s="16" t="s">
        <v>2636</v>
      </c>
      <c r="E768" s="16" t="s">
        <v>1778</v>
      </c>
      <c r="F768" s="16" t="s">
        <v>18</v>
      </c>
      <c r="G768" s="16" t="s">
        <v>555</v>
      </c>
      <c r="I768" s="16" t="s">
        <v>1770</v>
      </c>
      <c r="J768" s="16" t="s">
        <v>33</v>
      </c>
    </row>
    <row r="769" spans="1:10" hidden="1" x14ac:dyDescent="0.3">
      <c r="A769" s="16" t="s">
        <v>2637</v>
      </c>
      <c r="B769" s="16"/>
      <c r="C769" s="16"/>
      <c r="D769" s="16" t="s">
        <v>2638</v>
      </c>
      <c r="E769" s="16" t="s">
        <v>1778</v>
      </c>
      <c r="F769" s="16" t="s">
        <v>18</v>
      </c>
      <c r="G769" s="16" t="s">
        <v>555</v>
      </c>
      <c r="I769" s="16" t="s">
        <v>1770</v>
      </c>
      <c r="J769" s="16" t="s">
        <v>33</v>
      </c>
    </row>
    <row r="770" spans="1:10" hidden="1" x14ac:dyDescent="0.3">
      <c r="A770" s="16" t="s">
        <v>2639</v>
      </c>
      <c r="B770" s="16"/>
      <c r="C770" s="16"/>
      <c r="D770" s="16" t="s">
        <v>2640</v>
      </c>
      <c r="E770" s="16" t="s">
        <v>1778</v>
      </c>
      <c r="F770" s="16" t="s">
        <v>18</v>
      </c>
      <c r="G770" s="16" t="s">
        <v>555</v>
      </c>
      <c r="I770" s="16" t="s">
        <v>1770</v>
      </c>
      <c r="J770" s="16" t="s">
        <v>33</v>
      </c>
    </row>
    <row r="771" spans="1:10" hidden="1" x14ac:dyDescent="0.3">
      <c r="A771" s="16" t="s">
        <v>2641</v>
      </c>
      <c r="B771" s="16"/>
      <c r="C771" s="16"/>
      <c r="D771" s="16" t="s">
        <v>2642</v>
      </c>
      <c r="E771" s="16" t="s">
        <v>1778</v>
      </c>
      <c r="F771" s="16" t="s">
        <v>18</v>
      </c>
      <c r="G771" s="16" t="s">
        <v>555</v>
      </c>
      <c r="I771" s="16" t="s">
        <v>1770</v>
      </c>
      <c r="J771" s="16" t="s">
        <v>33</v>
      </c>
    </row>
    <row r="772" spans="1:10" hidden="1" x14ac:dyDescent="0.3">
      <c r="A772" s="16" t="s">
        <v>2643</v>
      </c>
      <c r="B772" s="16"/>
      <c r="C772" s="16"/>
      <c r="D772" s="16" t="s">
        <v>2644</v>
      </c>
      <c r="E772" s="16" t="s">
        <v>1778</v>
      </c>
      <c r="F772" s="16" t="s">
        <v>18</v>
      </c>
      <c r="G772" s="16" t="s">
        <v>555</v>
      </c>
      <c r="I772" s="16" t="s">
        <v>1770</v>
      </c>
      <c r="J772" s="16" t="s">
        <v>33</v>
      </c>
    </row>
    <row r="773" spans="1:10" hidden="1" x14ac:dyDescent="0.3">
      <c r="A773" s="16" t="s">
        <v>2645</v>
      </c>
      <c r="B773" s="16"/>
      <c r="C773" s="16"/>
      <c r="D773" s="16" t="s">
        <v>2646</v>
      </c>
      <c r="E773" s="16" t="s">
        <v>1778</v>
      </c>
      <c r="F773" s="16" t="s">
        <v>18</v>
      </c>
      <c r="G773" s="16" t="s">
        <v>555</v>
      </c>
      <c r="I773" s="16" t="s">
        <v>1770</v>
      </c>
      <c r="J773" s="16" t="s">
        <v>33</v>
      </c>
    </row>
    <row r="774" spans="1:10" hidden="1" x14ac:dyDescent="0.3">
      <c r="A774" s="16" t="s">
        <v>2647</v>
      </c>
      <c r="B774" s="16"/>
      <c r="C774" s="16"/>
      <c r="D774" s="16" t="s">
        <v>2648</v>
      </c>
      <c r="E774" s="16" t="s">
        <v>1778</v>
      </c>
      <c r="F774" s="16" t="s">
        <v>18</v>
      </c>
      <c r="G774" s="16" t="s">
        <v>555</v>
      </c>
      <c r="I774" s="16" t="s">
        <v>1770</v>
      </c>
      <c r="J774" s="16" t="s">
        <v>33</v>
      </c>
    </row>
    <row r="775" spans="1:10" hidden="1" x14ac:dyDescent="0.3">
      <c r="A775" s="16" t="s">
        <v>2649</v>
      </c>
      <c r="B775" s="16"/>
      <c r="C775" s="16"/>
      <c r="D775" s="16" t="s">
        <v>2650</v>
      </c>
      <c r="E775" s="16" t="s">
        <v>1778</v>
      </c>
      <c r="F775" s="16" t="s">
        <v>18</v>
      </c>
      <c r="G775" s="16" t="s">
        <v>555</v>
      </c>
      <c r="I775" s="16" t="s">
        <v>1770</v>
      </c>
      <c r="J775" s="16" t="s">
        <v>33</v>
      </c>
    </row>
    <row r="776" spans="1:10" hidden="1" x14ac:dyDescent="0.3">
      <c r="A776" s="16" t="s">
        <v>2651</v>
      </c>
      <c r="B776" s="16"/>
      <c r="C776" s="16"/>
      <c r="D776" s="16" t="s">
        <v>2652</v>
      </c>
      <c r="E776" s="16" t="s">
        <v>1778</v>
      </c>
      <c r="F776" s="16" t="s">
        <v>18</v>
      </c>
      <c r="G776" s="16" t="s">
        <v>555</v>
      </c>
      <c r="I776" s="16" t="s">
        <v>1770</v>
      </c>
      <c r="J776" s="16" t="s">
        <v>33</v>
      </c>
    </row>
    <row r="777" spans="1:10" hidden="1" x14ac:dyDescent="0.3">
      <c r="A777" s="16" t="s">
        <v>2653</v>
      </c>
      <c r="B777" s="16"/>
      <c r="C777" s="16"/>
      <c r="D777" s="16" t="s">
        <v>2654</v>
      </c>
      <c r="E777" s="16" t="s">
        <v>1778</v>
      </c>
      <c r="F777" s="16" t="s">
        <v>18</v>
      </c>
      <c r="G777" s="16" t="s">
        <v>555</v>
      </c>
      <c r="I777" s="16" t="s">
        <v>1770</v>
      </c>
      <c r="J777" s="16" t="s">
        <v>33</v>
      </c>
    </row>
    <row r="778" spans="1:10" hidden="1" x14ac:dyDescent="0.3">
      <c r="A778" s="16" t="s">
        <v>2655</v>
      </c>
      <c r="B778" s="16"/>
      <c r="C778" s="16"/>
      <c r="D778" s="16" t="s">
        <v>2656</v>
      </c>
      <c r="E778" s="16" t="s">
        <v>1778</v>
      </c>
      <c r="F778" s="16" t="s">
        <v>18</v>
      </c>
      <c r="G778" s="16" t="s">
        <v>555</v>
      </c>
      <c r="I778" s="16" t="s">
        <v>1770</v>
      </c>
      <c r="J778" s="16" t="s">
        <v>33</v>
      </c>
    </row>
    <row r="779" spans="1:10" hidden="1" x14ac:dyDescent="0.3">
      <c r="A779" s="16" t="s">
        <v>2657</v>
      </c>
      <c r="B779" s="16"/>
      <c r="C779" s="16"/>
      <c r="D779" s="16" t="s">
        <v>2658</v>
      </c>
      <c r="E779" s="16" t="s">
        <v>1778</v>
      </c>
      <c r="F779" s="16" t="s">
        <v>18</v>
      </c>
      <c r="G779" s="16" t="s">
        <v>555</v>
      </c>
      <c r="I779" s="16" t="s">
        <v>1770</v>
      </c>
      <c r="J779" s="16" t="s">
        <v>33</v>
      </c>
    </row>
    <row r="780" spans="1:10" hidden="1" x14ac:dyDescent="0.3">
      <c r="A780" s="16" t="s">
        <v>2659</v>
      </c>
      <c r="B780" s="16"/>
      <c r="C780" s="16"/>
      <c r="D780" s="16" t="s">
        <v>2660</v>
      </c>
      <c r="E780" s="16" t="s">
        <v>1778</v>
      </c>
      <c r="F780" s="16" t="s">
        <v>18</v>
      </c>
      <c r="G780" s="16" t="s">
        <v>555</v>
      </c>
      <c r="I780" s="16" t="s">
        <v>1770</v>
      </c>
      <c r="J780" s="16" t="s">
        <v>33</v>
      </c>
    </row>
    <row r="781" spans="1:10" hidden="1" x14ac:dyDescent="0.3">
      <c r="A781" s="16" t="s">
        <v>2661</v>
      </c>
      <c r="B781" s="16"/>
      <c r="C781" s="16"/>
      <c r="D781" s="16" t="s">
        <v>2662</v>
      </c>
      <c r="E781" s="16" t="s">
        <v>1778</v>
      </c>
      <c r="F781" s="16" t="s">
        <v>18</v>
      </c>
      <c r="G781" s="16" t="s">
        <v>555</v>
      </c>
      <c r="I781" s="16" t="s">
        <v>1770</v>
      </c>
      <c r="J781" s="16" t="s">
        <v>33</v>
      </c>
    </row>
    <row r="782" spans="1:10" hidden="1" x14ac:dyDescent="0.3">
      <c r="A782" s="16" t="s">
        <v>2663</v>
      </c>
      <c r="B782" s="16"/>
      <c r="C782" s="16"/>
      <c r="D782" s="16" t="s">
        <v>2664</v>
      </c>
      <c r="E782" s="16" t="s">
        <v>1778</v>
      </c>
      <c r="F782" s="16" t="s">
        <v>18</v>
      </c>
      <c r="G782" s="16" t="s">
        <v>555</v>
      </c>
      <c r="I782" s="16" t="s">
        <v>1770</v>
      </c>
      <c r="J782" s="16" t="s">
        <v>33</v>
      </c>
    </row>
    <row r="783" spans="1:10" hidden="1" x14ac:dyDescent="0.3">
      <c r="A783" s="16" t="s">
        <v>2665</v>
      </c>
      <c r="B783" s="16"/>
      <c r="C783" s="16"/>
      <c r="D783" s="16" t="s">
        <v>2666</v>
      </c>
      <c r="E783" s="16" t="s">
        <v>1778</v>
      </c>
      <c r="F783" s="16" t="s">
        <v>18</v>
      </c>
      <c r="G783" s="16" t="s">
        <v>555</v>
      </c>
      <c r="I783" s="16" t="s">
        <v>1770</v>
      </c>
      <c r="J783" s="16" t="s">
        <v>33</v>
      </c>
    </row>
    <row r="784" spans="1:10" hidden="1" x14ac:dyDescent="0.3">
      <c r="A784" s="16" t="s">
        <v>2667</v>
      </c>
      <c r="B784" s="16"/>
      <c r="C784" s="16"/>
      <c r="D784" s="16" t="s">
        <v>2668</v>
      </c>
      <c r="E784" s="16" t="s">
        <v>1778</v>
      </c>
      <c r="F784" s="16" t="s">
        <v>18</v>
      </c>
      <c r="G784" s="16" t="s">
        <v>555</v>
      </c>
      <c r="I784" s="16" t="s">
        <v>1770</v>
      </c>
      <c r="J784" s="16" t="s">
        <v>33</v>
      </c>
    </row>
    <row r="785" spans="1:10" hidden="1" x14ac:dyDescent="0.3">
      <c r="A785" s="16" t="s">
        <v>2669</v>
      </c>
      <c r="B785" s="16"/>
      <c r="C785" s="16"/>
      <c r="D785" s="16" t="s">
        <v>2670</v>
      </c>
      <c r="E785" s="16" t="s">
        <v>1778</v>
      </c>
      <c r="F785" s="16" t="s">
        <v>18</v>
      </c>
      <c r="G785" s="16" t="s">
        <v>555</v>
      </c>
      <c r="I785" s="16" t="s">
        <v>1770</v>
      </c>
      <c r="J785" s="16" t="s">
        <v>33</v>
      </c>
    </row>
    <row r="786" spans="1:10" hidden="1" x14ac:dyDescent="0.3">
      <c r="A786" s="16" t="s">
        <v>2671</v>
      </c>
      <c r="B786" s="16"/>
      <c r="C786" s="16"/>
      <c r="D786" s="16" t="s">
        <v>2672</v>
      </c>
      <c r="E786" s="16" t="s">
        <v>1778</v>
      </c>
      <c r="F786" s="16" t="s">
        <v>18</v>
      </c>
      <c r="G786" s="16" t="s">
        <v>555</v>
      </c>
      <c r="I786" s="16" t="s">
        <v>1770</v>
      </c>
      <c r="J786" s="16" t="s">
        <v>33</v>
      </c>
    </row>
    <row r="787" spans="1:10" hidden="1" x14ac:dyDescent="0.3">
      <c r="A787" s="16" t="s">
        <v>2673</v>
      </c>
      <c r="B787" s="16"/>
      <c r="C787" s="16"/>
      <c r="D787" s="16" t="s">
        <v>2674</v>
      </c>
      <c r="E787" s="16" t="s">
        <v>1778</v>
      </c>
      <c r="F787" s="16" t="s">
        <v>18</v>
      </c>
      <c r="G787" s="16" t="s">
        <v>555</v>
      </c>
      <c r="I787" s="16" t="s">
        <v>1770</v>
      </c>
      <c r="J787" s="16" t="s">
        <v>33</v>
      </c>
    </row>
    <row r="788" spans="1:10" hidden="1" x14ac:dyDescent="0.3">
      <c r="A788" s="16" t="s">
        <v>2675</v>
      </c>
      <c r="B788" s="16"/>
      <c r="C788" s="16"/>
      <c r="D788" s="16" t="s">
        <v>2676</v>
      </c>
      <c r="E788" s="16" t="s">
        <v>1778</v>
      </c>
      <c r="F788" s="16" t="s">
        <v>18</v>
      </c>
      <c r="G788" s="16" t="s">
        <v>555</v>
      </c>
      <c r="I788" s="16" t="s">
        <v>1770</v>
      </c>
      <c r="J788" s="16" t="s">
        <v>33</v>
      </c>
    </row>
    <row r="789" spans="1:10" hidden="1" x14ac:dyDescent="0.3">
      <c r="A789" s="16" t="s">
        <v>2677</v>
      </c>
      <c r="B789" s="16"/>
      <c r="C789" s="16"/>
      <c r="D789" s="16" t="s">
        <v>2678</v>
      </c>
      <c r="E789" s="16" t="s">
        <v>1778</v>
      </c>
      <c r="F789" s="16" t="s">
        <v>18</v>
      </c>
      <c r="G789" s="16" t="s">
        <v>555</v>
      </c>
      <c r="I789" s="16" t="s">
        <v>1770</v>
      </c>
      <c r="J789" s="16" t="s">
        <v>33</v>
      </c>
    </row>
    <row r="790" spans="1:10" hidden="1" x14ac:dyDescent="0.3">
      <c r="A790" s="16" t="s">
        <v>2679</v>
      </c>
      <c r="B790" s="16"/>
      <c r="C790" s="16"/>
      <c r="D790" s="16" t="s">
        <v>2680</v>
      </c>
      <c r="E790" s="16" t="s">
        <v>1778</v>
      </c>
      <c r="F790" s="16" t="s">
        <v>18</v>
      </c>
      <c r="G790" s="16" t="s">
        <v>555</v>
      </c>
      <c r="I790" s="16" t="s">
        <v>1770</v>
      </c>
      <c r="J790" s="16" t="s">
        <v>33</v>
      </c>
    </row>
    <row r="791" spans="1:10" hidden="1" x14ac:dyDescent="0.3">
      <c r="A791" s="16" t="s">
        <v>2681</v>
      </c>
      <c r="B791" s="16"/>
      <c r="C791" s="16"/>
      <c r="D791" s="16" t="s">
        <v>2682</v>
      </c>
      <c r="E791" s="16" t="s">
        <v>1778</v>
      </c>
      <c r="F791" s="16" t="s">
        <v>18</v>
      </c>
      <c r="G791" s="16" t="s">
        <v>555</v>
      </c>
      <c r="I791" s="16" t="s">
        <v>1770</v>
      </c>
      <c r="J791" s="16" t="s">
        <v>33</v>
      </c>
    </row>
    <row r="792" spans="1:10" hidden="1" x14ac:dyDescent="0.3">
      <c r="A792" s="16" t="s">
        <v>2683</v>
      </c>
      <c r="B792" s="16"/>
      <c r="C792" s="16"/>
      <c r="D792" s="16" t="s">
        <v>2684</v>
      </c>
      <c r="E792" s="16" t="s">
        <v>1778</v>
      </c>
      <c r="F792" s="16" t="s">
        <v>18</v>
      </c>
      <c r="G792" s="16" t="s">
        <v>555</v>
      </c>
      <c r="I792" s="16" t="s">
        <v>1770</v>
      </c>
      <c r="J792" s="16" t="s">
        <v>33</v>
      </c>
    </row>
    <row r="793" spans="1:10" hidden="1" x14ac:dyDescent="0.3">
      <c r="A793" s="16" t="s">
        <v>2685</v>
      </c>
      <c r="B793" s="16"/>
      <c r="C793" s="16"/>
      <c r="D793" s="16" t="s">
        <v>2686</v>
      </c>
      <c r="E793" s="16" t="s">
        <v>1778</v>
      </c>
      <c r="F793" s="16" t="s">
        <v>18</v>
      </c>
      <c r="G793" s="16" t="s">
        <v>555</v>
      </c>
      <c r="I793" s="16" t="s">
        <v>1770</v>
      </c>
      <c r="J793" s="16" t="s">
        <v>33</v>
      </c>
    </row>
    <row r="794" spans="1:10" hidden="1" x14ac:dyDescent="0.3">
      <c r="A794" s="16" t="s">
        <v>2687</v>
      </c>
      <c r="B794" s="16"/>
      <c r="C794" s="16"/>
      <c r="D794" s="16" t="s">
        <v>2688</v>
      </c>
      <c r="E794" s="16" t="s">
        <v>1778</v>
      </c>
      <c r="F794" s="16" t="s">
        <v>18</v>
      </c>
      <c r="G794" s="16" t="s">
        <v>555</v>
      </c>
      <c r="I794" s="16" t="s">
        <v>1770</v>
      </c>
      <c r="J794" s="16" t="s">
        <v>33</v>
      </c>
    </row>
    <row r="795" spans="1:10" hidden="1" x14ac:dyDescent="0.3">
      <c r="A795" s="16" t="s">
        <v>2689</v>
      </c>
      <c r="B795" s="16"/>
      <c r="C795" s="16"/>
      <c r="D795" s="16" t="s">
        <v>2690</v>
      </c>
      <c r="E795" s="16" t="s">
        <v>1778</v>
      </c>
      <c r="F795" s="16" t="s">
        <v>2042</v>
      </c>
      <c r="G795" s="16" t="s">
        <v>555</v>
      </c>
      <c r="J795" s="16" t="s">
        <v>33</v>
      </c>
    </row>
    <row r="796" spans="1:10" hidden="1" x14ac:dyDescent="0.3">
      <c r="A796" s="16" t="s">
        <v>2691</v>
      </c>
      <c r="B796" s="16"/>
      <c r="C796" s="16"/>
      <c r="D796" s="16" t="s">
        <v>2692</v>
      </c>
      <c r="E796" s="16" t="s">
        <v>1779</v>
      </c>
      <c r="F796" s="16" t="s">
        <v>2042</v>
      </c>
      <c r="G796" s="16" t="s">
        <v>555</v>
      </c>
      <c r="J796" s="16" t="s">
        <v>33</v>
      </c>
    </row>
    <row r="797" spans="1:10" hidden="1" x14ac:dyDescent="0.3">
      <c r="A797" s="16" t="s">
        <v>2691</v>
      </c>
      <c r="B797" s="16"/>
      <c r="C797" s="16"/>
      <c r="D797" s="16" t="s">
        <v>2692</v>
      </c>
      <c r="E797" s="16" t="s">
        <v>1778</v>
      </c>
      <c r="F797" s="16" t="s">
        <v>2042</v>
      </c>
      <c r="G797" s="16" t="s">
        <v>555</v>
      </c>
      <c r="J797" s="16" t="s">
        <v>33</v>
      </c>
    </row>
    <row r="798" spans="1:10" hidden="1" x14ac:dyDescent="0.3">
      <c r="A798" s="16" t="s">
        <v>2691</v>
      </c>
      <c r="B798" s="16"/>
      <c r="C798" s="16"/>
      <c r="D798" s="16" t="s">
        <v>2693</v>
      </c>
      <c r="E798" s="16" t="s">
        <v>1779</v>
      </c>
      <c r="F798" s="16" t="s">
        <v>18</v>
      </c>
      <c r="G798" s="16" t="s">
        <v>555</v>
      </c>
      <c r="I798" s="16" t="s">
        <v>1770</v>
      </c>
      <c r="J798" s="16" t="s">
        <v>33</v>
      </c>
    </row>
    <row r="799" spans="1:10" hidden="1" x14ac:dyDescent="0.3">
      <c r="A799" s="16" t="s">
        <v>2694</v>
      </c>
      <c r="B799" s="16"/>
      <c r="C799" s="16"/>
      <c r="D799" s="16" t="s">
        <v>2695</v>
      </c>
      <c r="E799" s="16" t="s">
        <v>1778</v>
      </c>
      <c r="F799" s="16" t="s">
        <v>2042</v>
      </c>
      <c r="G799" s="16" t="s">
        <v>555</v>
      </c>
      <c r="J799" s="16" t="s">
        <v>33</v>
      </c>
    </row>
    <row r="800" spans="1:10" hidden="1" x14ac:dyDescent="0.3">
      <c r="A800" s="16" t="s">
        <v>2696</v>
      </c>
      <c r="B800" s="16"/>
      <c r="C800" s="16"/>
      <c r="D800" s="16" t="s">
        <v>2697</v>
      </c>
      <c r="E800" s="16" t="s">
        <v>1779</v>
      </c>
      <c r="F800" s="16" t="s">
        <v>2042</v>
      </c>
      <c r="G800" s="16" t="s">
        <v>555</v>
      </c>
      <c r="J800" s="16" t="s">
        <v>33</v>
      </c>
    </row>
    <row r="801" spans="1:10" hidden="1" x14ac:dyDescent="0.3">
      <c r="A801" s="16" t="s">
        <v>2696</v>
      </c>
      <c r="B801" s="16"/>
      <c r="C801" s="16"/>
      <c r="D801" s="16" t="s">
        <v>2697</v>
      </c>
      <c r="E801" s="16" t="s">
        <v>1915</v>
      </c>
      <c r="F801" s="16" t="s">
        <v>2042</v>
      </c>
      <c r="G801" s="16" t="s">
        <v>555</v>
      </c>
      <c r="J801" s="16" t="s">
        <v>33</v>
      </c>
    </row>
    <row r="802" spans="1:10" hidden="1" x14ac:dyDescent="0.3">
      <c r="A802" s="16" t="s">
        <v>2696</v>
      </c>
      <c r="B802" s="16"/>
      <c r="C802" s="16"/>
      <c r="D802" s="16" t="s">
        <v>2697</v>
      </c>
      <c r="E802" s="16" t="s">
        <v>1778</v>
      </c>
      <c r="F802" s="16" t="s">
        <v>2042</v>
      </c>
      <c r="G802" s="16" t="s">
        <v>555</v>
      </c>
      <c r="J802" s="16" t="s">
        <v>33</v>
      </c>
    </row>
    <row r="803" spans="1:10" hidden="1" x14ac:dyDescent="0.3">
      <c r="A803" s="16" t="s">
        <v>2696</v>
      </c>
      <c r="B803" s="16"/>
      <c r="C803" s="16"/>
      <c r="D803" s="16" t="s">
        <v>2698</v>
      </c>
      <c r="E803" s="16" t="s">
        <v>1779</v>
      </c>
      <c r="F803" s="16" t="s">
        <v>18</v>
      </c>
      <c r="G803" s="16" t="s">
        <v>555</v>
      </c>
      <c r="I803" s="16" t="s">
        <v>1770</v>
      </c>
      <c r="J803" s="16" t="s">
        <v>33</v>
      </c>
    </row>
    <row r="804" spans="1:10" hidden="1" x14ac:dyDescent="0.3">
      <c r="A804" s="16" t="s">
        <v>2696</v>
      </c>
      <c r="B804" s="16"/>
      <c r="C804" s="16"/>
      <c r="D804" s="16" t="s">
        <v>2699</v>
      </c>
      <c r="E804" s="16" t="s">
        <v>1915</v>
      </c>
      <c r="F804" s="16" t="s">
        <v>18</v>
      </c>
      <c r="G804" s="16" t="s">
        <v>555</v>
      </c>
      <c r="I804" s="16" t="s">
        <v>1770</v>
      </c>
      <c r="J804" s="16" t="s">
        <v>33</v>
      </c>
    </row>
    <row r="805" spans="1:10" hidden="1" x14ac:dyDescent="0.3">
      <c r="A805" s="16" t="s">
        <v>2696</v>
      </c>
      <c r="B805" s="16"/>
      <c r="C805" s="16"/>
      <c r="D805" s="16" t="s">
        <v>2700</v>
      </c>
      <c r="E805" s="16" t="s">
        <v>1778</v>
      </c>
      <c r="F805" s="16" t="s">
        <v>18</v>
      </c>
      <c r="G805" s="16" t="s">
        <v>555</v>
      </c>
      <c r="I805" s="16" t="s">
        <v>1770</v>
      </c>
      <c r="J805" s="16" t="s">
        <v>33</v>
      </c>
    </row>
    <row r="806" spans="1:10" hidden="1" x14ac:dyDescent="0.3">
      <c r="A806" s="16" t="s">
        <v>2701</v>
      </c>
      <c r="B806" s="16"/>
      <c r="C806" s="16"/>
      <c r="D806" s="16" t="s">
        <v>2702</v>
      </c>
      <c r="E806" s="16" t="s">
        <v>1778</v>
      </c>
      <c r="F806" s="16" t="s">
        <v>50</v>
      </c>
      <c r="G806" s="16" t="s">
        <v>555</v>
      </c>
      <c r="J806" s="16" t="s">
        <v>33</v>
      </c>
    </row>
    <row r="807" spans="1:10" hidden="1" x14ac:dyDescent="0.3">
      <c r="A807" s="16" t="s">
        <v>2703</v>
      </c>
      <c r="B807" s="16"/>
      <c r="C807" s="16"/>
      <c r="D807" s="16" t="s">
        <v>2704</v>
      </c>
      <c r="E807" s="16" t="s">
        <v>1778</v>
      </c>
      <c r="F807" s="16" t="s">
        <v>50</v>
      </c>
      <c r="G807" s="16" t="s">
        <v>555</v>
      </c>
      <c r="J807" s="16" t="s">
        <v>33</v>
      </c>
    </row>
    <row r="808" spans="1:10" hidden="1" x14ac:dyDescent="0.3">
      <c r="A808" s="16" t="s">
        <v>2705</v>
      </c>
      <c r="B808" s="16"/>
      <c r="C808" s="16"/>
      <c r="D808" s="16" t="s">
        <v>2706</v>
      </c>
      <c r="E808" s="16" t="s">
        <v>1778</v>
      </c>
      <c r="F808" s="16" t="s">
        <v>2042</v>
      </c>
      <c r="G808" s="16" t="s">
        <v>555</v>
      </c>
      <c r="J808" s="16" t="s">
        <v>33</v>
      </c>
    </row>
    <row r="809" spans="1:10" hidden="1" x14ac:dyDescent="0.3">
      <c r="A809" s="16" t="s">
        <v>2707</v>
      </c>
      <c r="B809" s="16"/>
      <c r="C809" s="16"/>
      <c r="D809" s="16" t="s">
        <v>2708</v>
      </c>
      <c r="E809" s="16" t="s">
        <v>1778</v>
      </c>
      <c r="F809" s="16" t="s">
        <v>50</v>
      </c>
      <c r="G809" s="16" t="s">
        <v>555</v>
      </c>
      <c r="J809" s="16" t="s">
        <v>33</v>
      </c>
    </row>
    <row r="810" spans="1:10" hidden="1" x14ac:dyDescent="0.3">
      <c r="A810" s="16" t="s">
        <v>2709</v>
      </c>
      <c r="B810" s="16"/>
      <c r="C810" s="16"/>
      <c r="D810" s="16" t="s">
        <v>2710</v>
      </c>
      <c r="E810" s="16" t="s">
        <v>1778</v>
      </c>
      <c r="F810" s="16" t="s">
        <v>2042</v>
      </c>
      <c r="G810" s="16" t="s">
        <v>555</v>
      </c>
      <c r="J810" s="16" t="s">
        <v>33</v>
      </c>
    </row>
    <row r="811" spans="1:10" hidden="1" x14ac:dyDescent="0.3">
      <c r="A811" s="16" t="s">
        <v>2711</v>
      </c>
      <c r="B811" s="16"/>
      <c r="C811" s="16"/>
      <c r="D811" s="16" t="s">
        <v>2712</v>
      </c>
      <c r="E811" s="16" t="s">
        <v>1778</v>
      </c>
      <c r="F811" s="16" t="s">
        <v>50</v>
      </c>
      <c r="G811" s="16" t="s">
        <v>555</v>
      </c>
      <c r="J811" s="16" t="s">
        <v>33</v>
      </c>
    </row>
    <row r="812" spans="1:10" hidden="1" x14ac:dyDescent="0.3">
      <c r="A812" s="16" t="s">
        <v>2713</v>
      </c>
      <c r="B812" s="16"/>
      <c r="C812" s="16"/>
      <c r="D812" s="16" t="s">
        <v>2714</v>
      </c>
      <c r="E812" s="16" t="s">
        <v>1778</v>
      </c>
      <c r="F812" s="16" t="s">
        <v>2042</v>
      </c>
      <c r="G812" s="16" t="s">
        <v>555</v>
      </c>
      <c r="J812" s="16" t="s">
        <v>33</v>
      </c>
    </row>
    <row r="813" spans="1:10" hidden="1" x14ac:dyDescent="0.3">
      <c r="A813" s="16" t="s">
        <v>2715</v>
      </c>
      <c r="B813" s="16"/>
      <c r="C813" s="16"/>
      <c r="D813" s="16" t="s">
        <v>2716</v>
      </c>
      <c r="E813" s="16" t="s">
        <v>1778</v>
      </c>
      <c r="F813" s="16" t="s">
        <v>50</v>
      </c>
      <c r="G813" s="16" t="s">
        <v>555</v>
      </c>
      <c r="J813" s="16" t="s">
        <v>33</v>
      </c>
    </row>
    <row r="814" spans="1:10" hidden="1" x14ac:dyDescent="0.3">
      <c r="A814" s="16" t="s">
        <v>2717</v>
      </c>
      <c r="B814" s="16"/>
      <c r="C814" s="16"/>
      <c r="D814" s="16" t="s">
        <v>2718</v>
      </c>
      <c r="E814" s="16" t="s">
        <v>1778</v>
      </c>
      <c r="F814" s="16" t="s">
        <v>50</v>
      </c>
      <c r="G814" s="16" t="s">
        <v>555</v>
      </c>
      <c r="J814" s="16" t="s">
        <v>33</v>
      </c>
    </row>
    <row r="815" spans="1:10" hidden="1" x14ac:dyDescent="0.3">
      <c r="A815" s="16" t="s">
        <v>2719</v>
      </c>
      <c r="B815" s="16"/>
      <c r="C815" s="16"/>
      <c r="D815" s="16" t="s">
        <v>2720</v>
      </c>
      <c r="E815" s="16" t="s">
        <v>1778</v>
      </c>
      <c r="F815" s="16" t="s">
        <v>2042</v>
      </c>
      <c r="G815" s="16" t="s">
        <v>555</v>
      </c>
      <c r="J815" s="16" t="s">
        <v>33</v>
      </c>
    </row>
    <row r="816" spans="1:10" hidden="1" x14ac:dyDescent="0.3">
      <c r="A816" s="16" t="s">
        <v>2721</v>
      </c>
      <c r="B816" s="16"/>
      <c r="C816" s="16"/>
      <c r="D816" s="16" t="s">
        <v>2722</v>
      </c>
      <c r="E816" s="16" t="s">
        <v>1778</v>
      </c>
      <c r="F816" s="16" t="s">
        <v>50</v>
      </c>
      <c r="G816" s="16" t="s">
        <v>555</v>
      </c>
      <c r="J816" s="16" t="s">
        <v>33</v>
      </c>
    </row>
    <row r="817" spans="1:10" hidden="1" x14ac:dyDescent="0.3">
      <c r="A817" s="16" t="s">
        <v>2723</v>
      </c>
      <c r="B817" s="16"/>
      <c r="C817" s="16"/>
      <c r="D817" s="16" t="s">
        <v>2724</v>
      </c>
      <c r="E817" s="16" t="s">
        <v>1778</v>
      </c>
      <c r="F817" s="16" t="s">
        <v>50</v>
      </c>
      <c r="G817" s="16" t="s">
        <v>555</v>
      </c>
      <c r="J817" s="16" t="s">
        <v>33</v>
      </c>
    </row>
    <row r="818" spans="1:10" hidden="1" x14ac:dyDescent="0.3">
      <c r="A818" s="16" t="s">
        <v>2725</v>
      </c>
      <c r="B818" s="16"/>
      <c r="C818" s="16"/>
      <c r="D818" s="16" t="s">
        <v>2726</v>
      </c>
      <c r="E818" s="16" t="s">
        <v>1778</v>
      </c>
      <c r="F818" s="16" t="s">
        <v>50</v>
      </c>
      <c r="G818" s="16" t="s">
        <v>555</v>
      </c>
      <c r="J818" s="16" t="s">
        <v>33</v>
      </c>
    </row>
    <row r="819" spans="1:10" hidden="1" x14ac:dyDescent="0.3">
      <c r="A819" s="16" t="s">
        <v>2727</v>
      </c>
      <c r="B819" s="16"/>
      <c r="C819" s="16"/>
      <c r="D819" s="16" t="s">
        <v>2728</v>
      </c>
      <c r="E819" s="16" t="s">
        <v>1778</v>
      </c>
      <c r="F819" s="16" t="s">
        <v>50</v>
      </c>
      <c r="G819" s="16" t="s">
        <v>555</v>
      </c>
      <c r="J819" s="16" t="s">
        <v>33</v>
      </c>
    </row>
    <row r="820" spans="1:10" hidden="1" x14ac:dyDescent="0.3">
      <c r="A820" s="16" t="s">
        <v>2729</v>
      </c>
      <c r="B820" s="16"/>
      <c r="C820" s="16"/>
      <c r="D820" s="16" t="s">
        <v>2730</v>
      </c>
      <c r="E820" s="16" t="s">
        <v>1778</v>
      </c>
      <c r="F820" s="16" t="s">
        <v>2042</v>
      </c>
      <c r="G820" s="16" t="s">
        <v>555</v>
      </c>
      <c r="J820" s="16" t="s">
        <v>33</v>
      </c>
    </row>
    <row r="821" spans="1:10" hidden="1" x14ac:dyDescent="0.3">
      <c r="A821" s="16" t="s">
        <v>2731</v>
      </c>
      <c r="B821" s="16"/>
      <c r="C821" s="16"/>
      <c r="D821" s="16" t="s">
        <v>2732</v>
      </c>
      <c r="E821" s="16" t="s">
        <v>1778</v>
      </c>
      <c r="F821" s="16" t="s">
        <v>2042</v>
      </c>
      <c r="G821" s="16" t="s">
        <v>555</v>
      </c>
      <c r="J821" s="16" t="s">
        <v>33</v>
      </c>
    </row>
    <row r="822" spans="1:10" hidden="1" x14ac:dyDescent="0.3">
      <c r="A822" s="16" t="s">
        <v>2733</v>
      </c>
      <c r="B822" s="16"/>
      <c r="C822" s="16"/>
      <c r="D822" s="16" t="s">
        <v>2734</v>
      </c>
      <c r="E822" s="16" t="s">
        <v>1778</v>
      </c>
      <c r="F822" s="16" t="s">
        <v>50</v>
      </c>
      <c r="G822" s="16" t="s">
        <v>555</v>
      </c>
      <c r="J822" s="16" t="s">
        <v>33</v>
      </c>
    </row>
    <row r="823" spans="1:10" hidden="1" x14ac:dyDescent="0.3">
      <c r="A823" s="16" t="s">
        <v>2735</v>
      </c>
      <c r="B823" s="16"/>
      <c r="C823" s="16"/>
      <c r="D823" s="16" t="s">
        <v>2736</v>
      </c>
      <c r="E823" s="16" t="s">
        <v>1778</v>
      </c>
      <c r="F823" s="16" t="s">
        <v>2042</v>
      </c>
      <c r="G823" s="16" t="s">
        <v>555</v>
      </c>
      <c r="J823" s="16" t="s">
        <v>33</v>
      </c>
    </row>
    <row r="824" spans="1:10" hidden="1" x14ac:dyDescent="0.3">
      <c r="A824" s="16" t="s">
        <v>2737</v>
      </c>
      <c r="B824" s="16"/>
      <c r="C824" s="16"/>
      <c r="D824" s="16" t="s">
        <v>2738</v>
      </c>
      <c r="E824" s="16" t="s">
        <v>1778</v>
      </c>
      <c r="F824" s="16" t="s">
        <v>50</v>
      </c>
      <c r="G824" s="16" t="s">
        <v>555</v>
      </c>
      <c r="J824" s="16" t="s">
        <v>33</v>
      </c>
    </row>
    <row r="825" spans="1:10" hidden="1" x14ac:dyDescent="0.3">
      <c r="A825" s="16" t="s">
        <v>2739</v>
      </c>
      <c r="B825" s="16"/>
      <c r="C825" s="16"/>
      <c r="D825" s="16" t="s">
        <v>2740</v>
      </c>
      <c r="E825" s="16" t="s">
        <v>1778</v>
      </c>
      <c r="F825" s="16" t="s">
        <v>2042</v>
      </c>
      <c r="G825" s="16" t="s">
        <v>555</v>
      </c>
      <c r="J825" s="16" t="s">
        <v>33</v>
      </c>
    </row>
    <row r="826" spans="1:10" hidden="1" x14ac:dyDescent="0.3">
      <c r="A826" s="16" t="s">
        <v>2741</v>
      </c>
      <c r="B826" s="16"/>
      <c r="C826" s="16"/>
      <c r="D826" s="16" t="s">
        <v>2742</v>
      </c>
      <c r="E826" s="16" t="s">
        <v>1778</v>
      </c>
      <c r="F826" s="16" t="s">
        <v>50</v>
      </c>
      <c r="G826" s="16" t="s">
        <v>555</v>
      </c>
      <c r="J826" s="16" t="s">
        <v>33</v>
      </c>
    </row>
    <row r="827" spans="1:10" hidden="1" x14ac:dyDescent="0.3">
      <c r="A827" s="16" t="s">
        <v>2743</v>
      </c>
      <c r="B827" s="16"/>
      <c r="C827" s="16"/>
      <c r="D827" s="16" t="s">
        <v>2744</v>
      </c>
      <c r="E827" s="16" t="s">
        <v>1778</v>
      </c>
      <c r="F827" s="16" t="s">
        <v>50</v>
      </c>
      <c r="G827" s="16" t="s">
        <v>555</v>
      </c>
      <c r="J827" s="16" t="s">
        <v>33</v>
      </c>
    </row>
    <row r="828" spans="1:10" hidden="1" x14ac:dyDescent="0.3">
      <c r="A828" s="16" t="s">
        <v>2745</v>
      </c>
      <c r="B828" s="16"/>
      <c r="C828" s="16"/>
      <c r="D828" s="16" t="s">
        <v>2746</v>
      </c>
      <c r="E828" s="16" t="s">
        <v>1778</v>
      </c>
      <c r="F828" s="16" t="s">
        <v>2042</v>
      </c>
      <c r="G828" s="16" t="s">
        <v>555</v>
      </c>
      <c r="J828" s="16" t="s">
        <v>33</v>
      </c>
    </row>
    <row r="829" spans="1:10" hidden="1" x14ac:dyDescent="0.3">
      <c r="A829" s="16" t="s">
        <v>2747</v>
      </c>
      <c r="B829" s="16"/>
      <c r="C829" s="16"/>
      <c r="D829" s="16" t="s">
        <v>2748</v>
      </c>
      <c r="E829" s="16" t="s">
        <v>1778</v>
      </c>
      <c r="F829" s="16" t="s">
        <v>50</v>
      </c>
      <c r="G829" s="16" t="s">
        <v>555</v>
      </c>
      <c r="J829" s="16" t="s">
        <v>33</v>
      </c>
    </row>
    <row r="830" spans="1:10" hidden="1" x14ac:dyDescent="0.3">
      <c r="A830" s="16" t="s">
        <v>2749</v>
      </c>
      <c r="B830" s="16"/>
      <c r="C830" s="16"/>
      <c r="D830" s="16" t="s">
        <v>2750</v>
      </c>
      <c r="E830" s="16" t="s">
        <v>1778</v>
      </c>
      <c r="F830" s="16" t="s">
        <v>2042</v>
      </c>
      <c r="G830" s="16" t="s">
        <v>555</v>
      </c>
      <c r="J830" s="16" t="s">
        <v>33</v>
      </c>
    </row>
    <row r="831" spans="1:10" hidden="1" x14ac:dyDescent="0.3">
      <c r="A831" s="16" t="s">
        <v>2751</v>
      </c>
      <c r="B831" s="16"/>
      <c r="C831" s="16"/>
      <c r="D831" s="16" t="s">
        <v>2752</v>
      </c>
      <c r="E831" s="16" t="s">
        <v>1778</v>
      </c>
      <c r="F831" s="16" t="s">
        <v>2042</v>
      </c>
      <c r="G831" s="16" t="s">
        <v>555</v>
      </c>
      <c r="J831" s="16" t="s">
        <v>33</v>
      </c>
    </row>
    <row r="832" spans="1:10" hidden="1" x14ac:dyDescent="0.3">
      <c r="A832" s="16" t="s">
        <v>2753</v>
      </c>
      <c r="B832" s="16"/>
      <c r="C832" s="16"/>
      <c r="D832" s="16" t="s">
        <v>2754</v>
      </c>
      <c r="E832" s="16" t="s">
        <v>1778</v>
      </c>
      <c r="F832" s="16" t="s">
        <v>2042</v>
      </c>
      <c r="G832" s="16" t="s">
        <v>555</v>
      </c>
      <c r="J832" s="16" t="s">
        <v>33</v>
      </c>
    </row>
    <row r="833" spans="1:12" hidden="1" x14ac:dyDescent="0.3">
      <c r="A833" s="16" t="s">
        <v>2755</v>
      </c>
      <c r="B833" s="16"/>
      <c r="C833" s="16"/>
      <c r="D833" s="16" t="s">
        <v>2756</v>
      </c>
      <c r="E833" s="16" t="s">
        <v>1778</v>
      </c>
      <c r="F833" s="16" t="s">
        <v>2042</v>
      </c>
      <c r="G833" s="16" t="s">
        <v>555</v>
      </c>
      <c r="J833" s="16" t="s">
        <v>33</v>
      </c>
    </row>
    <row r="834" spans="1:12" hidden="1" x14ac:dyDescent="0.3">
      <c r="A834" s="16" t="s">
        <v>330</v>
      </c>
      <c r="B834" s="16"/>
      <c r="C834" s="16"/>
      <c r="D834" s="16" t="s">
        <v>331</v>
      </c>
      <c r="E834" s="16" t="s">
        <v>1778</v>
      </c>
      <c r="F834" s="16" t="s">
        <v>18</v>
      </c>
      <c r="G834" s="16" t="s">
        <v>1791</v>
      </c>
      <c r="I834" s="16" t="s">
        <v>1127</v>
      </c>
      <c r="J834" s="16" t="s">
        <v>33</v>
      </c>
    </row>
    <row r="835" spans="1:12" hidden="1" x14ac:dyDescent="0.3">
      <c r="A835" s="16" t="s">
        <v>330</v>
      </c>
      <c r="B835" s="16"/>
      <c r="C835" s="16"/>
      <c r="D835" s="16" t="s">
        <v>1564</v>
      </c>
      <c r="E835" s="16" t="s">
        <v>1779</v>
      </c>
      <c r="F835" s="16" t="s">
        <v>18</v>
      </c>
      <c r="G835" s="16" t="s">
        <v>1791</v>
      </c>
      <c r="I835" s="16" t="s">
        <v>1127</v>
      </c>
      <c r="J835" s="16" t="s">
        <v>33</v>
      </c>
    </row>
    <row r="836" spans="1:12" hidden="1" x14ac:dyDescent="0.3">
      <c r="A836" s="16" t="s">
        <v>1138</v>
      </c>
      <c r="B836" s="16"/>
      <c r="C836" s="16"/>
      <c r="D836" s="16" t="s">
        <v>1139</v>
      </c>
      <c r="E836" s="16" t="s">
        <v>1915</v>
      </c>
      <c r="F836" s="16" t="s">
        <v>18</v>
      </c>
      <c r="G836" s="16" t="s">
        <v>539</v>
      </c>
      <c r="I836" s="16" t="s">
        <v>1103</v>
      </c>
      <c r="J836" s="16" t="s">
        <v>33</v>
      </c>
    </row>
    <row r="837" spans="1:12" hidden="1" x14ac:dyDescent="0.3">
      <c r="A837" s="16" t="s">
        <v>2757</v>
      </c>
      <c r="B837" s="16"/>
      <c r="C837" s="16"/>
      <c r="D837" s="16" t="s">
        <v>2758</v>
      </c>
      <c r="E837" s="16" t="s">
        <v>1769</v>
      </c>
      <c r="F837" s="16" t="s">
        <v>133</v>
      </c>
      <c r="G837" s="16" t="s">
        <v>1885</v>
      </c>
      <c r="J837" s="16" t="s">
        <v>33</v>
      </c>
    </row>
    <row r="838" spans="1:12" hidden="1" x14ac:dyDescent="0.3">
      <c r="A838" s="16" t="s">
        <v>2759</v>
      </c>
      <c r="B838" s="16"/>
      <c r="C838" s="16"/>
      <c r="D838" s="16" t="s">
        <v>2760</v>
      </c>
      <c r="E838" s="16" t="s">
        <v>1963</v>
      </c>
      <c r="F838" s="16" t="s">
        <v>18</v>
      </c>
      <c r="G838" s="16" t="s">
        <v>539</v>
      </c>
      <c r="I838" s="16" t="s">
        <v>1127</v>
      </c>
      <c r="J838" s="16" t="s">
        <v>33</v>
      </c>
    </row>
    <row r="839" spans="1:12" hidden="1" x14ac:dyDescent="0.3">
      <c r="A839" s="16" t="s">
        <v>162</v>
      </c>
      <c r="B839" s="16"/>
      <c r="C839" s="16"/>
      <c r="D839" s="16" t="s">
        <v>163</v>
      </c>
      <c r="E839" s="16" t="s">
        <v>1779</v>
      </c>
      <c r="F839" s="16" t="s">
        <v>18</v>
      </c>
      <c r="G839" s="16" t="s">
        <v>539</v>
      </c>
      <c r="I839" s="16" t="s">
        <v>1127</v>
      </c>
      <c r="J839" s="16" t="s">
        <v>33</v>
      </c>
    </row>
    <row r="840" spans="1:12" hidden="1" x14ac:dyDescent="0.3">
      <c r="A840" s="16" t="s">
        <v>1140</v>
      </c>
      <c r="B840" s="16"/>
      <c r="C840" s="16"/>
      <c r="D840" s="16" t="s">
        <v>1141</v>
      </c>
      <c r="E840" s="16" t="s">
        <v>1915</v>
      </c>
      <c r="F840" s="16" t="s">
        <v>18</v>
      </c>
      <c r="G840" s="16" t="s">
        <v>539</v>
      </c>
      <c r="I840" s="16" t="s">
        <v>1127</v>
      </c>
      <c r="J840" s="16" t="s">
        <v>33</v>
      </c>
    </row>
    <row r="841" spans="1:12" hidden="1" x14ac:dyDescent="0.3">
      <c r="A841" s="16" t="s">
        <v>2761</v>
      </c>
      <c r="B841" s="16"/>
      <c r="C841" s="16"/>
      <c r="D841" s="16" t="s">
        <v>2762</v>
      </c>
      <c r="E841" s="16" t="s">
        <v>1915</v>
      </c>
      <c r="F841" s="16" t="s">
        <v>133</v>
      </c>
      <c r="G841" s="16" t="s">
        <v>1791</v>
      </c>
      <c r="J841" s="16" t="s">
        <v>33</v>
      </c>
    </row>
    <row r="842" spans="1:12" hidden="1" x14ac:dyDescent="0.3">
      <c r="A842" s="16" t="s">
        <v>2763</v>
      </c>
      <c r="B842" s="16"/>
      <c r="C842" s="16"/>
      <c r="D842" s="16" t="s">
        <v>2764</v>
      </c>
      <c r="E842" s="16" t="s">
        <v>1915</v>
      </c>
      <c r="F842" s="16" t="s">
        <v>133</v>
      </c>
      <c r="G842" s="16" t="s">
        <v>2765</v>
      </c>
      <c r="J842" s="16" t="s">
        <v>33</v>
      </c>
    </row>
    <row r="843" spans="1:12" hidden="1" x14ac:dyDescent="0.3">
      <c r="A843" s="16" t="s">
        <v>2766</v>
      </c>
      <c r="B843" s="16"/>
      <c r="C843" s="16"/>
      <c r="D843" s="16" t="s">
        <v>2767</v>
      </c>
      <c r="E843" s="16" t="s">
        <v>1915</v>
      </c>
      <c r="F843" s="16" t="s">
        <v>133</v>
      </c>
      <c r="G843" s="16" t="s">
        <v>555</v>
      </c>
      <c r="J843" s="16" t="s">
        <v>33</v>
      </c>
    </row>
    <row r="844" spans="1:12" hidden="1" x14ac:dyDescent="0.3">
      <c r="A844" s="16" t="s">
        <v>1142</v>
      </c>
      <c r="B844" s="16"/>
      <c r="C844" s="16"/>
      <c r="D844" s="16" t="s">
        <v>1143</v>
      </c>
      <c r="E844" s="16" t="s">
        <v>1915</v>
      </c>
      <c r="F844" s="16" t="s">
        <v>18</v>
      </c>
      <c r="G844" s="16" t="s">
        <v>539</v>
      </c>
      <c r="I844" s="16" t="s">
        <v>1127</v>
      </c>
      <c r="J844" s="16" t="s">
        <v>33</v>
      </c>
    </row>
    <row r="845" spans="1:12" hidden="1" x14ac:dyDescent="0.3">
      <c r="A845" s="16" t="s">
        <v>2768</v>
      </c>
      <c r="B845" s="16"/>
      <c r="C845" s="16"/>
      <c r="D845" s="16" t="s">
        <v>2769</v>
      </c>
      <c r="E845" s="16" t="s">
        <v>1915</v>
      </c>
      <c r="F845" s="16" t="s">
        <v>133</v>
      </c>
      <c r="G845" s="16" t="s">
        <v>2765</v>
      </c>
      <c r="J845" s="16" t="s">
        <v>33</v>
      </c>
    </row>
    <row r="846" spans="1:12" x14ac:dyDescent="0.3">
      <c r="A846" s="16" t="s">
        <v>2770</v>
      </c>
      <c r="B846" s="16"/>
      <c r="C846" s="16"/>
      <c r="D846" s="16" t="s">
        <v>2771</v>
      </c>
      <c r="E846" s="16" t="s">
        <v>1915</v>
      </c>
      <c r="F846" s="16" t="s">
        <v>388</v>
      </c>
      <c r="G846" s="16" t="s">
        <v>539</v>
      </c>
      <c r="J846" s="16" t="s">
        <v>33</v>
      </c>
      <c r="L846" s="16" t="s">
        <v>32</v>
      </c>
    </row>
    <row r="847" spans="1:12" hidden="1" x14ac:dyDescent="0.3">
      <c r="A847" s="16" t="s">
        <v>2772</v>
      </c>
      <c r="B847" s="16"/>
      <c r="C847" s="16"/>
      <c r="D847" s="16" t="s">
        <v>2773</v>
      </c>
      <c r="E847" s="16" t="s">
        <v>1915</v>
      </c>
      <c r="F847" s="16" t="s">
        <v>388</v>
      </c>
      <c r="G847" s="16" t="s">
        <v>539</v>
      </c>
      <c r="J847" s="16" t="s">
        <v>33</v>
      </c>
      <c r="L847" s="16" t="s">
        <v>32</v>
      </c>
    </row>
    <row r="848" spans="1:12" hidden="1" x14ac:dyDescent="0.3">
      <c r="A848" s="16" t="s">
        <v>2774</v>
      </c>
      <c r="B848" s="16"/>
      <c r="C848" s="16"/>
      <c r="D848" s="16" t="s">
        <v>2775</v>
      </c>
      <c r="E848" s="16" t="s">
        <v>1915</v>
      </c>
      <c r="F848" s="16" t="s">
        <v>133</v>
      </c>
      <c r="G848" s="16" t="s">
        <v>2374</v>
      </c>
      <c r="J848" s="16" t="s">
        <v>33</v>
      </c>
    </row>
    <row r="849" spans="1:14" hidden="1" x14ac:dyDescent="0.3">
      <c r="A849" s="16" t="s">
        <v>2776</v>
      </c>
      <c r="B849" s="16"/>
      <c r="C849" s="16"/>
      <c r="D849" s="16" t="s">
        <v>2777</v>
      </c>
      <c r="E849" s="16" t="s">
        <v>1915</v>
      </c>
      <c r="F849" s="16" t="s">
        <v>18</v>
      </c>
      <c r="G849" s="16" t="s">
        <v>539</v>
      </c>
      <c r="I849" s="16" t="s">
        <v>1770</v>
      </c>
      <c r="J849" s="16" t="s">
        <v>33</v>
      </c>
    </row>
    <row r="850" spans="1:14" hidden="1" x14ac:dyDescent="0.3">
      <c r="A850" s="16" t="s">
        <v>2778</v>
      </c>
      <c r="B850" s="16"/>
      <c r="C850" s="16"/>
      <c r="D850" s="16" t="s">
        <v>2779</v>
      </c>
      <c r="E850" s="16" t="s">
        <v>1915</v>
      </c>
      <c r="F850" s="16" t="s">
        <v>388</v>
      </c>
      <c r="G850" s="16" t="s">
        <v>539</v>
      </c>
      <c r="J850" s="16" t="s">
        <v>33</v>
      </c>
      <c r="L850" s="16" t="s">
        <v>32</v>
      </c>
    </row>
    <row r="851" spans="1:14" hidden="1" x14ac:dyDescent="0.3">
      <c r="A851" s="16" t="s">
        <v>2780</v>
      </c>
      <c r="B851" s="16"/>
      <c r="C851" s="16"/>
      <c r="D851" s="16" t="s">
        <v>2781</v>
      </c>
      <c r="E851" s="16" t="s">
        <v>1915</v>
      </c>
      <c r="F851" s="16" t="s">
        <v>388</v>
      </c>
      <c r="G851" s="16" t="s">
        <v>539</v>
      </c>
      <c r="J851" s="16" t="s">
        <v>33</v>
      </c>
      <c r="L851" s="16" t="s">
        <v>32</v>
      </c>
      <c r="M851" s="16" t="s">
        <v>2782</v>
      </c>
      <c r="N851" s="16" t="s">
        <v>33</v>
      </c>
    </row>
    <row r="852" spans="1:14" hidden="1" x14ac:dyDescent="0.3">
      <c r="A852" s="16" t="s">
        <v>2783</v>
      </c>
      <c r="B852" s="16"/>
      <c r="C852" s="16"/>
      <c r="D852" s="16" t="s">
        <v>2784</v>
      </c>
      <c r="E852" s="16" t="s">
        <v>1915</v>
      </c>
      <c r="F852" s="16" t="s">
        <v>388</v>
      </c>
      <c r="G852" s="16" t="s">
        <v>539</v>
      </c>
      <c r="J852" s="16" t="s">
        <v>33</v>
      </c>
      <c r="L852" s="16" t="s">
        <v>32</v>
      </c>
      <c r="M852" s="16" t="s">
        <v>2785</v>
      </c>
    </row>
    <row r="853" spans="1:14" hidden="1" x14ac:dyDescent="0.3">
      <c r="A853" s="16" t="s">
        <v>2786</v>
      </c>
      <c r="B853" s="16"/>
      <c r="C853" s="16"/>
      <c r="D853" s="16" t="s">
        <v>2787</v>
      </c>
      <c r="E853" s="16" t="s">
        <v>1915</v>
      </c>
      <c r="F853" s="16" t="s">
        <v>133</v>
      </c>
      <c r="G853" s="16" t="s">
        <v>2765</v>
      </c>
      <c r="J853" s="16" t="s">
        <v>33</v>
      </c>
    </row>
    <row r="854" spans="1:14" hidden="1" x14ac:dyDescent="0.3">
      <c r="A854" s="16" t="s">
        <v>2788</v>
      </c>
      <c r="B854" s="16"/>
      <c r="C854" s="16"/>
      <c r="D854" s="16" t="s">
        <v>2789</v>
      </c>
      <c r="E854" s="16" t="s">
        <v>1769</v>
      </c>
      <c r="F854" s="16" t="s">
        <v>18</v>
      </c>
      <c r="G854" s="16" t="s">
        <v>1791</v>
      </c>
      <c r="I854" s="16" t="s">
        <v>1770</v>
      </c>
      <c r="J854" s="16" t="s">
        <v>33</v>
      </c>
      <c r="K854" s="16" t="s">
        <v>33</v>
      </c>
    </row>
    <row r="855" spans="1:14" hidden="1" x14ac:dyDescent="0.3">
      <c r="A855" s="16" t="s">
        <v>1565</v>
      </c>
      <c r="B855" s="16"/>
      <c r="C855" s="16"/>
      <c r="D855" s="16" t="s">
        <v>1566</v>
      </c>
      <c r="E855" s="16" t="s">
        <v>1779</v>
      </c>
      <c r="F855" s="16" t="s">
        <v>18</v>
      </c>
      <c r="G855" s="16" t="s">
        <v>1791</v>
      </c>
      <c r="I855" s="16" t="s">
        <v>1127</v>
      </c>
      <c r="J855" s="16" t="s">
        <v>33</v>
      </c>
    </row>
    <row r="856" spans="1:14" hidden="1" x14ac:dyDescent="0.3">
      <c r="A856" s="16" t="s">
        <v>2790</v>
      </c>
      <c r="B856" s="16"/>
      <c r="C856" s="16"/>
      <c r="D856" s="16" t="s">
        <v>2791</v>
      </c>
      <c r="E856" s="16" t="s">
        <v>1769</v>
      </c>
      <c r="F856" s="16" t="s">
        <v>133</v>
      </c>
      <c r="G856" s="16" t="s">
        <v>539</v>
      </c>
      <c r="J856" s="16" t="s">
        <v>33</v>
      </c>
    </row>
    <row r="857" spans="1:14" hidden="1" x14ac:dyDescent="0.3">
      <c r="A857" s="16" t="s">
        <v>2792</v>
      </c>
      <c r="B857" s="16"/>
      <c r="C857" s="16"/>
      <c r="D857" s="16" t="s">
        <v>2793</v>
      </c>
      <c r="E857" s="16" t="s">
        <v>1779</v>
      </c>
      <c r="F857" s="16" t="s">
        <v>18</v>
      </c>
      <c r="G857" s="16" t="s">
        <v>539</v>
      </c>
      <c r="I857" s="16" t="s">
        <v>1770</v>
      </c>
      <c r="J857" s="16" t="s">
        <v>33</v>
      </c>
    </row>
    <row r="858" spans="1:14" hidden="1" x14ac:dyDescent="0.3">
      <c r="A858" s="16" t="s">
        <v>2794</v>
      </c>
      <c r="B858" s="16"/>
      <c r="C858" s="16"/>
      <c r="D858" s="16" t="s">
        <v>2795</v>
      </c>
      <c r="E858" s="16" t="s">
        <v>1779</v>
      </c>
      <c r="F858" s="16" t="s">
        <v>18</v>
      </c>
      <c r="G858" s="16" t="s">
        <v>539</v>
      </c>
      <c r="I858" s="16" t="s">
        <v>1770</v>
      </c>
      <c r="J858" s="16" t="s">
        <v>33</v>
      </c>
    </row>
    <row r="859" spans="1:14" hidden="1" x14ac:dyDescent="0.3">
      <c r="A859" s="16" t="s">
        <v>2796</v>
      </c>
      <c r="B859" s="16"/>
      <c r="C859" s="16"/>
      <c r="D859" s="16" t="s">
        <v>2797</v>
      </c>
      <c r="E859" s="16" t="s">
        <v>1779</v>
      </c>
      <c r="F859" s="16" t="s">
        <v>388</v>
      </c>
      <c r="G859" s="16" t="s">
        <v>539</v>
      </c>
      <c r="J859" s="16" t="s">
        <v>33</v>
      </c>
      <c r="L859" s="16" t="s">
        <v>32</v>
      </c>
    </row>
    <row r="860" spans="1:14" hidden="1" x14ac:dyDescent="0.3">
      <c r="A860" s="16" t="s">
        <v>2798</v>
      </c>
      <c r="B860" s="16"/>
      <c r="C860" s="16"/>
      <c r="D860" s="16" t="s">
        <v>2799</v>
      </c>
      <c r="E860" s="16" t="s">
        <v>1779</v>
      </c>
      <c r="F860" s="16" t="s">
        <v>388</v>
      </c>
      <c r="G860" s="16" t="s">
        <v>539</v>
      </c>
      <c r="J860" s="16" t="s">
        <v>33</v>
      </c>
      <c r="L860" s="16" t="s">
        <v>32</v>
      </c>
    </row>
    <row r="861" spans="1:14" hidden="1" x14ac:dyDescent="0.3">
      <c r="A861" s="16" t="s">
        <v>2800</v>
      </c>
      <c r="B861" s="16"/>
      <c r="C861" s="16"/>
      <c r="D861" s="16" t="s">
        <v>2801</v>
      </c>
      <c r="E861" s="16" t="s">
        <v>1779</v>
      </c>
      <c r="F861" s="16" t="s">
        <v>18</v>
      </c>
      <c r="G861" s="16" t="s">
        <v>539</v>
      </c>
      <c r="I861" s="16" t="s">
        <v>1770</v>
      </c>
      <c r="J861" s="16" t="s">
        <v>33</v>
      </c>
    </row>
    <row r="862" spans="1:14" hidden="1" x14ac:dyDescent="0.3">
      <c r="A862" s="16" t="s">
        <v>1567</v>
      </c>
      <c r="B862" s="16"/>
      <c r="C862" s="16"/>
      <c r="D862" s="16" t="s">
        <v>1568</v>
      </c>
      <c r="E862" s="16" t="s">
        <v>1779</v>
      </c>
      <c r="F862" s="16" t="s">
        <v>18</v>
      </c>
      <c r="G862" s="16" t="s">
        <v>1791</v>
      </c>
      <c r="I862" s="16" t="s">
        <v>1103</v>
      </c>
      <c r="J862" s="16" t="s">
        <v>33</v>
      </c>
    </row>
    <row r="863" spans="1:14" hidden="1" x14ac:dyDescent="0.3">
      <c r="A863" s="16" t="s">
        <v>1122</v>
      </c>
      <c r="B863" s="16"/>
      <c r="C863" s="16"/>
      <c r="D863" s="16" t="s">
        <v>1123</v>
      </c>
      <c r="E863" s="16" t="s">
        <v>2092</v>
      </c>
      <c r="F863" s="16" t="s">
        <v>18</v>
      </c>
      <c r="G863" s="16" t="s">
        <v>539</v>
      </c>
      <c r="I863" s="16" t="s">
        <v>1103</v>
      </c>
      <c r="J863" s="16" t="s">
        <v>33</v>
      </c>
    </row>
    <row r="864" spans="1:14" hidden="1" x14ac:dyDescent="0.3">
      <c r="A864" s="16" t="s">
        <v>2802</v>
      </c>
      <c r="B864" s="16"/>
      <c r="C864" s="16"/>
      <c r="D864" s="16" t="s">
        <v>2803</v>
      </c>
      <c r="E864" s="16" t="s">
        <v>1779</v>
      </c>
      <c r="F864" s="16" t="s">
        <v>133</v>
      </c>
      <c r="G864" s="16" t="s">
        <v>539</v>
      </c>
      <c r="I864" s="16" t="s">
        <v>662</v>
      </c>
      <c r="J864" s="16" t="s">
        <v>33</v>
      </c>
    </row>
    <row r="865" spans="1:14" hidden="1" x14ac:dyDescent="0.3">
      <c r="A865" s="16" t="s">
        <v>2804</v>
      </c>
      <c r="B865" s="16"/>
      <c r="C865" s="16"/>
      <c r="D865" s="16" t="s">
        <v>2805</v>
      </c>
      <c r="E865" s="16" t="s">
        <v>1782</v>
      </c>
      <c r="F865" s="16" t="s">
        <v>18</v>
      </c>
      <c r="G865" s="16" t="s">
        <v>661</v>
      </c>
      <c r="I865" s="16" t="s">
        <v>1103</v>
      </c>
      <c r="J865" s="16" t="s">
        <v>33</v>
      </c>
    </row>
    <row r="866" spans="1:14" hidden="1" x14ac:dyDescent="0.3">
      <c r="A866" s="16" t="s">
        <v>2806</v>
      </c>
      <c r="B866" s="16"/>
      <c r="C866" s="16"/>
      <c r="D866" s="16" t="s">
        <v>2807</v>
      </c>
      <c r="E866" s="16" t="s">
        <v>1778</v>
      </c>
      <c r="F866" s="16" t="s">
        <v>18</v>
      </c>
      <c r="G866" s="16" t="s">
        <v>539</v>
      </c>
      <c r="I866" s="16" t="s">
        <v>1770</v>
      </c>
      <c r="J866" s="16" t="s">
        <v>33</v>
      </c>
    </row>
    <row r="867" spans="1:14" hidden="1" x14ac:dyDescent="0.3">
      <c r="A867" s="16" t="s">
        <v>1338</v>
      </c>
      <c r="B867" s="16"/>
      <c r="C867" s="16"/>
      <c r="D867" s="16" t="s">
        <v>1339</v>
      </c>
      <c r="E867" s="16" t="s">
        <v>1778</v>
      </c>
      <c r="F867" s="16" t="s">
        <v>18</v>
      </c>
      <c r="G867" s="16" t="s">
        <v>555</v>
      </c>
      <c r="I867" s="16" t="s">
        <v>1127</v>
      </c>
      <c r="J867" s="16" t="s">
        <v>33</v>
      </c>
    </row>
    <row r="868" spans="1:14" hidden="1" x14ac:dyDescent="0.3">
      <c r="A868" s="16" t="s">
        <v>2808</v>
      </c>
      <c r="B868" s="16"/>
      <c r="C868" s="16"/>
      <c r="D868" s="16" t="s">
        <v>2809</v>
      </c>
      <c r="E868" s="16" t="s">
        <v>1779</v>
      </c>
      <c r="F868" s="16" t="s">
        <v>388</v>
      </c>
      <c r="G868" s="16" t="s">
        <v>539</v>
      </c>
      <c r="J868" s="16" t="s">
        <v>33</v>
      </c>
      <c r="L868" s="16" t="s">
        <v>32</v>
      </c>
    </row>
    <row r="869" spans="1:14" hidden="1" x14ac:dyDescent="0.3">
      <c r="A869" s="16" t="s">
        <v>1340</v>
      </c>
      <c r="B869" s="16"/>
      <c r="C869" s="16"/>
      <c r="D869" s="16" t="s">
        <v>1341</v>
      </c>
      <c r="E869" s="16" t="s">
        <v>1778</v>
      </c>
      <c r="F869" s="16" t="s">
        <v>18</v>
      </c>
      <c r="G869" s="16" t="s">
        <v>539</v>
      </c>
      <c r="I869" s="16" t="s">
        <v>1127</v>
      </c>
      <c r="J869" s="16" t="s">
        <v>33</v>
      </c>
    </row>
    <row r="870" spans="1:14" hidden="1" x14ac:dyDescent="0.3">
      <c r="A870" s="16" t="s">
        <v>2810</v>
      </c>
      <c r="B870" s="16"/>
      <c r="C870" s="16"/>
      <c r="D870" s="16" t="s">
        <v>2811</v>
      </c>
      <c r="E870" s="16" t="s">
        <v>1779</v>
      </c>
      <c r="F870" s="16" t="s">
        <v>388</v>
      </c>
      <c r="G870" s="16" t="s">
        <v>539</v>
      </c>
      <c r="J870" s="16" t="s">
        <v>33</v>
      </c>
      <c r="L870" s="16" t="s">
        <v>32</v>
      </c>
    </row>
    <row r="871" spans="1:14" hidden="1" x14ac:dyDescent="0.3">
      <c r="A871" s="16" t="s">
        <v>2812</v>
      </c>
      <c r="B871" s="16"/>
      <c r="C871" s="16"/>
      <c r="D871" s="16" t="s">
        <v>2813</v>
      </c>
      <c r="E871" s="16" t="s">
        <v>1778</v>
      </c>
      <c r="F871" s="16" t="s">
        <v>18</v>
      </c>
      <c r="G871" s="16" t="s">
        <v>539</v>
      </c>
      <c r="I871" s="16" t="s">
        <v>1770</v>
      </c>
      <c r="J871" s="16" t="s">
        <v>33</v>
      </c>
    </row>
    <row r="872" spans="1:14" hidden="1" x14ac:dyDescent="0.3">
      <c r="A872" s="16" t="s">
        <v>2814</v>
      </c>
      <c r="B872" s="16"/>
      <c r="C872" s="16"/>
      <c r="D872" s="16" t="s">
        <v>2815</v>
      </c>
      <c r="E872" s="16" t="s">
        <v>1782</v>
      </c>
      <c r="F872" s="16" t="s">
        <v>18</v>
      </c>
      <c r="G872" s="16" t="s">
        <v>1791</v>
      </c>
      <c r="I872" s="16" t="s">
        <v>1103</v>
      </c>
      <c r="J872" s="16" t="s">
        <v>33</v>
      </c>
    </row>
    <row r="873" spans="1:14" hidden="1" x14ac:dyDescent="0.3">
      <c r="A873" s="16" t="s">
        <v>2816</v>
      </c>
      <c r="B873" s="16"/>
      <c r="C873" s="16"/>
      <c r="D873" s="16" t="s">
        <v>2817</v>
      </c>
      <c r="E873" s="16" t="s">
        <v>1779</v>
      </c>
      <c r="F873" s="16" t="s">
        <v>133</v>
      </c>
      <c r="G873" s="16" t="s">
        <v>1791</v>
      </c>
      <c r="J873" s="16" t="s">
        <v>33</v>
      </c>
    </row>
    <row r="874" spans="1:14" hidden="1" x14ac:dyDescent="0.3">
      <c r="A874" s="16" t="s">
        <v>2818</v>
      </c>
      <c r="B874" s="16"/>
      <c r="C874" s="16"/>
      <c r="D874" s="16" t="s">
        <v>2819</v>
      </c>
      <c r="E874" s="16" t="s">
        <v>1779</v>
      </c>
      <c r="F874" s="16" t="s">
        <v>133</v>
      </c>
      <c r="G874" s="16" t="s">
        <v>1791</v>
      </c>
      <c r="J874" s="16" t="s">
        <v>33</v>
      </c>
    </row>
    <row r="875" spans="1:14" hidden="1" x14ac:dyDescent="0.3">
      <c r="A875" s="16" t="s">
        <v>1342</v>
      </c>
      <c r="B875" s="16"/>
      <c r="C875" s="16"/>
      <c r="D875" s="16" t="s">
        <v>1343</v>
      </c>
      <c r="E875" s="16" t="s">
        <v>1778</v>
      </c>
      <c r="F875" s="16" t="s">
        <v>18</v>
      </c>
      <c r="G875" s="16" t="s">
        <v>539</v>
      </c>
      <c r="I875" s="16" t="s">
        <v>1127</v>
      </c>
      <c r="J875" s="16" t="s">
        <v>33</v>
      </c>
    </row>
    <row r="876" spans="1:14" hidden="1" x14ac:dyDescent="0.3">
      <c r="A876" s="16" t="s">
        <v>2820</v>
      </c>
      <c r="B876" s="16"/>
      <c r="C876" s="16"/>
      <c r="D876" s="16" t="s">
        <v>2821</v>
      </c>
      <c r="E876" s="16" t="s">
        <v>1779</v>
      </c>
      <c r="F876" s="16" t="s">
        <v>388</v>
      </c>
      <c r="G876" s="16" t="s">
        <v>539</v>
      </c>
      <c r="J876" s="16" t="s">
        <v>33</v>
      </c>
      <c r="L876" s="16" t="s">
        <v>32</v>
      </c>
    </row>
    <row r="877" spans="1:14" hidden="1" x14ac:dyDescent="0.3">
      <c r="A877" s="16" t="s">
        <v>2822</v>
      </c>
      <c r="B877" s="16"/>
      <c r="C877" s="16"/>
      <c r="D877" s="16" t="s">
        <v>2823</v>
      </c>
      <c r="E877" s="16" t="s">
        <v>1782</v>
      </c>
      <c r="F877" s="16" t="s">
        <v>388</v>
      </c>
      <c r="G877" s="16" t="s">
        <v>539</v>
      </c>
      <c r="J877" s="16" t="s">
        <v>33</v>
      </c>
      <c r="L877" s="16" t="s">
        <v>32</v>
      </c>
      <c r="N877" s="16" t="s">
        <v>33</v>
      </c>
    </row>
    <row r="878" spans="1:14" hidden="1" x14ac:dyDescent="0.3">
      <c r="A878" s="16" t="s">
        <v>1569</v>
      </c>
      <c r="B878" s="16"/>
      <c r="C878" s="16"/>
      <c r="D878" s="16" t="s">
        <v>1570</v>
      </c>
      <c r="E878" s="16" t="s">
        <v>1779</v>
      </c>
      <c r="F878" s="16" t="s">
        <v>18</v>
      </c>
      <c r="G878" s="16" t="s">
        <v>617</v>
      </c>
      <c r="I878" s="16" t="s">
        <v>1103</v>
      </c>
      <c r="J878" s="16" t="s">
        <v>33</v>
      </c>
    </row>
    <row r="879" spans="1:14" hidden="1" x14ac:dyDescent="0.3">
      <c r="A879" s="16" t="s">
        <v>1571</v>
      </c>
      <c r="B879" s="16"/>
      <c r="C879" s="16"/>
      <c r="D879" s="16" t="s">
        <v>1572</v>
      </c>
      <c r="E879" s="16" t="s">
        <v>1779</v>
      </c>
      <c r="F879" s="16" t="s">
        <v>18</v>
      </c>
      <c r="G879" s="16" t="s">
        <v>539</v>
      </c>
      <c r="I879" s="16" t="s">
        <v>1103</v>
      </c>
      <c r="J879" s="16" t="s">
        <v>33</v>
      </c>
    </row>
    <row r="880" spans="1:14" hidden="1" x14ac:dyDescent="0.3">
      <c r="A880" s="16" t="s">
        <v>2824</v>
      </c>
      <c r="B880" s="16"/>
      <c r="C880" s="16"/>
      <c r="D880" s="16" t="s">
        <v>2825</v>
      </c>
      <c r="E880" s="16" t="s">
        <v>1779</v>
      </c>
      <c r="F880" s="16" t="s">
        <v>388</v>
      </c>
      <c r="G880" s="16" t="s">
        <v>539</v>
      </c>
      <c r="J880" s="16" t="s">
        <v>33</v>
      </c>
      <c r="L880" s="16" t="s">
        <v>32</v>
      </c>
    </row>
    <row r="881" spans="1:12" hidden="1" x14ac:dyDescent="0.3">
      <c r="A881" s="16" t="s">
        <v>2826</v>
      </c>
      <c r="B881" s="16"/>
      <c r="C881" s="16"/>
      <c r="D881" s="16" t="s">
        <v>2827</v>
      </c>
      <c r="E881" s="16" t="s">
        <v>1782</v>
      </c>
      <c r="F881" s="16" t="s">
        <v>18</v>
      </c>
      <c r="G881" s="16" t="s">
        <v>539</v>
      </c>
      <c r="I881" s="16" t="s">
        <v>1103</v>
      </c>
      <c r="J881" s="16" t="s">
        <v>33</v>
      </c>
    </row>
    <row r="882" spans="1:12" hidden="1" x14ac:dyDescent="0.3">
      <c r="A882" s="16" t="s">
        <v>1573</v>
      </c>
      <c r="B882" s="16"/>
      <c r="C882" s="16"/>
      <c r="D882" s="16" t="s">
        <v>2828</v>
      </c>
      <c r="E882" s="16" t="s">
        <v>1782</v>
      </c>
      <c r="F882" s="16" t="s">
        <v>18</v>
      </c>
      <c r="G882" s="16" t="s">
        <v>539</v>
      </c>
      <c r="I882" s="16" t="s">
        <v>1103</v>
      </c>
      <c r="J882" s="16" t="s">
        <v>33</v>
      </c>
    </row>
    <row r="883" spans="1:12" hidden="1" x14ac:dyDescent="0.3">
      <c r="A883" s="16" t="s">
        <v>1573</v>
      </c>
      <c r="B883" s="16"/>
      <c r="C883" s="16"/>
      <c r="D883" s="16" t="s">
        <v>2829</v>
      </c>
      <c r="E883" s="16" t="s">
        <v>1782</v>
      </c>
      <c r="F883" s="16" t="s">
        <v>18</v>
      </c>
      <c r="G883" s="16" t="s">
        <v>617</v>
      </c>
      <c r="I883" s="16" t="s">
        <v>1103</v>
      </c>
      <c r="J883" s="16" t="s">
        <v>33</v>
      </c>
    </row>
    <row r="884" spans="1:12" hidden="1" x14ac:dyDescent="0.3">
      <c r="A884" s="16" t="s">
        <v>1573</v>
      </c>
      <c r="B884" s="16"/>
      <c r="C884" s="16"/>
      <c r="D884" s="16" t="s">
        <v>1574</v>
      </c>
      <c r="E884" s="16" t="s">
        <v>1779</v>
      </c>
      <c r="F884" s="16" t="s">
        <v>18</v>
      </c>
      <c r="G884" s="16" t="s">
        <v>539</v>
      </c>
      <c r="I884" s="16" t="s">
        <v>1103</v>
      </c>
      <c r="J884" s="16" t="s">
        <v>33</v>
      </c>
    </row>
    <row r="885" spans="1:12" hidden="1" x14ac:dyDescent="0.3">
      <c r="A885" s="16" t="s">
        <v>1575</v>
      </c>
      <c r="B885" s="16"/>
      <c r="C885" s="16"/>
      <c r="D885" s="16" t="s">
        <v>1576</v>
      </c>
      <c r="E885" s="16" t="s">
        <v>1779</v>
      </c>
      <c r="F885" s="16" t="s">
        <v>18</v>
      </c>
      <c r="G885" s="16" t="s">
        <v>539</v>
      </c>
      <c r="I885" s="16" t="s">
        <v>1103</v>
      </c>
      <c r="J885" s="16" t="s">
        <v>33</v>
      </c>
    </row>
    <row r="886" spans="1:12" hidden="1" x14ac:dyDescent="0.3">
      <c r="A886" s="16" t="s">
        <v>2830</v>
      </c>
      <c r="B886" s="16"/>
      <c r="C886" s="16"/>
      <c r="D886" s="16" t="s">
        <v>2831</v>
      </c>
      <c r="E886" s="16" t="s">
        <v>1782</v>
      </c>
      <c r="F886" s="16" t="s">
        <v>18</v>
      </c>
      <c r="G886" s="16" t="s">
        <v>539</v>
      </c>
      <c r="I886" s="16" t="s">
        <v>1103</v>
      </c>
      <c r="J886" s="16" t="s">
        <v>33</v>
      </c>
    </row>
    <row r="887" spans="1:12" hidden="1" x14ac:dyDescent="0.3">
      <c r="A887" s="16" t="s">
        <v>2832</v>
      </c>
      <c r="B887" s="16"/>
      <c r="C887" s="16"/>
      <c r="D887" s="16" t="s">
        <v>2833</v>
      </c>
      <c r="E887" s="16" t="s">
        <v>1779</v>
      </c>
      <c r="F887" s="16" t="s">
        <v>388</v>
      </c>
      <c r="G887" s="16" t="s">
        <v>539</v>
      </c>
      <c r="J887" s="16" t="s">
        <v>33</v>
      </c>
      <c r="L887" s="16" t="s">
        <v>32</v>
      </c>
    </row>
    <row r="888" spans="1:12" hidden="1" x14ac:dyDescent="0.3">
      <c r="A888" s="16" t="s">
        <v>1579</v>
      </c>
      <c r="B888" s="16"/>
      <c r="C888" s="16"/>
      <c r="D888" s="16" t="s">
        <v>1580</v>
      </c>
      <c r="E888" s="16" t="s">
        <v>1779</v>
      </c>
      <c r="F888" s="16" t="s">
        <v>18</v>
      </c>
      <c r="G888" s="16" t="s">
        <v>1791</v>
      </c>
      <c r="I888" s="16" t="s">
        <v>1103</v>
      </c>
      <c r="J888" s="16" t="s">
        <v>33</v>
      </c>
    </row>
    <row r="889" spans="1:12" hidden="1" x14ac:dyDescent="0.3">
      <c r="A889" s="16" t="s">
        <v>1581</v>
      </c>
      <c r="B889" s="16"/>
      <c r="C889" s="16"/>
      <c r="D889" s="16" t="s">
        <v>1582</v>
      </c>
      <c r="E889" s="16" t="s">
        <v>1779</v>
      </c>
      <c r="F889" s="16" t="s">
        <v>18</v>
      </c>
      <c r="G889" s="16" t="s">
        <v>1791</v>
      </c>
      <c r="I889" s="16" t="s">
        <v>1103</v>
      </c>
      <c r="J889" s="16" t="s">
        <v>33</v>
      </c>
    </row>
    <row r="890" spans="1:12" hidden="1" x14ac:dyDescent="0.3">
      <c r="A890" s="16" t="s">
        <v>1583</v>
      </c>
      <c r="B890" s="16"/>
      <c r="C890" s="16"/>
      <c r="D890" s="16" t="s">
        <v>1584</v>
      </c>
      <c r="E890" s="16" t="s">
        <v>1779</v>
      </c>
      <c r="F890" s="16" t="s">
        <v>18</v>
      </c>
      <c r="G890" s="16" t="s">
        <v>1791</v>
      </c>
      <c r="I890" s="16" t="s">
        <v>1103</v>
      </c>
      <c r="J890" s="16" t="s">
        <v>33</v>
      </c>
    </row>
    <row r="891" spans="1:12" hidden="1" x14ac:dyDescent="0.3">
      <c r="A891" s="16" t="s">
        <v>1585</v>
      </c>
      <c r="B891" s="16"/>
      <c r="C891" s="16"/>
      <c r="D891" s="16" t="s">
        <v>1586</v>
      </c>
      <c r="E891" s="16" t="s">
        <v>1779</v>
      </c>
      <c r="F891" s="16" t="s">
        <v>18</v>
      </c>
      <c r="G891" s="16" t="s">
        <v>1791</v>
      </c>
      <c r="I891" s="16" t="s">
        <v>1103</v>
      </c>
      <c r="J891" s="16" t="s">
        <v>33</v>
      </c>
    </row>
    <row r="892" spans="1:12" hidden="1" x14ac:dyDescent="0.3">
      <c r="A892" s="16" t="s">
        <v>1587</v>
      </c>
      <c r="B892" s="16"/>
      <c r="C892" s="16"/>
      <c r="D892" s="16" t="s">
        <v>1588</v>
      </c>
      <c r="E892" s="16" t="s">
        <v>1779</v>
      </c>
      <c r="F892" s="16" t="s">
        <v>18</v>
      </c>
      <c r="G892" s="16" t="s">
        <v>1791</v>
      </c>
      <c r="I892" s="16" t="s">
        <v>1103</v>
      </c>
      <c r="J892" s="16" t="s">
        <v>33</v>
      </c>
    </row>
    <row r="893" spans="1:12" hidden="1" x14ac:dyDescent="0.3">
      <c r="A893" s="16" t="s">
        <v>1589</v>
      </c>
      <c r="B893" s="16"/>
      <c r="C893" s="16"/>
      <c r="D893" s="16" t="s">
        <v>1590</v>
      </c>
      <c r="E893" s="16" t="s">
        <v>1779</v>
      </c>
      <c r="F893" s="16" t="s">
        <v>18</v>
      </c>
      <c r="G893" s="16" t="s">
        <v>1791</v>
      </c>
      <c r="I893" s="16" t="s">
        <v>1103</v>
      </c>
      <c r="J893" s="16" t="s">
        <v>33</v>
      </c>
    </row>
    <row r="894" spans="1:12" hidden="1" x14ac:dyDescent="0.3">
      <c r="A894" s="16" t="s">
        <v>1591</v>
      </c>
      <c r="B894" s="16"/>
      <c r="C894" s="16"/>
      <c r="D894" s="16" t="s">
        <v>1592</v>
      </c>
      <c r="E894" s="16" t="s">
        <v>1779</v>
      </c>
      <c r="F894" s="16" t="s">
        <v>18</v>
      </c>
      <c r="G894" s="16" t="s">
        <v>1791</v>
      </c>
      <c r="I894" s="16" t="s">
        <v>1103</v>
      </c>
      <c r="J894" s="16" t="s">
        <v>33</v>
      </c>
    </row>
    <row r="895" spans="1:12" hidden="1" x14ac:dyDescent="0.3">
      <c r="A895" s="16" t="s">
        <v>2834</v>
      </c>
      <c r="B895" s="16"/>
      <c r="C895" s="16"/>
      <c r="D895" s="16" t="s">
        <v>2835</v>
      </c>
      <c r="E895" s="16" t="s">
        <v>1779</v>
      </c>
      <c r="F895" s="16" t="s">
        <v>388</v>
      </c>
      <c r="G895" s="16" t="s">
        <v>539</v>
      </c>
      <c r="J895" s="16" t="s">
        <v>33</v>
      </c>
      <c r="L895" s="16" t="s">
        <v>32</v>
      </c>
    </row>
    <row r="896" spans="1:12" hidden="1" x14ac:dyDescent="0.3">
      <c r="A896" s="16" t="s">
        <v>2836</v>
      </c>
      <c r="B896" s="16"/>
      <c r="C896" s="16"/>
      <c r="D896" s="16" t="s">
        <v>2837</v>
      </c>
      <c r="E896" s="16" t="s">
        <v>1779</v>
      </c>
      <c r="F896" s="16" t="s">
        <v>388</v>
      </c>
      <c r="G896" s="16" t="s">
        <v>539</v>
      </c>
      <c r="J896" s="16" t="s">
        <v>33</v>
      </c>
      <c r="L896" s="16" t="s">
        <v>32</v>
      </c>
    </row>
    <row r="897" spans="1:12" hidden="1" x14ac:dyDescent="0.3">
      <c r="A897" s="16" t="s">
        <v>2838</v>
      </c>
      <c r="B897" s="16"/>
      <c r="C897" s="16"/>
      <c r="D897" s="16" t="s">
        <v>2839</v>
      </c>
      <c r="E897" s="16" t="s">
        <v>1782</v>
      </c>
      <c r="F897" s="16" t="s">
        <v>18</v>
      </c>
      <c r="G897" s="16" t="s">
        <v>539</v>
      </c>
      <c r="I897" s="16" t="s">
        <v>1103</v>
      </c>
      <c r="J897" s="16" t="s">
        <v>33</v>
      </c>
    </row>
    <row r="898" spans="1:12" hidden="1" x14ac:dyDescent="0.3">
      <c r="A898" s="16" t="s">
        <v>2840</v>
      </c>
      <c r="B898" s="16"/>
      <c r="C898" s="16"/>
      <c r="D898" s="16" t="s">
        <v>2841</v>
      </c>
      <c r="E898" s="16" t="s">
        <v>1782</v>
      </c>
      <c r="F898" s="16" t="s">
        <v>18</v>
      </c>
      <c r="G898" s="16" t="s">
        <v>539</v>
      </c>
      <c r="I898" s="16" t="s">
        <v>1103</v>
      </c>
      <c r="J898" s="16" t="s">
        <v>33</v>
      </c>
    </row>
    <row r="899" spans="1:12" hidden="1" x14ac:dyDescent="0.3">
      <c r="A899" s="16" t="s">
        <v>2842</v>
      </c>
      <c r="B899" s="16"/>
      <c r="C899" s="16"/>
      <c r="D899" s="16" t="s">
        <v>2843</v>
      </c>
      <c r="E899" s="16" t="s">
        <v>1779</v>
      </c>
      <c r="F899" s="16" t="s">
        <v>388</v>
      </c>
      <c r="G899" s="16" t="s">
        <v>539</v>
      </c>
      <c r="J899" s="16" t="s">
        <v>33</v>
      </c>
      <c r="L899" s="16" t="s">
        <v>32</v>
      </c>
    </row>
    <row r="900" spans="1:12" hidden="1" x14ac:dyDescent="0.3">
      <c r="A900" s="16" t="s">
        <v>2844</v>
      </c>
      <c r="B900" s="16"/>
      <c r="C900" s="16"/>
      <c r="D900" s="16" t="s">
        <v>2845</v>
      </c>
      <c r="E900" s="16" t="s">
        <v>1782</v>
      </c>
      <c r="F900" s="16" t="s">
        <v>18</v>
      </c>
      <c r="G900" s="16" t="s">
        <v>539</v>
      </c>
      <c r="I900" s="16" t="s">
        <v>1103</v>
      </c>
      <c r="J900" s="16" t="s">
        <v>33</v>
      </c>
    </row>
    <row r="901" spans="1:12" hidden="1" x14ac:dyDescent="0.3">
      <c r="A901" s="16" t="s">
        <v>316</v>
      </c>
      <c r="B901" s="16"/>
      <c r="C901" s="16"/>
      <c r="D901" s="16" t="s">
        <v>1344</v>
      </c>
      <c r="E901" s="16" t="s">
        <v>1778</v>
      </c>
      <c r="F901" s="16" t="s">
        <v>18</v>
      </c>
      <c r="G901" s="16" t="s">
        <v>539</v>
      </c>
      <c r="I901" s="16" t="s">
        <v>1127</v>
      </c>
      <c r="J901" s="16" t="s">
        <v>33</v>
      </c>
    </row>
    <row r="902" spans="1:12" hidden="1" x14ac:dyDescent="0.3">
      <c r="A902" s="16" t="s">
        <v>316</v>
      </c>
      <c r="B902" s="16"/>
      <c r="C902" s="16"/>
      <c r="D902" s="16" t="s">
        <v>317</v>
      </c>
      <c r="E902" s="16" t="s">
        <v>1779</v>
      </c>
      <c r="F902" s="16" t="s">
        <v>18</v>
      </c>
      <c r="G902" s="16" t="s">
        <v>539</v>
      </c>
      <c r="I902" s="16" t="s">
        <v>1127</v>
      </c>
      <c r="J902" s="16" t="s">
        <v>33</v>
      </c>
    </row>
    <row r="903" spans="1:12" hidden="1" x14ac:dyDescent="0.3">
      <c r="A903" s="16" t="s">
        <v>2846</v>
      </c>
      <c r="B903" s="16"/>
      <c r="C903" s="16"/>
      <c r="D903" s="16" t="s">
        <v>2847</v>
      </c>
      <c r="E903" s="16" t="s">
        <v>1779</v>
      </c>
      <c r="F903" s="16" t="s">
        <v>133</v>
      </c>
      <c r="G903" s="16" t="s">
        <v>539</v>
      </c>
      <c r="J903" s="16" t="s">
        <v>33</v>
      </c>
    </row>
    <row r="904" spans="1:12" hidden="1" x14ac:dyDescent="0.3">
      <c r="A904" s="16" t="s">
        <v>2848</v>
      </c>
      <c r="B904" s="16"/>
      <c r="C904" s="16"/>
      <c r="D904" s="16" t="s">
        <v>2849</v>
      </c>
      <c r="E904" s="16" t="s">
        <v>1779</v>
      </c>
      <c r="F904" s="16" t="s">
        <v>133</v>
      </c>
      <c r="G904" s="16" t="s">
        <v>661</v>
      </c>
      <c r="J904" s="16" t="s">
        <v>33</v>
      </c>
    </row>
    <row r="905" spans="1:12" hidden="1" x14ac:dyDescent="0.3">
      <c r="A905" s="16" t="s">
        <v>2850</v>
      </c>
      <c r="B905" s="16"/>
      <c r="C905" s="16"/>
      <c r="D905" s="16" t="s">
        <v>2851</v>
      </c>
      <c r="E905" s="16" t="s">
        <v>1779</v>
      </c>
      <c r="F905" s="16" t="s">
        <v>133</v>
      </c>
      <c r="G905" s="16" t="s">
        <v>661</v>
      </c>
      <c r="J905" s="16" t="s">
        <v>33</v>
      </c>
    </row>
    <row r="906" spans="1:12" hidden="1" x14ac:dyDescent="0.3">
      <c r="A906" s="16" t="s">
        <v>2852</v>
      </c>
      <c r="B906" s="16"/>
      <c r="C906" s="16"/>
      <c r="D906" s="16" t="s">
        <v>2853</v>
      </c>
      <c r="E906" s="16" t="s">
        <v>1779</v>
      </c>
      <c r="F906" s="16" t="s">
        <v>133</v>
      </c>
      <c r="G906" s="16" t="s">
        <v>661</v>
      </c>
      <c r="J906" s="16" t="s">
        <v>33</v>
      </c>
    </row>
    <row r="907" spans="1:12" hidden="1" x14ac:dyDescent="0.3">
      <c r="A907" s="16" t="s">
        <v>2854</v>
      </c>
      <c r="B907" s="16"/>
      <c r="C907" s="16"/>
      <c r="D907" s="16" t="s">
        <v>2855</v>
      </c>
      <c r="E907" s="16" t="s">
        <v>1779</v>
      </c>
      <c r="F907" s="16" t="s">
        <v>133</v>
      </c>
      <c r="G907" s="16" t="s">
        <v>661</v>
      </c>
      <c r="J907" s="16" t="s">
        <v>33</v>
      </c>
    </row>
    <row r="908" spans="1:12" hidden="1" x14ac:dyDescent="0.3">
      <c r="A908" s="16" t="s">
        <v>2856</v>
      </c>
      <c r="B908" s="16"/>
      <c r="C908" s="16"/>
      <c r="D908" s="16" t="s">
        <v>2857</v>
      </c>
      <c r="E908" s="16" t="s">
        <v>1779</v>
      </c>
      <c r="F908" s="16" t="s">
        <v>133</v>
      </c>
      <c r="G908" s="16" t="s">
        <v>588</v>
      </c>
      <c r="J908" s="16" t="s">
        <v>33</v>
      </c>
    </row>
    <row r="909" spans="1:12" hidden="1" x14ac:dyDescent="0.3">
      <c r="A909" s="16" t="s">
        <v>2858</v>
      </c>
      <c r="B909" s="16"/>
      <c r="C909" s="16"/>
      <c r="D909" s="16" t="s">
        <v>2859</v>
      </c>
      <c r="E909" s="16" t="s">
        <v>1779</v>
      </c>
      <c r="F909" s="16" t="s">
        <v>133</v>
      </c>
      <c r="G909" s="16" t="s">
        <v>1791</v>
      </c>
      <c r="J909" s="16" t="s">
        <v>33</v>
      </c>
    </row>
    <row r="910" spans="1:12" hidden="1" x14ac:dyDescent="0.3">
      <c r="A910" s="16" t="s">
        <v>2860</v>
      </c>
      <c r="B910" s="16"/>
      <c r="C910" s="16"/>
      <c r="D910" s="16" t="s">
        <v>2861</v>
      </c>
      <c r="E910" s="16" t="s">
        <v>1779</v>
      </c>
      <c r="F910" s="16" t="s">
        <v>133</v>
      </c>
      <c r="G910" s="16" t="s">
        <v>661</v>
      </c>
      <c r="J910" s="16" t="s">
        <v>33</v>
      </c>
    </row>
    <row r="911" spans="1:12" hidden="1" x14ac:dyDescent="0.3">
      <c r="A911" s="16" t="s">
        <v>2862</v>
      </c>
      <c r="B911" s="16"/>
      <c r="C911" s="16"/>
      <c r="D911" s="16" t="s">
        <v>2863</v>
      </c>
      <c r="E911" s="16" t="s">
        <v>1779</v>
      </c>
      <c r="F911" s="16" t="s">
        <v>133</v>
      </c>
      <c r="G911" s="16" t="s">
        <v>661</v>
      </c>
      <c r="J911" s="16" t="s">
        <v>33</v>
      </c>
    </row>
    <row r="912" spans="1:12" hidden="1" x14ac:dyDescent="0.3">
      <c r="A912" s="16" t="s">
        <v>2864</v>
      </c>
      <c r="B912" s="16"/>
      <c r="C912" s="16"/>
      <c r="D912" s="16" t="s">
        <v>2865</v>
      </c>
      <c r="E912" s="16" t="s">
        <v>1779</v>
      </c>
      <c r="F912" s="16" t="s">
        <v>133</v>
      </c>
      <c r="G912" s="16" t="s">
        <v>661</v>
      </c>
      <c r="J912" s="16" t="s">
        <v>33</v>
      </c>
    </row>
    <row r="913" spans="1:12" hidden="1" x14ac:dyDescent="0.3">
      <c r="A913" s="16" t="s">
        <v>2866</v>
      </c>
      <c r="B913" s="16"/>
      <c r="C913" s="16"/>
      <c r="D913" s="16" t="s">
        <v>2867</v>
      </c>
      <c r="E913" s="16" t="s">
        <v>1779</v>
      </c>
      <c r="F913" s="16" t="s">
        <v>133</v>
      </c>
      <c r="G913" s="16" t="s">
        <v>661</v>
      </c>
      <c r="J913" s="16" t="s">
        <v>33</v>
      </c>
    </row>
    <row r="914" spans="1:12" hidden="1" x14ac:dyDescent="0.3">
      <c r="A914" s="16" t="s">
        <v>2868</v>
      </c>
      <c r="B914" s="16"/>
      <c r="C914" s="16"/>
      <c r="D914" s="16" t="s">
        <v>2869</v>
      </c>
      <c r="E914" s="16" t="s">
        <v>1779</v>
      </c>
      <c r="F914" s="16" t="s">
        <v>133</v>
      </c>
      <c r="G914" s="16" t="s">
        <v>661</v>
      </c>
      <c r="J914" s="16" t="s">
        <v>33</v>
      </c>
    </row>
    <row r="915" spans="1:12" hidden="1" x14ac:dyDescent="0.3">
      <c r="A915" s="16" t="s">
        <v>2870</v>
      </c>
      <c r="B915" s="16"/>
      <c r="C915" s="16"/>
      <c r="D915" s="16" t="s">
        <v>2871</v>
      </c>
      <c r="E915" s="16" t="s">
        <v>1779</v>
      </c>
      <c r="F915" s="16" t="s">
        <v>133</v>
      </c>
      <c r="G915" s="16" t="s">
        <v>661</v>
      </c>
      <c r="J915" s="16" t="s">
        <v>33</v>
      </c>
    </row>
    <row r="916" spans="1:12" hidden="1" x14ac:dyDescent="0.3">
      <c r="A916" s="16" t="s">
        <v>2872</v>
      </c>
      <c r="B916" s="16"/>
      <c r="C916" s="16"/>
      <c r="D916" s="16" t="s">
        <v>2873</v>
      </c>
      <c r="E916" s="16" t="s">
        <v>1779</v>
      </c>
      <c r="F916" s="16" t="s">
        <v>133</v>
      </c>
      <c r="G916" s="16" t="s">
        <v>588</v>
      </c>
      <c r="J916" s="16" t="s">
        <v>33</v>
      </c>
    </row>
    <row r="917" spans="1:12" hidden="1" x14ac:dyDescent="0.3">
      <c r="A917" s="16" t="s">
        <v>1676</v>
      </c>
      <c r="B917" s="16"/>
      <c r="C917" s="16"/>
      <c r="D917" s="16" t="s">
        <v>1677</v>
      </c>
      <c r="E917" s="16" t="s">
        <v>1778</v>
      </c>
      <c r="F917" s="16" t="s">
        <v>18</v>
      </c>
      <c r="G917" s="16" t="s">
        <v>539</v>
      </c>
      <c r="I917" s="16" t="s">
        <v>1127</v>
      </c>
      <c r="J917" s="16" t="s">
        <v>33</v>
      </c>
    </row>
    <row r="918" spans="1:12" hidden="1" x14ac:dyDescent="0.3">
      <c r="A918" s="16" t="s">
        <v>1733</v>
      </c>
      <c r="B918" s="16"/>
      <c r="C918" s="16"/>
      <c r="D918" s="16" t="s">
        <v>1734</v>
      </c>
      <c r="E918" s="16" t="s">
        <v>1779</v>
      </c>
      <c r="F918" s="16" t="s">
        <v>18</v>
      </c>
      <c r="G918" s="16" t="s">
        <v>539</v>
      </c>
      <c r="I918" s="16" t="s">
        <v>1127</v>
      </c>
      <c r="J918" s="16" t="s">
        <v>33</v>
      </c>
    </row>
    <row r="919" spans="1:12" hidden="1" x14ac:dyDescent="0.3">
      <c r="A919" s="16" t="s">
        <v>1345</v>
      </c>
      <c r="B919" s="16"/>
      <c r="C919" s="16"/>
      <c r="D919" s="16" t="s">
        <v>1346</v>
      </c>
      <c r="E919" s="16" t="s">
        <v>1778</v>
      </c>
      <c r="F919" s="16" t="s">
        <v>18</v>
      </c>
      <c r="G919" s="16" t="s">
        <v>539</v>
      </c>
      <c r="I919" s="16" t="s">
        <v>1127</v>
      </c>
      <c r="J919" s="16" t="s">
        <v>33</v>
      </c>
    </row>
    <row r="920" spans="1:12" hidden="1" x14ac:dyDescent="0.3">
      <c r="A920" s="16" t="s">
        <v>2874</v>
      </c>
      <c r="B920" s="16"/>
      <c r="C920" s="16"/>
      <c r="D920" s="16" t="s">
        <v>2875</v>
      </c>
      <c r="E920" s="16" t="s">
        <v>1778</v>
      </c>
      <c r="F920" s="16" t="s">
        <v>18</v>
      </c>
      <c r="G920" s="16" t="s">
        <v>539</v>
      </c>
      <c r="I920" s="16" t="s">
        <v>1770</v>
      </c>
      <c r="J920" s="16" t="s">
        <v>33</v>
      </c>
    </row>
    <row r="921" spans="1:12" hidden="1" x14ac:dyDescent="0.3">
      <c r="A921" s="16" t="s">
        <v>2876</v>
      </c>
      <c r="B921" s="16"/>
      <c r="C921" s="16"/>
      <c r="D921" s="16" t="s">
        <v>2877</v>
      </c>
      <c r="E921" s="16" t="s">
        <v>1769</v>
      </c>
      <c r="F921" s="16" t="s">
        <v>133</v>
      </c>
      <c r="G921" s="16" t="s">
        <v>1885</v>
      </c>
      <c r="J921" s="16" t="s">
        <v>33</v>
      </c>
    </row>
    <row r="922" spans="1:12" hidden="1" x14ac:dyDescent="0.3">
      <c r="A922" s="16" t="s">
        <v>2878</v>
      </c>
      <c r="B922" s="16"/>
      <c r="C922" s="16"/>
      <c r="D922" s="16" t="s">
        <v>2879</v>
      </c>
      <c r="E922" s="16" t="s">
        <v>1769</v>
      </c>
      <c r="F922" s="16" t="s">
        <v>133</v>
      </c>
      <c r="G922" s="16" t="s">
        <v>1885</v>
      </c>
      <c r="J922" s="16" t="s">
        <v>33</v>
      </c>
    </row>
    <row r="923" spans="1:12" hidden="1" x14ac:dyDescent="0.3">
      <c r="A923" s="16" t="s">
        <v>55</v>
      </c>
      <c r="B923" s="16"/>
      <c r="C923" s="16"/>
      <c r="D923" s="16" t="s">
        <v>56</v>
      </c>
      <c r="E923" s="16" t="s">
        <v>1779</v>
      </c>
      <c r="F923" s="16" t="s">
        <v>388</v>
      </c>
      <c r="G923" s="16" t="s">
        <v>539</v>
      </c>
      <c r="J923" s="16" t="s">
        <v>33</v>
      </c>
      <c r="L923" s="16" t="s">
        <v>32</v>
      </c>
    </row>
    <row r="924" spans="1:12" hidden="1" x14ac:dyDescent="0.3">
      <c r="A924" s="16" t="s">
        <v>55</v>
      </c>
      <c r="B924" s="16"/>
      <c r="C924" s="16"/>
      <c r="D924" s="16" t="s">
        <v>56</v>
      </c>
      <c r="E924" s="16" t="s">
        <v>1777</v>
      </c>
      <c r="F924" s="16" t="s">
        <v>388</v>
      </c>
      <c r="G924" s="16" t="s">
        <v>539</v>
      </c>
      <c r="J924" s="16" t="s">
        <v>33</v>
      </c>
      <c r="L924" s="16" t="s">
        <v>32</v>
      </c>
    </row>
    <row r="925" spans="1:12" hidden="1" x14ac:dyDescent="0.3">
      <c r="A925" s="16" t="s">
        <v>210</v>
      </c>
      <c r="B925" s="16"/>
      <c r="C925" s="16"/>
      <c r="D925" s="16" t="s">
        <v>211</v>
      </c>
      <c r="E925" s="16" t="s">
        <v>1779</v>
      </c>
      <c r="F925" s="16" t="s">
        <v>388</v>
      </c>
      <c r="G925" s="16" t="s">
        <v>539</v>
      </c>
      <c r="J925" s="16" t="s">
        <v>33</v>
      </c>
      <c r="L925" s="16" t="s">
        <v>32</v>
      </c>
    </row>
    <row r="926" spans="1:12" hidden="1" x14ac:dyDescent="0.3">
      <c r="A926" s="16" t="s">
        <v>210</v>
      </c>
      <c r="B926" s="16"/>
      <c r="C926" s="16"/>
      <c r="D926" s="16" t="s">
        <v>211</v>
      </c>
      <c r="E926" s="16" t="s">
        <v>1777</v>
      </c>
      <c r="F926" s="16" t="s">
        <v>388</v>
      </c>
      <c r="G926" s="16" t="s">
        <v>539</v>
      </c>
      <c r="J926" s="16" t="s">
        <v>33</v>
      </c>
      <c r="L926" s="16" t="s">
        <v>32</v>
      </c>
    </row>
    <row r="927" spans="1:12" hidden="1" x14ac:dyDescent="0.3">
      <c r="A927" s="16" t="s">
        <v>1144</v>
      </c>
      <c r="B927" s="16"/>
      <c r="C927" s="16"/>
      <c r="D927" s="16" t="s">
        <v>1145</v>
      </c>
      <c r="E927" s="16" t="s">
        <v>1915</v>
      </c>
      <c r="F927" s="16" t="s">
        <v>18</v>
      </c>
      <c r="G927" s="16" t="s">
        <v>539</v>
      </c>
      <c r="I927" s="16" t="s">
        <v>1103</v>
      </c>
      <c r="J927" s="16" t="s">
        <v>33</v>
      </c>
    </row>
    <row r="928" spans="1:12" hidden="1" x14ac:dyDescent="0.3">
      <c r="A928" s="16" t="s">
        <v>1593</v>
      </c>
      <c r="B928" s="16"/>
      <c r="C928" s="16"/>
      <c r="D928" s="16" t="s">
        <v>1594</v>
      </c>
      <c r="E928" s="16" t="s">
        <v>1779</v>
      </c>
      <c r="F928" s="16" t="s">
        <v>18</v>
      </c>
      <c r="G928" s="16" t="s">
        <v>539</v>
      </c>
      <c r="I928" s="16" t="s">
        <v>1127</v>
      </c>
      <c r="J928" s="16" t="s">
        <v>33</v>
      </c>
    </row>
    <row r="929" spans="1:14" hidden="1" x14ac:dyDescent="0.3">
      <c r="A929" s="16" t="s">
        <v>2880</v>
      </c>
      <c r="B929" s="16"/>
      <c r="C929" s="16"/>
      <c r="D929" s="16" t="s">
        <v>2881</v>
      </c>
      <c r="E929" s="16" t="s">
        <v>1779</v>
      </c>
      <c r="F929" s="16" t="s">
        <v>133</v>
      </c>
      <c r="G929" s="16" t="s">
        <v>539</v>
      </c>
      <c r="J929" s="16" t="s">
        <v>33</v>
      </c>
    </row>
    <row r="930" spans="1:14" hidden="1" x14ac:dyDescent="0.3">
      <c r="A930" s="16" t="s">
        <v>1595</v>
      </c>
      <c r="B930" s="16"/>
      <c r="C930" s="16"/>
      <c r="D930" s="16" t="s">
        <v>1596</v>
      </c>
      <c r="E930" s="16" t="s">
        <v>1779</v>
      </c>
      <c r="F930" s="16" t="s">
        <v>18</v>
      </c>
      <c r="G930" s="16" t="s">
        <v>539</v>
      </c>
      <c r="I930" s="16" t="s">
        <v>1103</v>
      </c>
      <c r="J930" s="16" t="s">
        <v>33</v>
      </c>
    </row>
    <row r="931" spans="1:14" hidden="1" x14ac:dyDescent="0.3">
      <c r="A931" s="16" t="s">
        <v>2882</v>
      </c>
      <c r="B931" s="16"/>
      <c r="C931" s="16"/>
      <c r="D931" s="16" t="s">
        <v>2883</v>
      </c>
      <c r="E931" s="16" t="s">
        <v>1779</v>
      </c>
      <c r="F931" s="16" t="s">
        <v>388</v>
      </c>
      <c r="G931" s="16" t="s">
        <v>539</v>
      </c>
      <c r="J931" s="16" t="s">
        <v>33</v>
      </c>
      <c r="L931" s="16" t="s">
        <v>32</v>
      </c>
      <c r="M931" s="16" t="s">
        <v>2884</v>
      </c>
      <c r="N931" s="16" t="s">
        <v>33</v>
      </c>
    </row>
    <row r="932" spans="1:14" hidden="1" x14ac:dyDescent="0.3">
      <c r="A932" s="16" t="s">
        <v>2885</v>
      </c>
      <c r="B932" s="16"/>
      <c r="C932" s="16"/>
      <c r="D932" s="16" t="s">
        <v>2886</v>
      </c>
      <c r="E932" s="16" t="s">
        <v>1779</v>
      </c>
      <c r="F932" s="16" t="s">
        <v>388</v>
      </c>
      <c r="G932" s="16" t="s">
        <v>539</v>
      </c>
      <c r="J932" s="16" t="s">
        <v>33</v>
      </c>
      <c r="L932" s="16" t="s">
        <v>32</v>
      </c>
      <c r="M932" s="16" t="s">
        <v>2887</v>
      </c>
      <c r="N932" s="16" t="s">
        <v>33</v>
      </c>
    </row>
    <row r="933" spans="1:14" hidden="1" x14ac:dyDescent="0.3">
      <c r="A933" s="16" t="s">
        <v>2888</v>
      </c>
      <c r="B933" s="16"/>
      <c r="C933" s="16"/>
      <c r="D933" s="16" t="s">
        <v>2889</v>
      </c>
      <c r="E933" s="16" t="s">
        <v>1779</v>
      </c>
      <c r="F933" s="16" t="s">
        <v>388</v>
      </c>
      <c r="G933" s="16" t="s">
        <v>539</v>
      </c>
      <c r="J933" s="16" t="s">
        <v>33</v>
      </c>
      <c r="L933" s="16" t="s">
        <v>32</v>
      </c>
      <c r="M933" s="16" t="s">
        <v>2887</v>
      </c>
      <c r="N933" s="16" t="s">
        <v>33</v>
      </c>
    </row>
    <row r="934" spans="1:14" hidden="1" x14ac:dyDescent="0.3">
      <c r="A934" s="16" t="s">
        <v>2890</v>
      </c>
      <c r="B934" s="16"/>
      <c r="C934" s="16"/>
      <c r="D934" s="16" t="s">
        <v>2891</v>
      </c>
      <c r="E934" s="16" t="s">
        <v>1779</v>
      </c>
      <c r="F934" s="16" t="s">
        <v>18</v>
      </c>
      <c r="G934" s="16" t="s">
        <v>539</v>
      </c>
      <c r="I934" s="16" t="s">
        <v>1770</v>
      </c>
      <c r="J934" s="16" t="s">
        <v>33</v>
      </c>
    </row>
    <row r="935" spans="1:14" hidden="1" x14ac:dyDescent="0.3">
      <c r="A935" s="16" t="s">
        <v>2892</v>
      </c>
      <c r="B935" s="16"/>
      <c r="C935" s="16"/>
      <c r="D935" s="16" t="s">
        <v>2893</v>
      </c>
      <c r="E935" s="16" t="s">
        <v>1804</v>
      </c>
      <c r="F935" s="16" t="s">
        <v>18</v>
      </c>
      <c r="G935" s="16" t="s">
        <v>588</v>
      </c>
      <c r="I935" s="16" t="s">
        <v>1770</v>
      </c>
      <c r="J935" s="16" t="s">
        <v>33</v>
      </c>
    </row>
    <row r="936" spans="1:14" hidden="1" x14ac:dyDescent="0.3">
      <c r="A936" s="16" t="s">
        <v>2894</v>
      </c>
      <c r="B936" s="16"/>
      <c r="C936" s="16"/>
      <c r="D936" s="16" t="s">
        <v>2895</v>
      </c>
      <c r="E936" s="16" t="s">
        <v>1804</v>
      </c>
      <c r="F936" s="16" t="s">
        <v>18</v>
      </c>
      <c r="G936" s="16" t="s">
        <v>661</v>
      </c>
      <c r="I936" s="16" t="s">
        <v>1770</v>
      </c>
      <c r="J936" s="16" t="s">
        <v>33</v>
      </c>
    </row>
    <row r="937" spans="1:14" hidden="1" x14ac:dyDescent="0.3">
      <c r="A937" s="16" t="s">
        <v>2896</v>
      </c>
      <c r="B937" s="16"/>
      <c r="C937" s="16"/>
      <c r="D937" s="16" t="s">
        <v>2897</v>
      </c>
      <c r="E937" s="16" t="s">
        <v>1779</v>
      </c>
      <c r="F937" s="16" t="s">
        <v>388</v>
      </c>
      <c r="G937" s="16" t="s">
        <v>539</v>
      </c>
      <c r="J937" s="16" t="s">
        <v>33</v>
      </c>
      <c r="L937" s="16" t="s">
        <v>32</v>
      </c>
    </row>
    <row r="938" spans="1:14" hidden="1" x14ac:dyDescent="0.3">
      <c r="A938" s="16" t="s">
        <v>2898</v>
      </c>
      <c r="B938" s="16"/>
      <c r="C938" s="16"/>
      <c r="D938" s="16" t="s">
        <v>2899</v>
      </c>
      <c r="E938" s="16" t="s">
        <v>1779</v>
      </c>
      <c r="F938" s="16" t="s">
        <v>388</v>
      </c>
      <c r="G938" s="16" t="s">
        <v>539</v>
      </c>
      <c r="J938" s="16" t="s">
        <v>33</v>
      </c>
      <c r="L938" s="16" t="s">
        <v>32</v>
      </c>
      <c r="N938" s="16" t="s">
        <v>33</v>
      </c>
    </row>
    <row r="939" spans="1:14" hidden="1" x14ac:dyDescent="0.3">
      <c r="A939" s="16" t="s">
        <v>2900</v>
      </c>
      <c r="B939" s="16"/>
      <c r="C939" s="16"/>
      <c r="D939" s="16" t="s">
        <v>2901</v>
      </c>
      <c r="E939" s="16" t="s">
        <v>1779</v>
      </c>
      <c r="F939" s="16" t="s">
        <v>133</v>
      </c>
      <c r="G939" s="16" t="s">
        <v>255</v>
      </c>
      <c r="J939" s="16" t="s">
        <v>33</v>
      </c>
    </row>
    <row r="940" spans="1:14" hidden="1" x14ac:dyDescent="0.3">
      <c r="A940" s="16" t="s">
        <v>2900</v>
      </c>
      <c r="B940" s="16"/>
      <c r="C940" s="16"/>
      <c r="D940" s="16" t="s">
        <v>2901</v>
      </c>
      <c r="E940" s="16" t="s">
        <v>1915</v>
      </c>
      <c r="F940" s="16" t="s">
        <v>133</v>
      </c>
      <c r="G940" s="16" t="s">
        <v>255</v>
      </c>
      <c r="J940" s="16" t="s">
        <v>33</v>
      </c>
    </row>
    <row r="941" spans="1:14" hidden="1" x14ac:dyDescent="0.3">
      <c r="A941" s="16" t="s">
        <v>2900</v>
      </c>
      <c r="B941" s="16"/>
      <c r="C941" s="16"/>
      <c r="D941" s="16" t="s">
        <v>2901</v>
      </c>
      <c r="E941" s="16" t="s">
        <v>1769</v>
      </c>
      <c r="F941" s="16" t="s">
        <v>133</v>
      </c>
      <c r="G941" s="16" t="s">
        <v>255</v>
      </c>
      <c r="J941" s="16" t="s">
        <v>33</v>
      </c>
    </row>
    <row r="942" spans="1:14" hidden="1" x14ac:dyDescent="0.3">
      <c r="A942" s="16" t="s">
        <v>2900</v>
      </c>
      <c r="B942" s="16"/>
      <c r="C942" s="16"/>
      <c r="D942" s="16" t="s">
        <v>2901</v>
      </c>
      <c r="E942" s="16" t="s">
        <v>2320</v>
      </c>
      <c r="F942" s="16" t="s">
        <v>133</v>
      </c>
      <c r="G942" s="16" t="s">
        <v>255</v>
      </c>
      <c r="J942" s="16" t="s">
        <v>33</v>
      </c>
    </row>
    <row r="943" spans="1:14" hidden="1" x14ac:dyDescent="0.3">
      <c r="A943" s="16" t="s">
        <v>2902</v>
      </c>
      <c r="B943" s="16"/>
      <c r="C943" s="16"/>
      <c r="D943" s="16" t="s">
        <v>2903</v>
      </c>
      <c r="E943" s="16" t="s">
        <v>1778</v>
      </c>
      <c r="F943" s="16" t="s">
        <v>133</v>
      </c>
      <c r="G943" s="16" t="s">
        <v>684</v>
      </c>
      <c r="I943" s="16" t="s">
        <v>662</v>
      </c>
      <c r="J943" s="16" t="s">
        <v>33</v>
      </c>
    </row>
    <row r="944" spans="1:14" hidden="1" x14ac:dyDescent="0.3">
      <c r="A944" s="16" t="s">
        <v>2904</v>
      </c>
      <c r="B944" s="16"/>
      <c r="C944" s="16"/>
      <c r="D944" s="16" t="s">
        <v>2905</v>
      </c>
      <c r="E944" s="16" t="s">
        <v>1778</v>
      </c>
      <c r="F944" s="16" t="s">
        <v>133</v>
      </c>
      <c r="G944" s="16" t="s">
        <v>684</v>
      </c>
      <c r="I944" s="16" t="s">
        <v>662</v>
      </c>
      <c r="J944" s="16" t="s">
        <v>33</v>
      </c>
    </row>
    <row r="945" spans="1:12" hidden="1" x14ac:dyDescent="0.3">
      <c r="A945" s="16" t="s">
        <v>2906</v>
      </c>
      <c r="B945" s="16"/>
      <c r="C945" s="16"/>
      <c r="D945" s="16" t="s">
        <v>2907</v>
      </c>
      <c r="E945" s="16" t="s">
        <v>2306</v>
      </c>
      <c r="F945" s="16" t="s">
        <v>388</v>
      </c>
      <c r="G945" s="16" t="s">
        <v>539</v>
      </c>
      <c r="L945" s="16" t="s">
        <v>32</v>
      </c>
    </row>
    <row r="946" spans="1:12" hidden="1" x14ac:dyDescent="0.3">
      <c r="A946" s="16" t="s">
        <v>2906</v>
      </c>
      <c r="B946" s="16"/>
      <c r="C946" s="16"/>
      <c r="D946" s="16" t="s">
        <v>2907</v>
      </c>
      <c r="E946" s="16" t="s">
        <v>2307</v>
      </c>
      <c r="F946" s="16" t="s">
        <v>388</v>
      </c>
      <c r="G946" s="16" t="s">
        <v>539</v>
      </c>
      <c r="J946" s="16" t="s">
        <v>33</v>
      </c>
      <c r="L946" s="16" t="s">
        <v>32</v>
      </c>
    </row>
    <row r="947" spans="1:12" hidden="1" x14ac:dyDescent="0.3">
      <c r="A947" s="16" t="s">
        <v>2906</v>
      </c>
      <c r="B947" s="16"/>
      <c r="C947" s="16"/>
      <c r="D947" s="16" t="s">
        <v>2907</v>
      </c>
      <c r="E947" s="16" t="s">
        <v>2489</v>
      </c>
      <c r="F947" s="16" t="s">
        <v>388</v>
      </c>
      <c r="G947" s="16" t="s">
        <v>539</v>
      </c>
      <c r="J947" s="16" t="s">
        <v>33</v>
      </c>
      <c r="L947" s="16" t="s">
        <v>32</v>
      </c>
    </row>
    <row r="948" spans="1:12" hidden="1" x14ac:dyDescent="0.3">
      <c r="A948" s="16" t="s">
        <v>2906</v>
      </c>
      <c r="B948" s="16"/>
      <c r="C948" s="16"/>
      <c r="D948" s="16" t="s">
        <v>2907</v>
      </c>
      <c r="E948" s="16" t="s">
        <v>1779</v>
      </c>
      <c r="F948" s="16" t="s">
        <v>388</v>
      </c>
      <c r="G948" s="16" t="s">
        <v>539</v>
      </c>
      <c r="J948" s="16" t="s">
        <v>33</v>
      </c>
      <c r="L948" s="16" t="s">
        <v>1988</v>
      </c>
    </row>
    <row r="949" spans="1:12" hidden="1" x14ac:dyDescent="0.3">
      <c r="A949" s="16" t="s">
        <v>2906</v>
      </c>
      <c r="B949" s="16"/>
      <c r="C949" s="16"/>
      <c r="D949" s="16" t="s">
        <v>2907</v>
      </c>
      <c r="E949" s="16" t="s">
        <v>1915</v>
      </c>
      <c r="F949" s="16" t="s">
        <v>388</v>
      </c>
      <c r="G949" s="16" t="s">
        <v>539</v>
      </c>
      <c r="J949" s="16" t="s">
        <v>33</v>
      </c>
      <c r="L949" s="16" t="s">
        <v>1988</v>
      </c>
    </row>
    <row r="950" spans="1:12" hidden="1" x14ac:dyDescent="0.3">
      <c r="A950" s="16" t="s">
        <v>2906</v>
      </c>
      <c r="B950" s="16"/>
      <c r="C950" s="16"/>
      <c r="D950" s="16" t="s">
        <v>2907</v>
      </c>
      <c r="E950" s="16" t="s">
        <v>1769</v>
      </c>
      <c r="F950" s="16" t="s">
        <v>388</v>
      </c>
      <c r="G950" s="16" t="s">
        <v>539</v>
      </c>
      <c r="J950" s="16" t="s">
        <v>33</v>
      </c>
      <c r="L950" s="16" t="s">
        <v>32</v>
      </c>
    </row>
    <row r="951" spans="1:12" hidden="1" x14ac:dyDescent="0.3">
      <c r="A951" s="16" t="s">
        <v>2906</v>
      </c>
      <c r="B951" s="16"/>
      <c r="C951" s="16"/>
      <c r="D951" s="16" t="s">
        <v>2907</v>
      </c>
      <c r="E951" s="16" t="s">
        <v>1804</v>
      </c>
      <c r="F951" s="16" t="s">
        <v>388</v>
      </c>
      <c r="G951" s="16" t="s">
        <v>539</v>
      </c>
      <c r="J951" s="16" t="s">
        <v>33</v>
      </c>
      <c r="L951" s="16" t="s">
        <v>32</v>
      </c>
    </row>
    <row r="952" spans="1:12" hidden="1" x14ac:dyDescent="0.3">
      <c r="A952" s="16" t="s">
        <v>2908</v>
      </c>
      <c r="B952" s="16"/>
      <c r="C952" s="16"/>
      <c r="D952" s="16" t="s">
        <v>2909</v>
      </c>
      <c r="E952" s="16" t="s">
        <v>1779</v>
      </c>
      <c r="F952" s="16" t="s">
        <v>18</v>
      </c>
      <c r="G952" s="16" t="s">
        <v>539</v>
      </c>
      <c r="I952" s="16" t="s">
        <v>1770</v>
      </c>
      <c r="J952" s="16" t="s">
        <v>33</v>
      </c>
    </row>
    <row r="953" spans="1:12" hidden="1" x14ac:dyDescent="0.3">
      <c r="A953" s="16" t="s">
        <v>2908</v>
      </c>
      <c r="B953" s="16"/>
      <c r="C953" s="16"/>
      <c r="D953" s="16" t="s">
        <v>2910</v>
      </c>
      <c r="E953" s="16" t="s">
        <v>1915</v>
      </c>
      <c r="F953" s="16" t="s">
        <v>18</v>
      </c>
      <c r="G953" s="16" t="s">
        <v>539</v>
      </c>
      <c r="I953" s="16" t="s">
        <v>1770</v>
      </c>
      <c r="J953" s="16" t="s">
        <v>33</v>
      </c>
    </row>
    <row r="954" spans="1:12" hidden="1" x14ac:dyDescent="0.3">
      <c r="A954" s="16" t="s">
        <v>2908</v>
      </c>
      <c r="B954" s="16"/>
      <c r="C954" s="16"/>
      <c r="D954" s="16" t="s">
        <v>2911</v>
      </c>
      <c r="E954" s="16" t="s">
        <v>1778</v>
      </c>
      <c r="F954" s="16" t="s">
        <v>18</v>
      </c>
      <c r="G954" s="16" t="s">
        <v>539</v>
      </c>
      <c r="I954" s="16" t="s">
        <v>1770</v>
      </c>
      <c r="J954" s="16" t="s">
        <v>33</v>
      </c>
    </row>
    <row r="955" spans="1:12" hidden="1" x14ac:dyDescent="0.3">
      <c r="A955" s="16" t="s">
        <v>2912</v>
      </c>
      <c r="B955" s="16"/>
      <c r="C955" s="16"/>
      <c r="D955" s="16" t="s">
        <v>2913</v>
      </c>
      <c r="E955" s="16" t="s">
        <v>1779</v>
      </c>
      <c r="F955" s="16" t="s">
        <v>18</v>
      </c>
      <c r="G955" s="16" t="s">
        <v>539</v>
      </c>
      <c r="I955" s="16" t="s">
        <v>1770</v>
      </c>
      <c r="J955" s="16" t="s">
        <v>33</v>
      </c>
    </row>
    <row r="956" spans="1:12" hidden="1" x14ac:dyDescent="0.3">
      <c r="A956" s="16" t="s">
        <v>2912</v>
      </c>
      <c r="B956" s="16"/>
      <c r="C956" s="16"/>
      <c r="D956" s="16" t="s">
        <v>2914</v>
      </c>
      <c r="E956" s="16" t="s">
        <v>1915</v>
      </c>
      <c r="F956" s="16" t="s">
        <v>18</v>
      </c>
      <c r="G956" s="16" t="s">
        <v>539</v>
      </c>
      <c r="I956" s="16" t="s">
        <v>1770</v>
      </c>
      <c r="J956" s="16" t="s">
        <v>33</v>
      </c>
    </row>
    <row r="957" spans="1:12" hidden="1" x14ac:dyDescent="0.3">
      <c r="A957" s="16" t="s">
        <v>2912</v>
      </c>
      <c r="B957" s="16"/>
      <c r="C957" s="16"/>
      <c r="D957" s="16" t="s">
        <v>2915</v>
      </c>
      <c r="E957" s="16" t="s">
        <v>1778</v>
      </c>
      <c r="F957" s="16" t="s">
        <v>18</v>
      </c>
      <c r="G957" s="16" t="s">
        <v>539</v>
      </c>
      <c r="I957" s="16" t="s">
        <v>1770</v>
      </c>
      <c r="J957" s="16" t="s">
        <v>33</v>
      </c>
    </row>
    <row r="958" spans="1:12" hidden="1" x14ac:dyDescent="0.3">
      <c r="A958" s="16" t="s">
        <v>2916</v>
      </c>
      <c r="B958" s="16"/>
      <c r="C958" s="16"/>
      <c r="D958" s="16" t="s">
        <v>2917</v>
      </c>
      <c r="E958" s="16" t="s">
        <v>1779</v>
      </c>
      <c r="F958" s="16" t="s">
        <v>18</v>
      </c>
      <c r="G958" s="16" t="s">
        <v>588</v>
      </c>
      <c r="I958" s="16" t="s">
        <v>1770</v>
      </c>
      <c r="J958" s="16" t="s">
        <v>33</v>
      </c>
    </row>
    <row r="959" spans="1:12" hidden="1" x14ac:dyDescent="0.3">
      <c r="A959" s="16" t="s">
        <v>2916</v>
      </c>
      <c r="B959" s="16"/>
      <c r="C959" s="16"/>
      <c r="D959" s="16" t="s">
        <v>2918</v>
      </c>
      <c r="E959" s="16" t="s">
        <v>1915</v>
      </c>
      <c r="F959" s="16" t="s">
        <v>18</v>
      </c>
      <c r="G959" s="16" t="s">
        <v>588</v>
      </c>
      <c r="I959" s="16" t="s">
        <v>1770</v>
      </c>
      <c r="J959" s="16" t="s">
        <v>33</v>
      </c>
    </row>
    <row r="960" spans="1:12" hidden="1" x14ac:dyDescent="0.3">
      <c r="A960" s="16" t="s">
        <v>2916</v>
      </c>
      <c r="B960" s="16"/>
      <c r="C960" s="16"/>
      <c r="D960" s="16" t="s">
        <v>2919</v>
      </c>
      <c r="E960" s="16" t="s">
        <v>1778</v>
      </c>
      <c r="F960" s="16" t="s">
        <v>18</v>
      </c>
      <c r="G960" s="16" t="s">
        <v>588</v>
      </c>
      <c r="I960" s="16" t="s">
        <v>1770</v>
      </c>
      <c r="J960" s="16" t="s">
        <v>33</v>
      </c>
    </row>
    <row r="961" spans="1:14" hidden="1" x14ac:dyDescent="0.3">
      <c r="A961" s="16" t="s">
        <v>2920</v>
      </c>
      <c r="B961" s="16"/>
      <c r="C961" s="16"/>
      <c r="D961" s="16" t="s">
        <v>2921</v>
      </c>
      <c r="E961" s="16" t="s">
        <v>1779</v>
      </c>
      <c r="F961" s="16" t="s">
        <v>18</v>
      </c>
      <c r="G961" s="16" t="s">
        <v>1791</v>
      </c>
      <c r="I961" s="16" t="s">
        <v>1770</v>
      </c>
      <c r="J961" s="16" t="s">
        <v>33</v>
      </c>
    </row>
    <row r="962" spans="1:14" hidden="1" x14ac:dyDescent="0.3">
      <c r="A962" s="16" t="s">
        <v>2920</v>
      </c>
      <c r="B962" s="16"/>
      <c r="C962" s="16"/>
      <c r="D962" s="16" t="s">
        <v>2922</v>
      </c>
      <c r="E962" s="16" t="s">
        <v>1915</v>
      </c>
      <c r="F962" s="16" t="s">
        <v>18</v>
      </c>
      <c r="G962" s="16" t="s">
        <v>1791</v>
      </c>
      <c r="I962" s="16" t="s">
        <v>1770</v>
      </c>
      <c r="J962" s="16" t="s">
        <v>33</v>
      </c>
    </row>
    <row r="963" spans="1:14" hidden="1" x14ac:dyDescent="0.3">
      <c r="A963" s="16" t="s">
        <v>2920</v>
      </c>
      <c r="B963" s="16"/>
      <c r="C963" s="16"/>
      <c r="D963" s="16" t="s">
        <v>2923</v>
      </c>
      <c r="E963" s="16" t="s">
        <v>1778</v>
      </c>
      <c r="F963" s="16" t="s">
        <v>18</v>
      </c>
      <c r="G963" s="16" t="s">
        <v>1791</v>
      </c>
      <c r="I963" s="16" t="s">
        <v>1770</v>
      </c>
      <c r="J963" s="16" t="s">
        <v>33</v>
      </c>
    </row>
    <row r="964" spans="1:14" hidden="1" x14ac:dyDescent="0.3">
      <c r="A964" s="16" t="s">
        <v>2924</v>
      </c>
      <c r="B964" s="16"/>
      <c r="C964" s="16"/>
      <c r="D964" s="16" t="s">
        <v>2925</v>
      </c>
      <c r="E964" s="16" t="s">
        <v>1782</v>
      </c>
      <c r="F964" s="16" t="s">
        <v>133</v>
      </c>
      <c r="G964" s="16" t="s">
        <v>1791</v>
      </c>
      <c r="J964" s="16" t="s">
        <v>33</v>
      </c>
    </row>
    <row r="965" spans="1:14" hidden="1" x14ac:dyDescent="0.3">
      <c r="A965" s="16" t="s">
        <v>2926</v>
      </c>
      <c r="B965" s="16"/>
      <c r="C965" s="16"/>
      <c r="D965" s="16" t="s">
        <v>462</v>
      </c>
      <c r="E965" s="16" t="s">
        <v>1779</v>
      </c>
      <c r="F965" s="16" t="s">
        <v>388</v>
      </c>
      <c r="G965" s="16" t="s">
        <v>539</v>
      </c>
      <c r="J965" s="16" t="s">
        <v>33</v>
      </c>
      <c r="L965" s="16" t="s">
        <v>32</v>
      </c>
    </row>
    <row r="966" spans="1:14" hidden="1" x14ac:dyDescent="0.3">
      <c r="A966" s="16" t="s">
        <v>2926</v>
      </c>
      <c r="B966" s="16"/>
      <c r="C966" s="16"/>
      <c r="D966" s="16" t="s">
        <v>462</v>
      </c>
      <c r="E966" s="16" t="s">
        <v>1777</v>
      </c>
      <c r="F966" s="16" t="s">
        <v>388</v>
      </c>
      <c r="G966" s="16" t="s">
        <v>539</v>
      </c>
      <c r="J966" s="16" t="s">
        <v>33</v>
      </c>
      <c r="L966" s="16" t="s">
        <v>32</v>
      </c>
    </row>
    <row r="967" spans="1:14" hidden="1" x14ac:dyDescent="0.3">
      <c r="A967" s="16" t="s">
        <v>2927</v>
      </c>
      <c r="B967" s="16"/>
      <c r="C967" s="16"/>
      <c r="D967" s="16" t="s">
        <v>2928</v>
      </c>
      <c r="E967" s="16" t="s">
        <v>1779</v>
      </c>
      <c r="F967" s="16" t="s">
        <v>388</v>
      </c>
      <c r="G967" s="16" t="s">
        <v>539</v>
      </c>
      <c r="J967" s="16" t="s">
        <v>33</v>
      </c>
      <c r="L967" s="16" t="s">
        <v>32</v>
      </c>
    </row>
    <row r="968" spans="1:14" hidden="1" x14ac:dyDescent="0.3">
      <c r="A968" s="16" t="s">
        <v>349</v>
      </c>
      <c r="B968" s="16"/>
      <c r="C968" s="16"/>
      <c r="D968" s="16" t="s">
        <v>350</v>
      </c>
      <c r="E968" s="16" t="s">
        <v>1779</v>
      </c>
      <c r="F968" s="16" t="s">
        <v>388</v>
      </c>
      <c r="G968" s="16" t="s">
        <v>539</v>
      </c>
      <c r="J968" s="16" t="s">
        <v>33</v>
      </c>
      <c r="L968" s="16" t="s">
        <v>32</v>
      </c>
    </row>
    <row r="969" spans="1:14" hidden="1" x14ac:dyDescent="0.3">
      <c r="A969" s="16" t="s">
        <v>1146</v>
      </c>
      <c r="B969" s="16"/>
      <c r="C969" s="16"/>
      <c r="D969" s="16" t="s">
        <v>1147</v>
      </c>
      <c r="E969" s="16" t="s">
        <v>1915</v>
      </c>
      <c r="F969" s="16" t="s">
        <v>18</v>
      </c>
      <c r="G969" s="16" t="s">
        <v>539</v>
      </c>
      <c r="I969" s="16" t="s">
        <v>1127</v>
      </c>
      <c r="J969" s="16" t="s">
        <v>33</v>
      </c>
    </row>
    <row r="970" spans="1:14" hidden="1" x14ac:dyDescent="0.3">
      <c r="A970" s="16" t="s">
        <v>1148</v>
      </c>
      <c r="B970" s="16"/>
      <c r="C970" s="16"/>
      <c r="D970" s="16" t="s">
        <v>1149</v>
      </c>
      <c r="E970" s="16" t="s">
        <v>1915</v>
      </c>
      <c r="F970" s="16" t="s">
        <v>18</v>
      </c>
      <c r="G970" s="16" t="s">
        <v>539</v>
      </c>
      <c r="I970" s="16" t="s">
        <v>1127</v>
      </c>
      <c r="J970" s="16" t="s">
        <v>33</v>
      </c>
    </row>
    <row r="971" spans="1:14" hidden="1" x14ac:dyDescent="0.3">
      <c r="A971" s="16" t="s">
        <v>2929</v>
      </c>
      <c r="B971" s="16"/>
      <c r="C971" s="16"/>
      <c r="D971" s="16" t="s">
        <v>2930</v>
      </c>
      <c r="E971" s="16" t="s">
        <v>2306</v>
      </c>
      <c r="F971" s="16" t="s">
        <v>388</v>
      </c>
      <c r="G971" s="16" t="s">
        <v>539</v>
      </c>
      <c r="J971" s="16" t="s">
        <v>33</v>
      </c>
      <c r="L971" s="16" t="s">
        <v>32</v>
      </c>
      <c r="N971" s="16" t="s">
        <v>33</v>
      </c>
    </row>
    <row r="972" spans="1:14" hidden="1" x14ac:dyDescent="0.3">
      <c r="A972" s="16" t="s">
        <v>2929</v>
      </c>
      <c r="B972" s="16"/>
      <c r="C972" s="16"/>
      <c r="D972" s="16" t="s">
        <v>2930</v>
      </c>
      <c r="E972" s="16" t="s">
        <v>2307</v>
      </c>
      <c r="F972" s="16" t="s">
        <v>388</v>
      </c>
      <c r="G972" s="16" t="s">
        <v>539</v>
      </c>
      <c r="J972" s="16" t="s">
        <v>33</v>
      </c>
      <c r="L972" s="16" t="s">
        <v>32</v>
      </c>
      <c r="N972" s="16" t="s">
        <v>33</v>
      </c>
    </row>
    <row r="973" spans="1:14" hidden="1" x14ac:dyDescent="0.3">
      <c r="A973" s="16" t="s">
        <v>2929</v>
      </c>
      <c r="B973" s="16"/>
      <c r="C973" s="16"/>
      <c r="D973" s="16" t="s">
        <v>2930</v>
      </c>
      <c r="E973" s="16" t="s">
        <v>1779</v>
      </c>
      <c r="F973" s="16" t="s">
        <v>388</v>
      </c>
      <c r="G973" s="16" t="s">
        <v>539</v>
      </c>
      <c r="J973" s="16" t="s">
        <v>33</v>
      </c>
      <c r="L973" s="16" t="s">
        <v>32</v>
      </c>
      <c r="M973" s="16" t="s">
        <v>2931</v>
      </c>
      <c r="N973" s="16" t="s">
        <v>33</v>
      </c>
    </row>
    <row r="974" spans="1:14" hidden="1" x14ac:dyDescent="0.3">
      <c r="A974" s="16" t="s">
        <v>2932</v>
      </c>
      <c r="B974" s="16"/>
      <c r="C974" s="16"/>
      <c r="D974" s="16" t="s">
        <v>2933</v>
      </c>
      <c r="E974" s="16" t="s">
        <v>1779</v>
      </c>
      <c r="F974" s="16" t="s">
        <v>2042</v>
      </c>
      <c r="G974" s="16" t="s">
        <v>555</v>
      </c>
      <c r="J974" s="16" t="s">
        <v>33</v>
      </c>
    </row>
    <row r="975" spans="1:14" hidden="1" x14ac:dyDescent="0.3">
      <c r="A975" s="16" t="s">
        <v>2932</v>
      </c>
      <c r="B975" s="16"/>
      <c r="C975" s="16"/>
      <c r="D975" s="16" t="s">
        <v>2933</v>
      </c>
      <c r="E975" s="16" t="s">
        <v>1778</v>
      </c>
      <c r="F975" s="16" t="s">
        <v>2042</v>
      </c>
      <c r="G975" s="16" t="s">
        <v>555</v>
      </c>
      <c r="J975" s="16" t="s">
        <v>33</v>
      </c>
    </row>
    <row r="976" spans="1:14" hidden="1" x14ac:dyDescent="0.3">
      <c r="A976" s="16" t="s">
        <v>2932</v>
      </c>
      <c r="B976" s="16"/>
      <c r="C976" s="16"/>
      <c r="D976" s="16" t="s">
        <v>2934</v>
      </c>
      <c r="E976" s="16" t="s">
        <v>1779</v>
      </c>
      <c r="F976" s="16" t="s">
        <v>18</v>
      </c>
      <c r="G976" s="16" t="s">
        <v>555</v>
      </c>
      <c r="I976" s="16" t="s">
        <v>1770</v>
      </c>
      <c r="J976" s="16" t="s">
        <v>33</v>
      </c>
    </row>
    <row r="977" spans="1:10" hidden="1" x14ac:dyDescent="0.3">
      <c r="A977" s="16" t="s">
        <v>2932</v>
      </c>
      <c r="B977" s="16"/>
      <c r="C977" s="16"/>
      <c r="D977" s="16" t="s">
        <v>2935</v>
      </c>
      <c r="E977" s="16" t="s">
        <v>1778</v>
      </c>
      <c r="F977" s="16" t="s">
        <v>18</v>
      </c>
      <c r="G977" s="16" t="s">
        <v>555</v>
      </c>
      <c r="I977" s="16" t="s">
        <v>1770</v>
      </c>
      <c r="J977" s="16" t="s">
        <v>33</v>
      </c>
    </row>
    <row r="978" spans="1:10" hidden="1" x14ac:dyDescent="0.3">
      <c r="A978" s="16" t="s">
        <v>2936</v>
      </c>
      <c r="B978" s="16"/>
      <c r="C978" s="16"/>
      <c r="D978" s="16" t="s">
        <v>2937</v>
      </c>
      <c r="E978" s="16" t="s">
        <v>1778</v>
      </c>
      <c r="F978" s="16" t="s">
        <v>2042</v>
      </c>
      <c r="G978" s="16" t="s">
        <v>555</v>
      </c>
      <c r="J978" s="16" t="s">
        <v>33</v>
      </c>
    </row>
    <row r="979" spans="1:10" hidden="1" x14ac:dyDescent="0.3">
      <c r="A979" s="16" t="s">
        <v>2936</v>
      </c>
      <c r="B979" s="16"/>
      <c r="C979" s="16"/>
      <c r="D979" s="16" t="s">
        <v>2938</v>
      </c>
      <c r="E979" s="16" t="s">
        <v>1778</v>
      </c>
      <c r="F979" s="16" t="s">
        <v>18</v>
      </c>
      <c r="G979" s="16" t="s">
        <v>555</v>
      </c>
      <c r="I979" s="16" t="s">
        <v>1770</v>
      </c>
      <c r="J979" s="16" t="s">
        <v>33</v>
      </c>
    </row>
    <row r="980" spans="1:10" hidden="1" x14ac:dyDescent="0.3">
      <c r="A980" s="16" t="s">
        <v>2939</v>
      </c>
      <c r="B980" s="16"/>
      <c r="C980" s="16"/>
      <c r="D980" s="16" t="s">
        <v>2940</v>
      </c>
      <c r="E980" s="16" t="s">
        <v>1779</v>
      </c>
      <c r="F980" s="16" t="s">
        <v>2042</v>
      </c>
      <c r="G980" s="16" t="s">
        <v>555</v>
      </c>
      <c r="J980" s="16" t="s">
        <v>33</v>
      </c>
    </row>
    <row r="981" spans="1:10" hidden="1" x14ac:dyDescent="0.3">
      <c r="A981" s="16" t="s">
        <v>2939</v>
      </c>
      <c r="B981" s="16"/>
      <c r="C981" s="16"/>
      <c r="D981" s="16" t="s">
        <v>2940</v>
      </c>
      <c r="E981" s="16" t="s">
        <v>1915</v>
      </c>
      <c r="F981" s="16" t="s">
        <v>2042</v>
      </c>
      <c r="G981" s="16" t="s">
        <v>555</v>
      </c>
      <c r="J981" s="16" t="s">
        <v>33</v>
      </c>
    </row>
    <row r="982" spans="1:10" hidden="1" x14ac:dyDescent="0.3">
      <c r="A982" s="16" t="s">
        <v>2939</v>
      </c>
      <c r="B982" s="16"/>
      <c r="C982" s="16"/>
      <c r="D982" s="16" t="s">
        <v>2940</v>
      </c>
      <c r="E982" s="16" t="s">
        <v>1778</v>
      </c>
      <c r="F982" s="16" t="s">
        <v>2042</v>
      </c>
      <c r="G982" s="16" t="s">
        <v>555</v>
      </c>
      <c r="J982" s="16" t="s">
        <v>33</v>
      </c>
    </row>
    <row r="983" spans="1:10" hidden="1" x14ac:dyDescent="0.3">
      <c r="A983" s="16" t="s">
        <v>2939</v>
      </c>
      <c r="B983" s="16"/>
      <c r="C983" s="16"/>
      <c r="D983" s="16" t="s">
        <v>2941</v>
      </c>
      <c r="E983" s="16" t="s">
        <v>1779</v>
      </c>
      <c r="F983" s="16" t="s">
        <v>18</v>
      </c>
      <c r="G983" s="16" t="s">
        <v>555</v>
      </c>
      <c r="I983" s="16" t="s">
        <v>1770</v>
      </c>
      <c r="J983" s="16" t="s">
        <v>33</v>
      </c>
    </row>
    <row r="984" spans="1:10" hidden="1" x14ac:dyDescent="0.3">
      <c r="A984" s="16" t="s">
        <v>2939</v>
      </c>
      <c r="B984" s="16"/>
      <c r="C984" s="16"/>
      <c r="D984" s="16" t="s">
        <v>2942</v>
      </c>
      <c r="E984" s="16" t="s">
        <v>1915</v>
      </c>
      <c r="F984" s="16" t="s">
        <v>18</v>
      </c>
      <c r="G984" s="16" t="s">
        <v>555</v>
      </c>
      <c r="I984" s="16" t="s">
        <v>1770</v>
      </c>
      <c r="J984" s="16" t="s">
        <v>33</v>
      </c>
    </row>
    <row r="985" spans="1:10" hidden="1" x14ac:dyDescent="0.3">
      <c r="A985" s="16" t="s">
        <v>2939</v>
      </c>
      <c r="B985" s="16"/>
      <c r="C985" s="16"/>
      <c r="D985" s="16" t="s">
        <v>2943</v>
      </c>
      <c r="E985" s="16" t="s">
        <v>1778</v>
      </c>
      <c r="F985" s="16" t="s">
        <v>18</v>
      </c>
      <c r="G985" s="16" t="s">
        <v>555</v>
      </c>
      <c r="I985" s="16" t="s">
        <v>1770</v>
      </c>
      <c r="J985" s="16" t="s">
        <v>33</v>
      </c>
    </row>
    <row r="986" spans="1:10" hidden="1" x14ac:dyDescent="0.3">
      <c r="A986" s="16" t="s">
        <v>2944</v>
      </c>
      <c r="B986" s="16"/>
      <c r="C986" s="16"/>
      <c r="D986" s="16" t="s">
        <v>2945</v>
      </c>
      <c r="E986" s="16" t="s">
        <v>1778</v>
      </c>
      <c r="F986" s="16" t="s">
        <v>2042</v>
      </c>
      <c r="G986" s="16" t="s">
        <v>555</v>
      </c>
      <c r="J986" s="16" t="s">
        <v>33</v>
      </c>
    </row>
    <row r="987" spans="1:10" hidden="1" x14ac:dyDescent="0.3">
      <c r="A987" s="16" t="s">
        <v>2944</v>
      </c>
      <c r="B987" s="16"/>
      <c r="C987" s="16"/>
      <c r="D987" s="16" t="s">
        <v>2946</v>
      </c>
      <c r="E987" s="16" t="s">
        <v>1778</v>
      </c>
      <c r="F987" s="16" t="s">
        <v>18</v>
      </c>
      <c r="G987" s="16" t="s">
        <v>555</v>
      </c>
      <c r="I987" s="16" t="s">
        <v>1770</v>
      </c>
      <c r="J987" s="16" t="s">
        <v>33</v>
      </c>
    </row>
    <row r="988" spans="1:10" hidden="1" x14ac:dyDescent="0.3">
      <c r="A988" s="16" t="s">
        <v>2947</v>
      </c>
      <c r="B988" s="16"/>
      <c r="C988" s="16"/>
      <c r="D988" s="16" t="s">
        <v>2948</v>
      </c>
      <c r="E988" s="16" t="s">
        <v>1778</v>
      </c>
      <c r="F988" s="16" t="s">
        <v>2042</v>
      </c>
      <c r="G988" s="16" t="s">
        <v>555</v>
      </c>
      <c r="J988" s="16" t="s">
        <v>33</v>
      </c>
    </row>
    <row r="989" spans="1:10" hidden="1" x14ac:dyDescent="0.3">
      <c r="A989" s="16" t="s">
        <v>2947</v>
      </c>
      <c r="B989" s="16"/>
      <c r="C989" s="16"/>
      <c r="D989" s="16" t="s">
        <v>2949</v>
      </c>
      <c r="E989" s="16" t="s">
        <v>1778</v>
      </c>
      <c r="F989" s="16" t="s">
        <v>18</v>
      </c>
      <c r="G989" s="16" t="s">
        <v>555</v>
      </c>
      <c r="I989" s="16" t="s">
        <v>1770</v>
      </c>
      <c r="J989" s="16" t="s">
        <v>33</v>
      </c>
    </row>
    <row r="990" spans="1:10" hidden="1" x14ac:dyDescent="0.3">
      <c r="A990" s="16" t="s">
        <v>2950</v>
      </c>
      <c r="B990" s="16"/>
      <c r="C990" s="16"/>
      <c r="D990" s="16" t="s">
        <v>2951</v>
      </c>
      <c r="E990" s="16" t="s">
        <v>1778</v>
      </c>
      <c r="F990" s="16" t="s">
        <v>2042</v>
      </c>
      <c r="G990" s="16" t="s">
        <v>555</v>
      </c>
      <c r="J990" s="16" t="s">
        <v>33</v>
      </c>
    </row>
    <row r="991" spans="1:10" hidden="1" x14ac:dyDescent="0.3">
      <c r="A991" s="16" t="s">
        <v>2950</v>
      </c>
      <c r="B991" s="16"/>
      <c r="C991" s="16"/>
      <c r="D991" s="16" t="s">
        <v>2952</v>
      </c>
      <c r="E991" s="16" t="s">
        <v>1778</v>
      </c>
      <c r="F991" s="16" t="s">
        <v>18</v>
      </c>
      <c r="G991" s="16" t="s">
        <v>555</v>
      </c>
      <c r="I991" s="16" t="s">
        <v>1770</v>
      </c>
      <c r="J991" s="16" t="s">
        <v>33</v>
      </c>
    </row>
    <row r="992" spans="1:10" hidden="1" x14ac:dyDescent="0.3">
      <c r="A992" s="16" t="s">
        <v>2953</v>
      </c>
      <c r="B992" s="16"/>
      <c r="C992" s="16"/>
      <c r="D992" s="16" t="s">
        <v>2954</v>
      </c>
      <c r="E992" s="16" t="s">
        <v>1778</v>
      </c>
      <c r="F992" s="16" t="s">
        <v>2042</v>
      </c>
      <c r="G992" s="16" t="s">
        <v>555</v>
      </c>
      <c r="J992" s="16" t="s">
        <v>33</v>
      </c>
    </row>
    <row r="993" spans="1:10" hidden="1" x14ac:dyDescent="0.3">
      <c r="A993" s="16" t="s">
        <v>2953</v>
      </c>
      <c r="B993" s="16"/>
      <c r="C993" s="16"/>
      <c r="D993" s="16" t="s">
        <v>2955</v>
      </c>
      <c r="E993" s="16" t="s">
        <v>1778</v>
      </c>
      <c r="F993" s="16" t="s">
        <v>18</v>
      </c>
      <c r="G993" s="16" t="s">
        <v>555</v>
      </c>
      <c r="I993" s="16" t="s">
        <v>1770</v>
      </c>
      <c r="J993" s="16" t="s">
        <v>33</v>
      </c>
    </row>
    <row r="994" spans="1:10" hidden="1" x14ac:dyDescent="0.3">
      <c r="A994" s="16" t="s">
        <v>2956</v>
      </c>
      <c r="B994" s="16"/>
      <c r="C994" s="16"/>
      <c r="D994" s="16" t="s">
        <v>2957</v>
      </c>
      <c r="E994" s="16" t="s">
        <v>1778</v>
      </c>
      <c r="F994" s="16" t="s">
        <v>2042</v>
      </c>
      <c r="G994" s="16" t="s">
        <v>555</v>
      </c>
      <c r="J994" s="16" t="s">
        <v>33</v>
      </c>
    </row>
    <row r="995" spans="1:10" hidden="1" x14ac:dyDescent="0.3">
      <c r="A995" s="16" t="s">
        <v>2956</v>
      </c>
      <c r="B995" s="16"/>
      <c r="C995" s="16"/>
      <c r="D995" s="16" t="s">
        <v>2958</v>
      </c>
      <c r="E995" s="16" t="s">
        <v>1778</v>
      </c>
      <c r="F995" s="16" t="s">
        <v>18</v>
      </c>
      <c r="G995" s="16" t="s">
        <v>555</v>
      </c>
      <c r="I995" s="16" t="s">
        <v>1770</v>
      </c>
      <c r="J995" s="16" t="s">
        <v>33</v>
      </c>
    </row>
    <row r="996" spans="1:10" hidden="1" x14ac:dyDescent="0.3">
      <c r="A996" s="16" t="s">
        <v>2959</v>
      </c>
      <c r="B996" s="16"/>
      <c r="C996" s="16"/>
      <c r="D996" s="16" t="s">
        <v>2960</v>
      </c>
      <c r="E996" s="16" t="s">
        <v>1778</v>
      </c>
      <c r="F996" s="16" t="s">
        <v>2042</v>
      </c>
      <c r="G996" s="16" t="s">
        <v>555</v>
      </c>
      <c r="J996" s="16" t="s">
        <v>33</v>
      </c>
    </row>
    <row r="997" spans="1:10" hidden="1" x14ac:dyDescent="0.3">
      <c r="A997" s="16" t="s">
        <v>2959</v>
      </c>
      <c r="B997" s="16"/>
      <c r="C997" s="16"/>
      <c r="D997" s="16" t="s">
        <v>2961</v>
      </c>
      <c r="E997" s="16" t="s">
        <v>1778</v>
      </c>
      <c r="F997" s="16" t="s">
        <v>18</v>
      </c>
      <c r="G997" s="16" t="s">
        <v>555</v>
      </c>
      <c r="I997" s="16" t="s">
        <v>1770</v>
      </c>
      <c r="J997" s="16" t="s">
        <v>33</v>
      </c>
    </row>
    <row r="998" spans="1:10" hidden="1" x14ac:dyDescent="0.3">
      <c r="A998" s="16" t="s">
        <v>2962</v>
      </c>
      <c r="B998" s="16"/>
      <c r="C998" s="16"/>
      <c r="D998" s="16" t="s">
        <v>2963</v>
      </c>
      <c r="E998" s="16" t="s">
        <v>1778</v>
      </c>
      <c r="F998" s="16" t="s">
        <v>2042</v>
      </c>
      <c r="G998" s="16" t="s">
        <v>555</v>
      </c>
      <c r="J998" s="16" t="s">
        <v>33</v>
      </c>
    </row>
    <row r="999" spans="1:10" hidden="1" x14ac:dyDescent="0.3">
      <c r="A999" s="16" t="s">
        <v>2962</v>
      </c>
      <c r="B999" s="16"/>
      <c r="C999" s="16"/>
      <c r="D999" s="16" t="s">
        <v>2964</v>
      </c>
      <c r="E999" s="16" t="s">
        <v>1778</v>
      </c>
      <c r="F999" s="16" t="s">
        <v>18</v>
      </c>
      <c r="G999" s="16" t="s">
        <v>555</v>
      </c>
      <c r="I999" s="16" t="s">
        <v>1770</v>
      </c>
      <c r="J999" s="16" t="s">
        <v>33</v>
      </c>
    </row>
    <row r="1000" spans="1:10" hidden="1" x14ac:dyDescent="0.3">
      <c r="A1000" s="16" t="s">
        <v>2965</v>
      </c>
      <c r="B1000" s="16"/>
      <c r="C1000" s="16"/>
      <c r="D1000" s="16" t="s">
        <v>2966</v>
      </c>
      <c r="E1000" s="16" t="s">
        <v>1778</v>
      </c>
      <c r="F1000" s="16" t="s">
        <v>2042</v>
      </c>
      <c r="G1000" s="16" t="s">
        <v>555</v>
      </c>
      <c r="J1000" s="16" t="s">
        <v>33</v>
      </c>
    </row>
    <row r="1001" spans="1:10" hidden="1" x14ac:dyDescent="0.3">
      <c r="A1001" s="16" t="s">
        <v>2965</v>
      </c>
      <c r="B1001" s="16"/>
      <c r="C1001" s="16"/>
      <c r="D1001" s="16" t="s">
        <v>2967</v>
      </c>
      <c r="E1001" s="16" t="s">
        <v>1778</v>
      </c>
      <c r="F1001" s="16" t="s">
        <v>18</v>
      </c>
      <c r="G1001" s="16" t="s">
        <v>555</v>
      </c>
      <c r="I1001" s="16" t="s">
        <v>1770</v>
      </c>
      <c r="J1001" s="16" t="s">
        <v>33</v>
      </c>
    </row>
    <row r="1002" spans="1:10" hidden="1" x14ac:dyDescent="0.3">
      <c r="A1002" s="16" t="s">
        <v>2968</v>
      </c>
      <c r="B1002" s="16"/>
      <c r="C1002" s="16"/>
      <c r="D1002" s="16" t="s">
        <v>2969</v>
      </c>
      <c r="E1002" s="16" t="s">
        <v>1778</v>
      </c>
      <c r="F1002" s="16" t="s">
        <v>2042</v>
      </c>
      <c r="G1002" s="16" t="s">
        <v>555</v>
      </c>
      <c r="J1002" s="16" t="s">
        <v>33</v>
      </c>
    </row>
    <row r="1003" spans="1:10" hidden="1" x14ac:dyDescent="0.3">
      <c r="A1003" s="16" t="s">
        <v>2968</v>
      </c>
      <c r="B1003" s="16"/>
      <c r="C1003" s="16"/>
      <c r="D1003" s="16" t="s">
        <v>2970</v>
      </c>
      <c r="E1003" s="16" t="s">
        <v>1778</v>
      </c>
      <c r="F1003" s="16" t="s">
        <v>18</v>
      </c>
      <c r="G1003" s="16" t="s">
        <v>555</v>
      </c>
      <c r="I1003" s="16" t="s">
        <v>1770</v>
      </c>
      <c r="J1003" s="16" t="s">
        <v>33</v>
      </c>
    </row>
    <row r="1004" spans="1:10" hidden="1" x14ac:dyDescent="0.3">
      <c r="A1004" s="16" t="s">
        <v>2971</v>
      </c>
      <c r="B1004" s="16"/>
      <c r="C1004" s="16"/>
      <c r="D1004" s="16" t="s">
        <v>2972</v>
      </c>
      <c r="E1004" s="16" t="s">
        <v>1778</v>
      </c>
      <c r="F1004" s="16" t="s">
        <v>2042</v>
      </c>
      <c r="G1004" s="16" t="s">
        <v>555</v>
      </c>
      <c r="J1004" s="16" t="s">
        <v>33</v>
      </c>
    </row>
    <row r="1005" spans="1:10" hidden="1" x14ac:dyDescent="0.3">
      <c r="A1005" s="16" t="s">
        <v>2971</v>
      </c>
      <c r="B1005" s="16"/>
      <c r="C1005" s="16"/>
      <c r="D1005" s="16" t="s">
        <v>2973</v>
      </c>
      <c r="E1005" s="16" t="s">
        <v>1778</v>
      </c>
      <c r="F1005" s="16" t="s">
        <v>18</v>
      </c>
      <c r="G1005" s="16" t="s">
        <v>555</v>
      </c>
      <c r="I1005" s="16" t="s">
        <v>1770</v>
      </c>
      <c r="J1005" s="16" t="s">
        <v>33</v>
      </c>
    </row>
    <row r="1006" spans="1:10" hidden="1" x14ac:dyDescent="0.3">
      <c r="A1006" s="16" t="s">
        <v>2974</v>
      </c>
      <c r="B1006" s="16"/>
      <c r="C1006" s="16"/>
      <c r="D1006" s="16" t="s">
        <v>2975</v>
      </c>
      <c r="E1006" s="16" t="s">
        <v>1778</v>
      </c>
      <c r="F1006" s="16" t="s">
        <v>2042</v>
      </c>
      <c r="G1006" s="16" t="s">
        <v>555</v>
      </c>
      <c r="J1006" s="16" t="s">
        <v>33</v>
      </c>
    </row>
    <row r="1007" spans="1:10" hidden="1" x14ac:dyDescent="0.3">
      <c r="A1007" s="16" t="s">
        <v>2974</v>
      </c>
      <c r="B1007" s="16"/>
      <c r="C1007" s="16"/>
      <c r="D1007" s="16" t="s">
        <v>2976</v>
      </c>
      <c r="E1007" s="16" t="s">
        <v>1778</v>
      </c>
      <c r="F1007" s="16" t="s">
        <v>18</v>
      </c>
      <c r="G1007" s="16" t="s">
        <v>555</v>
      </c>
      <c r="I1007" s="16" t="s">
        <v>1770</v>
      </c>
      <c r="J1007" s="16" t="s">
        <v>33</v>
      </c>
    </row>
    <row r="1008" spans="1:10" hidden="1" x14ac:dyDescent="0.3">
      <c r="A1008" s="16" t="s">
        <v>2977</v>
      </c>
      <c r="B1008" s="16"/>
      <c r="C1008" s="16"/>
      <c r="D1008" s="16" t="s">
        <v>2978</v>
      </c>
      <c r="E1008" s="16" t="s">
        <v>1778</v>
      </c>
      <c r="F1008" s="16" t="s">
        <v>2042</v>
      </c>
      <c r="G1008" s="16" t="s">
        <v>555</v>
      </c>
      <c r="J1008" s="16" t="s">
        <v>33</v>
      </c>
    </row>
    <row r="1009" spans="1:12" hidden="1" x14ac:dyDescent="0.3">
      <c r="A1009" s="16" t="s">
        <v>2977</v>
      </c>
      <c r="B1009" s="16"/>
      <c r="C1009" s="16"/>
      <c r="D1009" s="16" t="s">
        <v>2979</v>
      </c>
      <c r="E1009" s="16" t="s">
        <v>1778</v>
      </c>
      <c r="F1009" s="16" t="s">
        <v>18</v>
      </c>
      <c r="G1009" s="16" t="s">
        <v>555</v>
      </c>
      <c r="I1009" s="16" t="s">
        <v>1770</v>
      </c>
      <c r="J1009" s="16" t="s">
        <v>33</v>
      </c>
    </row>
    <row r="1010" spans="1:12" hidden="1" x14ac:dyDescent="0.3">
      <c r="A1010" s="16" t="s">
        <v>2980</v>
      </c>
      <c r="B1010" s="16"/>
      <c r="C1010" s="16"/>
      <c r="D1010" s="16" t="s">
        <v>2981</v>
      </c>
      <c r="E1010" s="16" t="s">
        <v>1778</v>
      </c>
      <c r="F1010" s="16" t="s">
        <v>2042</v>
      </c>
      <c r="G1010" s="16" t="s">
        <v>555</v>
      </c>
      <c r="J1010" s="16" t="s">
        <v>33</v>
      </c>
    </row>
    <row r="1011" spans="1:12" hidden="1" x14ac:dyDescent="0.3">
      <c r="A1011" s="16" t="s">
        <v>2980</v>
      </c>
      <c r="B1011" s="16"/>
      <c r="C1011" s="16"/>
      <c r="D1011" s="16" t="s">
        <v>2982</v>
      </c>
      <c r="E1011" s="16" t="s">
        <v>1778</v>
      </c>
      <c r="F1011" s="16" t="s">
        <v>18</v>
      </c>
      <c r="G1011" s="16" t="s">
        <v>555</v>
      </c>
      <c r="I1011" s="16" t="s">
        <v>1770</v>
      </c>
      <c r="J1011" s="16" t="s">
        <v>33</v>
      </c>
    </row>
    <row r="1012" spans="1:12" hidden="1" x14ac:dyDescent="0.3">
      <c r="A1012" s="16" t="s">
        <v>2983</v>
      </c>
      <c r="B1012" s="16"/>
      <c r="C1012" s="16"/>
      <c r="D1012" s="16" t="s">
        <v>2984</v>
      </c>
      <c r="E1012" s="16" t="s">
        <v>1778</v>
      </c>
      <c r="F1012" s="16" t="s">
        <v>2042</v>
      </c>
      <c r="G1012" s="16" t="s">
        <v>555</v>
      </c>
      <c r="J1012" s="16" t="s">
        <v>33</v>
      </c>
    </row>
    <row r="1013" spans="1:12" hidden="1" x14ac:dyDescent="0.3">
      <c r="A1013" s="16" t="s">
        <v>2983</v>
      </c>
      <c r="B1013" s="16"/>
      <c r="C1013" s="16"/>
      <c r="D1013" s="16" t="s">
        <v>2985</v>
      </c>
      <c r="E1013" s="16" t="s">
        <v>1778</v>
      </c>
      <c r="F1013" s="16" t="s">
        <v>18</v>
      </c>
      <c r="G1013" s="16" t="s">
        <v>555</v>
      </c>
      <c r="I1013" s="16" t="s">
        <v>1770</v>
      </c>
      <c r="J1013" s="16" t="s">
        <v>33</v>
      </c>
    </row>
    <row r="1014" spans="1:12" hidden="1" x14ac:dyDescent="0.3">
      <c r="A1014" s="16" t="s">
        <v>2986</v>
      </c>
      <c r="B1014" s="16"/>
      <c r="C1014" s="16"/>
      <c r="D1014" s="16" t="s">
        <v>2987</v>
      </c>
      <c r="E1014" s="16" t="s">
        <v>1778</v>
      </c>
      <c r="F1014" s="16" t="s">
        <v>2042</v>
      </c>
      <c r="G1014" s="16" t="s">
        <v>555</v>
      </c>
      <c r="J1014" s="16" t="s">
        <v>33</v>
      </c>
    </row>
    <row r="1015" spans="1:12" hidden="1" x14ac:dyDescent="0.3">
      <c r="A1015" s="16" t="s">
        <v>2986</v>
      </c>
      <c r="B1015" s="16"/>
      <c r="C1015" s="16"/>
      <c r="D1015" s="16" t="s">
        <v>2988</v>
      </c>
      <c r="E1015" s="16" t="s">
        <v>1778</v>
      </c>
      <c r="F1015" s="16" t="s">
        <v>18</v>
      </c>
      <c r="G1015" s="16" t="s">
        <v>555</v>
      </c>
      <c r="I1015" s="16" t="s">
        <v>1770</v>
      </c>
      <c r="J1015" s="16" t="s">
        <v>33</v>
      </c>
    </row>
    <row r="1016" spans="1:12" hidden="1" x14ac:dyDescent="0.3">
      <c r="A1016" s="16" t="s">
        <v>2989</v>
      </c>
      <c r="B1016" s="16"/>
      <c r="C1016" s="16"/>
      <c r="D1016" s="16" t="s">
        <v>2990</v>
      </c>
      <c r="E1016" s="16" t="s">
        <v>1778</v>
      </c>
      <c r="F1016" s="16" t="s">
        <v>2042</v>
      </c>
      <c r="G1016" s="16" t="s">
        <v>555</v>
      </c>
      <c r="J1016" s="16" t="s">
        <v>33</v>
      </c>
    </row>
    <row r="1017" spans="1:12" hidden="1" x14ac:dyDescent="0.3">
      <c r="A1017" s="16" t="s">
        <v>2989</v>
      </c>
      <c r="B1017" s="16"/>
      <c r="C1017" s="16"/>
      <c r="D1017" s="16" t="s">
        <v>2991</v>
      </c>
      <c r="E1017" s="16" t="s">
        <v>1778</v>
      </c>
      <c r="F1017" s="16" t="s">
        <v>18</v>
      </c>
      <c r="G1017" s="16" t="s">
        <v>555</v>
      </c>
      <c r="I1017" s="16" t="s">
        <v>1770</v>
      </c>
      <c r="J1017" s="16" t="s">
        <v>33</v>
      </c>
    </row>
    <row r="1018" spans="1:12" hidden="1" x14ac:dyDescent="0.3">
      <c r="A1018" s="16" t="s">
        <v>2992</v>
      </c>
      <c r="B1018" s="16"/>
      <c r="C1018" s="16"/>
      <c r="D1018" s="16" t="s">
        <v>2993</v>
      </c>
      <c r="E1018" s="16" t="s">
        <v>1778</v>
      </c>
      <c r="F1018" s="16" t="s">
        <v>2042</v>
      </c>
      <c r="G1018" s="16" t="s">
        <v>555</v>
      </c>
      <c r="J1018" s="16" t="s">
        <v>33</v>
      </c>
    </row>
    <row r="1019" spans="1:12" hidden="1" x14ac:dyDescent="0.3">
      <c r="A1019" s="16" t="s">
        <v>2992</v>
      </c>
      <c r="B1019" s="16"/>
      <c r="C1019" s="16"/>
      <c r="D1019" s="16" t="s">
        <v>2994</v>
      </c>
      <c r="E1019" s="16" t="s">
        <v>1778</v>
      </c>
      <c r="F1019" s="16" t="s">
        <v>18</v>
      </c>
      <c r="G1019" s="16" t="s">
        <v>555</v>
      </c>
      <c r="I1019" s="16" t="s">
        <v>1770</v>
      </c>
      <c r="J1019" s="16" t="s">
        <v>33</v>
      </c>
    </row>
    <row r="1020" spans="1:12" hidden="1" x14ac:dyDescent="0.3">
      <c r="A1020" s="16" t="s">
        <v>2995</v>
      </c>
      <c r="B1020" s="16"/>
      <c r="C1020" s="16"/>
      <c r="D1020" s="16" t="s">
        <v>2996</v>
      </c>
      <c r="E1020" s="16" t="s">
        <v>1779</v>
      </c>
      <c r="F1020" s="16" t="s">
        <v>388</v>
      </c>
      <c r="G1020" s="16" t="s">
        <v>539</v>
      </c>
      <c r="J1020" s="16" t="s">
        <v>33</v>
      </c>
      <c r="L1020" s="16" t="s">
        <v>32</v>
      </c>
    </row>
    <row r="1021" spans="1:12" hidden="1" x14ac:dyDescent="0.3">
      <c r="A1021" s="16" t="s">
        <v>169</v>
      </c>
      <c r="B1021" s="16"/>
      <c r="C1021" s="16"/>
      <c r="D1021" s="16" t="s">
        <v>170</v>
      </c>
      <c r="E1021" s="16" t="s">
        <v>1779</v>
      </c>
      <c r="F1021" s="16" t="s">
        <v>388</v>
      </c>
      <c r="G1021" s="16" t="s">
        <v>539</v>
      </c>
      <c r="J1021" s="16" t="s">
        <v>33</v>
      </c>
      <c r="L1021" s="16" t="s">
        <v>1988</v>
      </c>
    </row>
    <row r="1022" spans="1:12" hidden="1" x14ac:dyDescent="0.3">
      <c r="A1022" s="16" t="s">
        <v>2997</v>
      </c>
      <c r="B1022" s="16"/>
      <c r="C1022" s="16"/>
      <c r="D1022" s="16" t="s">
        <v>2998</v>
      </c>
      <c r="E1022" s="16" t="s">
        <v>1915</v>
      </c>
      <c r="F1022" s="16" t="s">
        <v>388</v>
      </c>
      <c r="G1022" s="16" t="s">
        <v>539</v>
      </c>
      <c r="J1022" s="16" t="s">
        <v>33</v>
      </c>
      <c r="L1022" s="16" t="s">
        <v>32</v>
      </c>
    </row>
    <row r="1023" spans="1:12" hidden="1" x14ac:dyDescent="0.3">
      <c r="A1023" s="16" t="s">
        <v>2999</v>
      </c>
      <c r="B1023" s="16"/>
      <c r="C1023" s="16"/>
      <c r="D1023" s="16" t="s">
        <v>3000</v>
      </c>
      <c r="E1023" s="16" t="s">
        <v>1779</v>
      </c>
      <c r="F1023" s="16" t="s">
        <v>388</v>
      </c>
      <c r="G1023" s="16" t="s">
        <v>1885</v>
      </c>
      <c r="J1023" s="16" t="s">
        <v>33</v>
      </c>
    </row>
    <row r="1024" spans="1:12" hidden="1" x14ac:dyDescent="0.3">
      <c r="A1024" s="16" t="s">
        <v>1162</v>
      </c>
      <c r="B1024" s="16"/>
      <c r="C1024" s="16"/>
      <c r="D1024" s="16" t="s">
        <v>1163</v>
      </c>
      <c r="E1024" s="16" t="s">
        <v>3001</v>
      </c>
      <c r="F1024" s="16" t="s">
        <v>18</v>
      </c>
      <c r="G1024" s="16" t="s">
        <v>539</v>
      </c>
      <c r="I1024" s="16" t="s">
        <v>1103</v>
      </c>
      <c r="J1024" s="16" t="s">
        <v>33</v>
      </c>
    </row>
    <row r="1025" spans="1:13" hidden="1" x14ac:dyDescent="0.3">
      <c r="A1025" s="16" t="s">
        <v>1164</v>
      </c>
      <c r="B1025" s="16"/>
      <c r="C1025" s="16"/>
      <c r="D1025" s="16" t="s">
        <v>1165</v>
      </c>
      <c r="E1025" s="16" t="s">
        <v>3001</v>
      </c>
      <c r="F1025" s="16" t="s">
        <v>18</v>
      </c>
      <c r="G1025" s="16" t="s">
        <v>588</v>
      </c>
      <c r="I1025" s="16" t="s">
        <v>1103</v>
      </c>
      <c r="J1025" s="16" t="s">
        <v>33</v>
      </c>
    </row>
    <row r="1026" spans="1:13" hidden="1" x14ac:dyDescent="0.3">
      <c r="A1026" s="16" t="s">
        <v>1164</v>
      </c>
      <c r="B1026" s="16"/>
      <c r="C1026" s="16"/>
      <c r="D1026" s="16" t="s">
        <v>3002</v>
      </c>
      <c r="E1026" s="16" t="s">
        <v>1915</v>
      </c>
      <c r="F1026" s="16" t="s">
        <v>133</v>
      </c>
      <c r="G1026" s="16" t="s">
        <v>539</v>
      </c>
      <c r="J1026" s="16" t="s">
        <v>33</v>
      </c>
    </row>
    <row r="1027" spans="1:13" hidden="1" x14ac:dyDescent="0.3">
      <c r="A1027" s="16" t="s">
        <v>3003</v>
      </c>
      <c r="B1027" s="16"/>
      <c r="C1027" s="16"/>
      <c r="D1027" s="16" t="s">
        <v>3004</v>
      </c>
      <c r="E1027" s="16" t="s">
        <v>1779</v>
      </c>
      <c r="F1027" s="16" t="s">
        <v>133</v>
      </c>
      <c r="G1027" s="16" t="s">
        <v>539</v>
      </c>
      <c r="J1027" s="16" t="s">
        <v>33</v>
      </c>
    </row>
    <row r="1028" spans="1:13" hidden="1" x14ac:dyDescent="0.3">
      <c r="A1028" s="16" t="s">
        <v>3005</v>
      </c>
      <c r="B1028" s="16"/>
      <c r="C1028" s="16"/>
      <c r="D1028" s="16" t="s">
        <v>3006</v>
      </c>
      <c r="E1028" s="16" t="s">
        <v>1915</v>
      </c>
      <c r="F1028" s="16" t="s">
        <v>133</v>
      </c>
      <c r="G1028" s="16" t="s">
        <v>539</v>
      </c>
      <c r="J1028" s="16" t="s">
        <v>33</v>
      </c>
    </row>
    <row r="1029" spans="1:13" hidden="1" x14ac:dyDescent="0.3">
      <c r="A1029" s="16" t="s">
        <v>3007</v>
      </c>
      <c r="B1029" s="16"/>
      <c r="C1029" s="16"/>
      <c r="D1029" s="16" t="s">
        <v>3008</v>
      </c>
      <c r="E1029" s="16" t="s">
        <v>1779</v>
      </c>
      <c r="F1029" s="16" t="s">
        <v>133</v>
      </c>
      <c r="G1029" s="16" t="s">
        <v>661</v>
      </c>
      <c r="I1029" s="16" t="s">
        <v>662</v>
      </c>
      <c r="J1029" s="16" t="s">
        <v>33</v>
      </c>
    </row>
    <row r="1030" spans="1:13" hidden="1" x14ac:dyDescent="0.3">
      <c r="A1030" s="16" t="s">
        <v>3009</v>
      </c>
      <c r="B1030" s="16"/>
      <c r="C1030" s="16"/>
      <c r="D1030" s="16" t="s">
        <v>3010</v>
      </c>
      <c r="E1030" s="16" t="s">
        <v>1808</v>
      </c>
      <c r="F1030" s="16" t="s">
        <v>133</v>
      </c>
      <c r="G1030" s="16" t="s">
        <v>539</v>
      </c>
      <c r="J1030" s="16" t="s">
        <v>33</v>
      </c>
    </row>
    <row r="1031" spans="1:13" hidden="1" x14ac:dyDescent="0.3">
      <c r="A1031" s="16" t="s">
        <v>3011</v>
      </c>
      <c r="B1031" s="16"/>
      <c r="C1031" s="16"/>
      <c r="D1031" s="16" t="s">
        <v>3012</v>
      </c>
      <c r="E1031" s="16" t="s">
        <v>1779</v>
      </c>
      <c r="F1031" s="16" t="s">
        <v>133</v>
      </c>
      <c r="G1031" s="16" t="s">
        <v>661</v>
      </c>
      <c r="J1031" s="16" t="s">
        <v>33</v>
      </c>
    </row>
    <row r="1032" spans="1:13" hidden="1" x14ac:dyDescent="0.3">
      <c r="A1032" s="16" t="s">
        <v>1180</v>
      </c>
      <c r="B1032" s="16"/>
      <c r="C1032" s="16"/>
      <c r="D1032" s="16" t="s">
        <v>1181</v>
      </c>
      <c r="E1032" s="16" t="s">
        <v>1777</v>
      </c>
      <c r="F1032" s="16" t="s">
        <v>18</v>
      </c>
      <c r="G1032" s="16" t="s">
        <v>539</v>
      </c>
      <c r="I1032" s="16" t="s">
        <v>1103</v>
      </c>
      <c r="J1032" s="16" t="s">
        <v>33</v>
      </c>
      <c r="K1032" s="16" t="s">
        <v>33</v>
      </c>
    </row>
    <row r="1033" spans="1:13" hidden="1" x14ac:dyDescent="0.3">
      <c r="A1033" s="16" t="s">
        <v>1182</v>
      </c>
      <c r="B1033" s="16"/>
      <c r="C1033" s="16"/>
      <c r="D1033" s="16" t="s">
        <v>1183</v>
      </c>
      <c r="E1033" s="16" t="s">
        <v>1777</v>
      </c>
      <c r="F1033" s="16" t="s">
        <v>18</v>
      </c>
      <c r="G1033" s="16" t="s">
        <v>539</v>
      </c>
      <c r="I1033" s="16" t="s">
        <v>1127</v>
      </c>
      <c r="J1033" s="16" t="s">
        <v>33</v>
      </c>
    </row>
    <row r="1034" spans="1:13" hidden="1" x14ac:dyDescent="0.3">
      <c r="A1034" s="16" t="s">
        <v>3013</v>
      </c>
      <c r="B1034" s="16"/>
      <c r="C1034" s="16"/>
      <c r="D1034" s="16" t="s">
        <v>3014</v>
      </c>
      <c r="E1034" s="16" t="s">
        <v>1777</v>
      </c>
      <c r="F1034" s="16" t="s">
        <v>388</v>
      </c>
      <c r="G1034" s="16" t="s">
        <v>539</v>
      </c>
      <c r="J1034" s="16" t="s">
        <v>33</v>
      </c>
      <c r="L1034" s="16" t="s">
        <v>32</v>
      </c>
      <c r="M1034" s="16" t="s">
        <v>3015</v>
      </c>
    </row>
    <row r="1035" spans="1:13" hidden="1" x14ac:dyDescent="0.3">
      <c r="A1035" s="16" t="s">
        <v>3016</v>
      </c>
      <c r="B1035" s="16"/>
      <c r="C1035" s="16"/>
      <c r="D1035" s="16" t="s">
        <v>3017</v>
      </c>
      <c r="E1035" s="16" t="s">
        <v>1779</v>
      </c>
      <c r="F1035" s="16" t="s">
        <v>388</v>
      </c>
      <c r="G1035" s="16" t="s">
        <v>539</v>
      </c>
      <c r="J1035" s="16" t="s">
        <v>33</v>
      </c>
      <c r="L1035" s="16" t="s">
        <v>32</v>
      </c>
    </row>
    <row r="1036" spans="1:13" hidden="1" x14ac:dyDescent="0.3">
      <c r="A1036" s="16" t="s">
        <v>3016</v>
      </c>
      <c r="B1036" s="16"/>
      <c r="C1036" s="16"/>
      <c r="D1036" s="16" t="s">
        <v>3017</v>
      </c>
      <c r="E1036" s="16" t="s">
        <v>1777</v>
      </c>
      <c r="F1036" s="16" t="s">
        <v>388</v>
      </c>
      <c r="G1036" s="16" t="s">
        <v>539</v>
      </c>
      <c r="J1036" s="16" t="s">
        <v>33</v>
      </c>
      <c r="L1036" s="16" t="s">
        <v>32</v>
      </c>
    </row>
    <row r="1037" spans="1:13" hidden="1" x14ac:dyDescent="0.3">
      <c r="A1037" s="16" t="s">
        <v>3018</v>
      </c>
      <c r="B1037" s="16"/>
      <c r="C1037" s="16"/>
      <c r="D1037" s="16" t="s">
        <v>3019</v>
      </c>
      <c r="E1037" s="16" t="s">
        <v>1808</v>
      </c>
      <c r="F1037" s="16" t="s">
        <v>133</v>
      </c>
      <c r="G1037" s="16" t="s">
        <v>539</v>
      </c>
      <c r="J1037" s="16" t="s">
        <v>33</v>
      </c>
    </row>
    <row r="1038" spans="1:13" hidden="1" x14ac:dyDescent="0.3">
      <c r="A1038" s="16" t="s">
        <v>3018</v>
      </c>
      <c r="B1038" s="16"/>
      <c r="C1038" s="16"/>
      <c r="D1038" s="16" t="s">
        <v>3020</v>
      </c>
      <c r="E1038" s="16" t="s">
        <v>1804</v>
      </c>
      <c r="F1038" s="16" t="s">
        <v>18</v>
      </c>
      <c r="G1038" s="16" t="s">
        <v>539</v>
      </c>
      <c r="I1038" s="16" t="s">
        <v>1770</v>
      </c>
      <c r="J1038" s="16" t="s">
        <v>33</v>
      </c>
    </row>
    <row r="1039" spans="1:13" hidden="1" x14ac:dyDescent="0.3">
      <c r="A1039" s="16" t="s">
        <v>3021</v>
      </c>
      <c r="B1039" s="16"/>
      <c r="C1039" s="16"/>
      <c r="D1039" s="16" t="s">
        <v>3022</v>
      </c>
      <c r="E1039" s="16" t="s">
        <v>1779</v>
      </c>
      <c r="F1039" s="16" t="s">
        <v>133</v>
      </c>
      <c r="G1039" s="16" t="s">
        <v>255</v>
      </c>
      <c r="J1039" s="16" t="s">
        <v>33</v>
      </c>
    </row>
    <row r="1040" spans="1:13" hidden="1" x14ac:dyDescent="0.3">
      <c r="A1040" s="16" t="s">
        <v>1666</v>
      </c>
      <c r="B1040" s="16"/>
      <c r="C1040" s="16"/>
      <c r="D1040" s="16" t="s">
        <v>426</v>
      </c>
      <c r="E1040" s="16" t="s">
        <v>1777</v>
      </c>
      <c r="F1040" s="16" t="s">
        <v>18</v>
      </c>
      <c r="G1040" s="16" t="s">
        <v>588</v>
      </c>
      <c r="I1040" s="16" t="s">
        <v>1127</v>
      </c>
      <c r="J1040" s="16" t="s">
        <v>33</v>
      </c>
    </row>
    <row r="1041" spans="1:12" hidden="1" x14ac:dyDescent="0.3">
      <c r="A1041" s="16" t="s">
        <v>1678</v>
      </c>
      <c r="B1041" s="16"/>
      <c r="C1041" s="16"/>
      <c r="D1041" s="16" t="s">
        <v>1679</v>
      </c>
      <c r="E1041" s="16" t="s">
        <v>1778</v>
      </c>
      <c r="F1041" s="16" t="s">
        <v>18</v>
      </c>
      <c r="G1041" s="16" t="s">
        <v>588</v>
      </c>
      <c r="I1041" s="16" t="s">
        <v>1127</v>
      </c>
      <c r="J1041" s="16" t="s">
        <v>33</v>
      </c>
    </row>
    <row r="1042" spans="1:12" hidden="1" x14ac:dyDescent="0.3">
      <c r="A1042" s="16" t="s">
        <v>3023</v>
      </c>
      <c r="B1042" s="16"/>
      <c r="C1042" s="16"/>
      <c r="D1042" s="16" t="s">
        <v>3024</v>
      </c>
      <c r="E1042" s="16" t="s">
        <v>1808</v>
      </c>
      <c r="F1042" s="16" t="s">
        <v>133</v>
      </c>
      <c r="G1042" s="16" t="s">
        <v>588</v>
      </c>
      <c r="J1042" s="16" t="s">
        <v>33</v>
      </c>
    </row>
    <row r="1043" spans="1:12" hidden="1" x14ac:dyDescent="0.3">
      <c r="A1043" s="16" t="s">
        <v>3023</v>
      </c>
      <c r="B1043" s="16"/>
      <c r="C1043" s="16"/>
      <c r="D1043" s="16" t="s">
        <v>3025</v>
      </c>
      <c r="E1043" s="16" t="s">
        <v>1804</v>
      </c>
      <c r="F1043" s="16" t="s">
        <v>18</v>
      </c>
      <c r="G1043" s="16" t="s">
        <v>588</v>
      </c>
      <c r="I1043" s="16" t="s">
        <v>1770</v>
      </c>
      <c r="J1043" s="16" t="s">
        <v>33</v>
      </c>
    </row>
    <row r="1044" spans="1:12" hidden="1" x14ac:dyDescent="0.3">
      <c r="A1044" s="16" t="s">
        <v>3026</v>
      </c>
      <c r="B1044" s="16"/>
      <c r="C1044" s="16"/>
      <c r="D1044" s="16" t="s">
        <v>3027</v>
      </c>
      <c r="E1044" s="16" t="s">
        <v>1777</v>
      </c>
      <c r="F1044" s="16" t="s">
        <v>133</v>
      </c>
      <c r="G1044" s="16" t="s">
        <v>539</v>
      </c>
      <c r="J1044" s="16" t="s">
        <v>33</v>
      </c>
    </row>
    <row r="1045" spans="1:12" hidden="1" x14ac:dyDescent="0.3">
      <c r="A1045" s="16" t="s">
        <v>1602</v>
      </c>
      <c r="B1045" s="16"/>
      <c r="C1045" s="16"/>
      <c r="D1045" s="16" t="s">
        <v>1603</v>
      </c>
      <c r="E1045" s="16" t="s">
        <v>1779</v>
      </c>
      <c r="F1045" s="16" t="s">
        <v>18</v>
      </c>
      <c r="G1045" s="16" t="s">
        <v>539</v>
      </c>
      <c r="I1045" s="16" t="s">
        <v>1103</v>
      </c>
      <c r="J1045" s="16" t="s">
        <v>33</v>
      </c>
    </row>
    <row r="1046" spans="1:12" hidden="1" x14ac:dyDescent="0.3">
      <c r="A1046" s="16" t="s">
        <v>1096</v>
      </c>
      <c r="B1046" s="16"/>
      <c r="C1046" s="16"/>
      <c r="D1046" s="16" t="s">
        <v>3028</v>
      </c>
      <c r="E1046" s="16" t="s">
        <v>1779</v>
      </c>
      <c r="F1046" s="16" t="s">
        <v>133</v>
      </c>
      <c r="G1046" s="16" t="s">
        <v>539</v>
      </c>
      <c r="J1046" s="16" t="s">
        <v>33</v>
      </c>
    </row>
    <row r="1047" spans="1:12" hidden="1" x14ac:dyDescent="0.3">
      <c r="A1047" s="16" t="s">
        <v>3029</v>
      </c>
      <c r="B1047" s="16"/>
      <c r="C1047" s="16"/>
      <c r="D1047" s="16" t="s">
        <v>3030</v>
      </c>
      <c r="E1047" s="16" t="s">
        <v>1808</v>
      </c>
      <c r="F1047" s="16" t="s">
        <v>133</v>
      </c>
      <c r="G1047" s="16" t="s">
        <v>1791</v>
      </c>
      <c r="J1047" s="16" t="s">
        <v>33</v>
      </c>
    </row>
    <row r="1048" spans="1:12" hidden="1" x14ac:dyDescent="0.3">
      <c r="A1048" s="16" t="s">
        <v>3031</v>
      </c>
      <c r="B1048" s="16"/>
      <c r="C1048" s="16"/>
      <c r="D1048" s="16" t="s">
        <v>3032</v>
      </c>
      <c r="E1048" s="16" t="s">
        <v>1808</v>
      </c>
      <c r="F1048" s="16" t="s">
        <v>133</v>
      </c>
      <c r="G1048" s="16" t="s">
        <v>539</v>
      </c>
      <c r="J1048" s="16" t="s">
        <v>33</v>
      </c>
    </row>
    <row r="1049" spans="1:12" hidden="1" x14ac:dyDescent="0.3">
      <c r="A1049" s="16" t="s">
        <v>3033</v>
      </c>
      <c r="B1049" s="16"/>
      <c r="C1049" s="16"/>
      <c r="D1049" s="16" t="s">
        <v>3034</v>
      </c>
      <c r="E1049" s="16" t="s">
        <v>1804</v>
      </c>
      <c r="F1049" s="16" t="s">
        <v>18</v>
      </c>
      <c r="G1049" s="16" t="s">
        <v>539</v>
      </c>
      <c r="I1049" s="16" t="s">
        <v>1103</v>
      </c>
      <c r="J1049" s="16" t="s">
        <v>33</v>
      </c>
    </row>
    <row r="1050" spans="1:12" hidden="1" x14ac:dyDescent="0.3">
      <c r="A1050" s="16" t="s">
        <v>3035</v>
      </c>
      <c r="B1050" s="16"/>
      <c r="C1050" s="16"/>
      <c r="D1050" s="16" t="s">
        <v>3036</v>
      </c>
      <c r="E1050" s="16" t="s">
        <v>1804</v>
      </c>
      <c r="F1050" s="16" t="s">
        <v>18</v>
      </c>
      <c r="G1050" s="16" t="s">
        <v>588</v>
      </c>
      <c r="I1050" s="16" t="s">
        <v>1770</v>
      </c>
      <c r="J1050" s="16" t="s">
        <v>33</v>
      </c>
    </row>
    <row r="1051" spans="1:12" hidden="1" x14ac:dyDescent="0.3">
      <c r="A1051" s="16" t="s">
        <v>3037</v>
      </c>
      <c r="B1051" s="16"/>
      <c r="C1051" s="16"/>
      <c r="D1051" s="16" t="s">
        <v>3038</v>
      </c>
      <c r="E1051" s="16" t="s">
        <v>1769</v>
      </c>
      <c r="F1051" s="16" t="s">
        <v>133</v>
      </c>
      <c r="G1051" s="16" t="s">
        <v>1885</v>
      </c>
      <c r="J1051" s="16" t="s">
        <v>33</v>
      </c>
    </row>
    <row r="1052" spans="1:12" hidden="1" x14ac:dyDescent="0.3">
      <c r="A1052" s="16" t="s">
        <v>3039</v>
      </c>
      <c r="B1052" s="16"/>
      <c r="C1052" s="16"/>
      <c r="D1052" s="16" t="s">
        <v>3040</v>
      </c>
      <c r="E1052" s="16" t="s">
        <v>1769</v>
      </c>
      <c r="F1052" s="16" t="s">
        <v>133</v>
      </c>
      <c r="G1052" s="16" t="s">
        <v>539</v>
      </c>
      <c r="J1052" s="16" t="s">
        <v>33</v>
      </c>
    </row>
    <row r="1053" spans="1:12" hidden="1" x14ac:dyDescent="0.3">
      <c r="A1053" s="16" t="s">
        <v>1193</v>
      </c>
      <c r="B1053" s="16"/>
      <c r="C1053" s="16"/>
      <c r="D1053" s="16" t="s">
        <v>1194</v>
      </c>
      <c r="E1053" s="16" t="s">
        <v>1769</v>
      </c>
      <c r="F1053" s="16" t="s">
        <v>18</v>
      </c>
      <c r="G1053" s="16" t="s">
        <v>539</v>
      </c>
      <c r="I1053" s="16" t="s">
        <v>1127</v>
      </c>
      <c r="J1053" s="16" t="s">
        <v>33</v>
      </c>
    </row>
    <row r="1054" spans="1:12" hidden="1" x14ac:dyDescent="0.3">
      <c r="A1054" s="16" t="s">
        <v>3041</v>
      </c>
      <c r="B1054" s="16"/>
      <c r="C1054" s="16"/>
      <c r="D1054" s="16" t="s">
        <v>3042</v>
      </c>
      <c r="E1054" s="16" t="s">
        <v>1808</v>
      </c>
      <c r="F1054" s="16" t="s">
        <v>133</v>
      </c>
      <c r="G1054" s="16" t="s">
        <v>1885</v>
      </c>
      <c r="J1054" s="16" t="s">
        <v>33</v>
      </c>
    </row>
    <row r="1055" spans="1:12" hidden="1" x14ac:dyDescent="0.3">
      <c r="A1055" s="16" t="s">
        <v>3043</v>
      </c>
      <c r="B1055" s="16"/>
      <c r="C1055" s="16"/>
      <c r="D1055" s="16" t="s">
        <v>3044</v>
      </c>
      <c r="E1055" s="16" t="s">
        <v>1769</v>
      </c>
      <c r="F1055" s="16" t="s">
        <v>18</v>
      </c>
      <c r="G1055" s="16" t="s">
        <v>1791</v>
      </c>
      <c r="I1055" s="16" t="s">
        <v>1770</v>
      </c>
      <c r="J1055" s="16" t="s">
        <v>33</v>
      </c>
      <c r="K1055" s="16" t="s">
        <v>33</v>
      </c>
    </row>
    <row r="1056" spans="1:12" hidden="1" x14ac:dyDescent="0.3">
      <c r="A1056" s="16" t="s">
        <v>3045</v>
      </c>
      <c r="B1056" s="16"/>
      <c r="C1056" s="16"/>
      <c r="D1056" s="16" t="s">
        <v>3046</v>
      </c>
      <c r="E1056" s="16" t="s">
        <v>1769</v>
      </c>
      <c r="F1056" s="16" t="s">
        <v>388</v>
      </c>
      <c r="G1056" s="16" t="s">
        <v>539</v>
      </c>
      <c r="J1056" s="16" t="s">
        <v>33</v>
      </c>
      <c r="L1056" s="16" t="s">
        <v>1988</v>
      </c>
    </row>
    <row r="1057" spans="1:12" hidden="1" x14ac:dyDescent="0.3">
      <c r="A1057" s="16" t="s">
        <v>3047</v>
      </c>
      <c r="B1057" s="16"/>
      <c r="C1057" s="16"/>
      <c r="D1057" s="16" t="s">
        <v>3048</v>
      </c>
      <c r="E1057" s="16" t="s">
        <v>1769</v>
      </c>
      <c r="F1057" s="16" t="s">
        <v>133</v>
      </c>
      <c r="G1057" s="16" t="s">
        <v>539</v>
      </c>
      <c r="J1057" s="16" t="s">
        <v>33</v>
      </c>
    </row>
    <row r="1058" spans="1:12" hidden="1" x14ac:dyDescent="0.3">
      <c r="A1058" s="16" t="s">
        <v>3049</v>
      </c>
      <c r="B1058" s="16"/>
      <c r="C1058" s="16"/>
      <c r="D1058" s="16" t="s">
        <v>3050</v>
      </c>
      <c r="E1058" s="16" t="s">
        <v>1769</v>
      </c>
      <c r="F1058" s="16" t="s">
        <v>133</v>
      </c>
      <c r="G1058" s="16" t="s">
        <v>539</v>
      </c>
      <c r="J1058" s="16" t="s">
        <v>33</v>
      </c>
    </row>
    <row r="1059" spans="1:12" hidden="1" x14ac:dyDescent="0.3">
      <c r="A1059" s="16" t="s">
        <v>3051</v>
      </c>
      <c r="B1059" s="16"/>
      <c r="C1059" s="16"/>
      <c r="D1059" s="16" t="s">
        <v>3052</v>
      </c>
      <c r="E1059" s="16" t="s">
        <v>1769</v>
      </c>
      <c r="F1059" s="16" t="s">
        <v>133</v>
      </c>
      <c r="G1059" s="16" t="s">
        <v>588</v>
      </c>
      <c r="J1059" s="16" t="s">
        <v>33</v>
      </c>
    </row>
    <row r="1060" spans="1:12" hidden="1" x14ac:dyDescent="0.3">
      <c r="A1060" s="16" t="s">
        <v>3053</v>
      </c>
      <c r="B1060" s="16"/>
      <c r="C1060" s="16"/>
      <c r="D1060" s="16" t="s">
        <v>3054</v>
      </c>
      <c r="E1060" s="16" t="s">
        <v>1769</v>
      </c>
      <c r="F1060" s="16" t="s">
        <v>133</v>
      </c>
      <c r="G1060" s="16" t="s">
        <v>588</v>
      </c>
      <c r="J1060" s="16" t="s">
        <v>33</v>
      </c>
    </row>
    <row r="1061" spans="1:12" hidden="1" x14ac:dyDescent="0.3">
      <c r="A1061" s="16" t="s">
        <v>3055</v>
      </c>
      <c r="B1061" s="16"/>
      <c r="C1061" s="16"/>
      <c r="D1061" s="16" t="s">
        <v>3056</v>
      </c>
      <c r="E1061" s="16" t="s">
        <v>1769</v>
      </c>
      <c r="F1061" s="16" t="s">
        <v>388</v>
      </c>
      <c r="G1061" s="16" t="s">
        <v>539</v>
      </c>
      <c r="J1061" s="16" t="s">
        <v>33</v>
      </c>
      <c r="L1061" s="16" t="s">
        <v>32</v>
      </c>
    </row>
    <row r="1062" spans="1:12" hidden="1" x14ac:dyDescent="0.3">
      <c r="A1062" s="16" t="s">
        <v>3057</v>
      </c>
      <c r="B1062" s="16"/>
      <c r="C1062" s="16"/>
      <c r="D1062" s="16" t="s">
        <v>3058</v>
      </c>
      <c r="E1062" s="16" t="s">
        <v>2010</v>
      </c>
      <c r="F1062" s="16" t="s">
        <v>388</v>
      </c>
      <c r="G1062" s="16" t="s">
        <v>539</v>
      </c>
      <c r="J1062" s="16" t="s">
        <v>33</v>
      </c>
      <c r="L1062" s="16" t="s">
        <v>32</v>
      </c>
    </row>
    <row r="1063" spans="1:12" hidden="1" x14ac:dyDescent="0.3">
      <c r="A1063" s="16" t="s">
        <v>3057</v>
      </c>
      <c r="B1063" s="16"/>
      <c r="C1063" s="16"/>
      <c r="D1063" s="16" t="s">
        <v>3058</v>
      </c>
      <c r="E1063" s="16" t="s">
        <v>2489</v>
      </c>
      <c r="F1063" s="16" t="s">
        <v>388</v>
      </c>
      <c r="G1063" s="16" t="s">
        <v>539</v>
      </c>
      <c r="J1063" s="16" t="s">
        <v>33</v>
      </c>
      <c r="L1063" s="16" t="s">
        <v>32</v>
      </c>
    </row>
    <row r="1064" spans="1:12" hidden="1" x14ac:dyDescent="0.3">
      <c r="A1064" s="16" t="s">
        <v>3057</v>
      </c>
      <c r="B1064" s="16"/>
      <c r="C1064" s="16"/>
      <c r="D1064" s="16" t="s">
        <v>3058</v>
      </c>
      <c r="E1064" s="16" t="s">
        <v>1769</v>
      </c>
      <c r="F1064" s="16" t="s">
        <v>388</v>
      </c>
      <c r="G1064" s="16" t="s">
        <v>539</v>
      </c>
      <c r="J1064" s="16" t="s">
        <v>33</v>
      </c>
      <c r="L1064" s="16" t="s">
        <v>32</v>
      </c>
    </row>
    <row r="1065" spans="1:12" hidden="1" x14ac:dyDescent="0.3">
      <c r="A1065" s="16" t="s">
        <v>1097</v>
      </c>
      <c r="B1065" s="16"/>
      <c r="C1065" s="16"/>
      <c r="D1065" s="16" t="s">
        <v>3059</v>
      </c>
      <c r="E1065" s="16" t="s">
        <v>1782</v>
      </c>
      <c r="F1065" s="16" t="s">
        <v>133</v>
      </c>
      <c r="G1065" s="16" t="s">
        <v>539</v>
      </c>
      <c r="J1065" s="16" t="s">
        <v>33</v>
      </c>
    </row>
    <row r="1066" spans="1:12" hidden="1" x14ac:dyDescent="0.3">
      <c r="A1066" s="16" t="s">
        <v>3060</v>
      </c>
      <c r="B1066" s="16"/>
      <c r="C1066" s="16"/>
      <c r="D1066" s="16" t="s">
        <v>3061</v>
      </c>
      <c r="E1066" s="16" t="s">
        <v>1779</v>
      </c>
      <c r="F1066" s="16" t="s">
        <v>133</v>
      </c>
      <c r="G1066" s="16" t="s">
        <v>539</v>
      </c>
      <c r="J1066" s="16" t="s">
        <v>33</v>
      </c>
    </row>
    <row r="1067" spans="1:12" hidden="1" x14ac:dyDescent="0.3">
      <c r="A1067" s="16" t="s">
        <v>3062</v>
      </c>
      <c r="B1067" s="16"/>
      <c r="C1067" s="16"/>
      <c r="D1067" s="16" t="s">
        <v>3063</v>
      </c>
      <c r="E1067" s="16" t="s">
        <v>1779</v>
      </c>
      <c r="F1067" s="16" t="s">
        <v>133</v>
      </c>
      <c r="G1067" s="16" t="s">
        <v>539</v>
      </c>
      <c r="J1067" s="16" t="s">
        <v>33</v>
      </c>
    </row>
    <row r="1068" spans="1:12" hidden="1" x14ac:dyDescent="0.3">
      <c r="A1068" s="16" t="s">
        <v>3064</v>
      </c>
      <c r="B1068" s="16"/>
      <c r="C1068" s="16"/>
      <c r="D1068" s="16" t="s">
        <v>3065</v>
      </c>
      <c r="E1068" s="16" t="s">
        <v>1779</v>
      </c>
      <c r="F1068" s="16" t="s">
        <v>133</v>
      </c>
      <c r="G1068" s="16" t="s">
        <v>539</v>
      </c>
      <c r="J1068" s="16" t="s">
        <v>33</v>
      </c>
    </row>
    <row r="1069" spans="1:12" hidden="1" x14ac:dyDescent="0.3">
      <c r="A1069" s="16" t="s">
        <v>3066</v>
      </c>
      <c r="B1069" s="16"/>
      <c r="C1069" s="16"/>
      <c r="D1069" s="16" t="s">
        <v>3067</v>
      </c>
      <c r="E1069" s="16" t="s">
        <v>1779</v>
      </c>
      <c r="F1069" s="16" t="s">
        <v>133</v>
      </c>
      <c r="G1069" s="16" t="s">
        <v>539</v>
      </c>
      <c r="J1069" s="16" t="s">
        <v>33</v>
      </c>
    </row>
    <row r="1070" spans="1:12" hidden="1" x14ac:dyDescent="0.3">
      <c r="A1070" s="16" t="s">
        <v>3068</v>
      </c>
      <c r="B1070" s="16"/>
      <c r="C1070" s="16"/>
      <c r="D1070" s="16" t="s">
        <v>3069</v>
      </c>
      <c r="E1070" s="16" t="s">
        <v>1779</v>
      </c>
      <c r="F1070" s="16" t="s">
        <v>388</v>
      </c>
      <c r="G1070" s="16" t="s">
        <v>539</v>
      </c>
      <c r="J1070" s="16" t="s">
        <v>33</v>
      </c>
      <c r="L1070" s="16" t="s">
        <v>32</v>
      </c>
    </row>
    <row r="1071" spans="1:12" hidden="1" x14ac:dyDescent="0.3">
      <c r="A1071" s="16" t="s">
        <v>352</v>
      </c>
      <c r="B1071" s="16"/>
      <c r="C1071" s="16"/>
      <c r="D1071" s="16" t="s">
        <v>353</v>
      </c>
      <c r="E1071" s="16" t="s">
        <v>1779</v>
      </c>
      <c r="F1071" s="16" t="s">
        <v>18</v>
      </c>
      <c r="G1071" s="16" t="s">
        <v>539</v>
      </c>
      <c r="I1071" s="16" t="s">
        <v>1127</v>
      </c>
      <c r="J1071" s="16" t="s">
        <v>33</v>
      </c>
    </row>
    <row r="1072" spans="1:12" hidden="1" x14ac:dyDescent="0.3">
      <c r="A1072" s="16" t="s">
        <v>3070</v>
      </c>
      <c r="B1072" s="16"/>
      <c r="C1072" s="16"/>
      <c r="D1072" s="16" t="s">
        <v>3071</v>
      </c>
      <c r="E1072" s="16" t="s">
        <v>1779</v>
      </c>
      <c r="F1072" s="16" t="s">
        <v>388</v>
      </c>
      <c r="G1072" s="16" t="s">
        <v>539</v>
      </c>
      <c r="J1072" s="16" t="s">
        <v>33</v>
      </c>
      <c r="L1072" s="16" t="s">
        <v>32</v>
      </c>
    </row>
    <row r="1073" spans="1:12" hidden="1" x14ac:dyDescent="0.3">
      <c r="A1073" s="16" t="s">
        <v>1195</v>
      </c>
      <c r="B1073" s="16"/>
      <c r="C1073" s="16"/>
      <c r="D1073" s="16" t="s">
        <v>1196</v>
      </c>
      <c r="E1073" s="16" t="s">
        <v>3072</v>
      </c>
      <c r="F1073" s="16" t="s">
        <v>18</v>
      </c>
      <c r="G1073" s="16" t="s">
        <v>539</v>
      </c>
      <c r="I1073" s="16" t="s">
        <v>1127</v>
      </c>
      <c r="J1073" s="16" t="s">
        <v>33</v>
      </c>
    </row>
    <row r="1074" spans="1:12" hidden="1" x14ac:dyDescent="0.3">
      <c r="A1074" s="16" t="s">
        <v>225</v>
      </c>
      <c r="B1074" s="16"/>
      <c r="C1074" s="16"/>
      <c r="D1074" s="16" t="s">
        <v>3073</v>
      </c>
      <c r="E1074" s="16" t="s">
        <v>3072</v>
      </c>
      <c r="F1074" s="16" t="s">
        <v>388</v>
      </c>
      <c r="G1074" s="16" t="s">
        <v>539</v>
      </c>
      <c r="J1074" s="16" t="s">
        <v>33</v>
      </c>
      <c r="L1074" s="16" t="s">
        <v>32</v>
      </c>
    </row>
    <row r="1075" spans="1:12" hidden="1" x14ac:dyDescent="0.3">
      <c r="A1075" s="16" t="s">
        <v>226</v>
      </c>
      <c r="B1075" s="16"/>
      <c r="C1075" s="16"/>
      <c r="D1075" s="16" t="s">
        <v>1197</v>
      </c>
      <c r="E1075" s="16" t="s">
        <v>3072</v>
      </c>
      <c r="F1075" s="16" t="s">
        <v>18</v>
      </c>
      <c r="G1075" s="16" t="s">
        <v>539</v>
      </c>
      <c r="I1075" s="16" t="s">
        <v>1103</v>
      </c>
      <c r="J1075" s="16" t="s">
        <v>33</v>
      </c>
    </row>
    <row r="1076" spans="1:12" hidden="1" x14ac:dyDescent="0.3">
      <c r="A1076" s="16" t="s">
        <v>227</v>
      </c>
      <c r="B1076" s="16"/>
      <c r="C1076" s="16"/>
      <c r="D1076" s="16" t="s">
        <v>1198</v>
      </c>
      <c r="E1076" s="16" t="s">
        <v>3072</v>
      </c>
      <c r="F1076" s="16" t="s">
        <v>18</v>
      </c>
      <c r="G1076" s="16" t="s">
        <v>539</v>
      </c>
      <c r="I1076" s="16" t="s">
        <v>1127</v>
      </c>
      <c r="J1076" s="16" t="s">
        <v>33</v>
      </c>
    </row>
    <row r="1077" spans="1:12" hidden="1" x14ac:dyDescent="0.3">
      <c r="A1077" s="16" t="s">
        <v>3074</v>
      </c>
      <c r="B1077" s="16"/>
      <c r="C1077" s="16"/>
      <c r="D1077" s="16" t="s">
        <v>3075</v>
      </c>
      <c r="E1077" s="16" t="s">
        <v>3072</v>
      </c>
      <c r="F1077" s="16" t="s">
        <v>388</v>
      </c>
      <c r="G1077" s="16" t="s">
        <v>539</v>
      </c>
      <c r="J1077" s="16" t="s">
        <v>33</v>
      </c>
      <c r="L1077" s="16" t="s">
        <v>32</v>
      </c>
    </row>
    <row r="1078" spans="1:12" hidden="1" x14ac:dyDescent="0.3">
      <c r="A1078" s="16" t="s">
        <v>3076</v>
      </c>
      <c r="B1078" s="16"/>
      <c r="C1078" s="16"/>
      <c r="D1078" s="16" t="s">
        <v>3077</v>
      </c>
      <c r="E1078" s="16" t="s">
        <v>1779</v>
      </c>
      <c r="F1078" s="16" t="s">
        <v>388</v>
      </c>
      <c r="G1078" s="16" t="s">
        <v>539</v>
      </c>
      <c r="J1078" s="16" t="s">
        <v>33</v>
      </c>
      <c r="L1078" s="16" t="s">
        <v>32</v>
      </c>
    </row>
    <row r="1079" spans="1:12" hidden="1" x14ac:dyDescent="0.3">
      <c r="A1079" s="16" t="s">
        <v>3078</v>
      </c>
      <c r="B1079" s="16"/>
      <c r="C1079" s="16"/>
      <c r="D1079" s="16" t="s">
        <v>3079</v>
      </c>
      <c r="E1079" s="16" t="s">
        <v>1779</v>
      </c>
      <c r="F1079" s="16" t="s">
        <v>388</v>
      </c>
      <c r="G1079" s="16" t="s">
        <v>539</v>
      </c>
      <c r="J1079" s="16" t="s">
        <v>33</v>
      </c>
      <c r="L1079" s="16" t="s">
        <v>32</v>
      </c>
    </row>
    <row r="1080" spans="1:12" hidden="1" x14ac:dyDescent="0.3">
      <c r="A1080" s="16" t="s">
        <v>3080</v>
      </c>
      <c r="B1080" s="16"/>
      <c r="C1080" s="16"/>
      <c r="D1080" s="16" t="s">
        <v>3081</v>
      </c>
      <c r="E1080" s="16" t="s">
        <v>1779</v>
      </c>
      <c r="F1080" s="16" t="s">
        <v>388</v>
      </c>
      <c r="G1080" s="16" t="s">
        <v>539</v>
      </c>
      <c r="J1080" s="16" t="s">
        <v>33</v>
      </c>
      <c r="L1080" s="16" t="s">
        <v>32</v>
      </c>
    </row>
    <row r="1081" spans="1:12" hidden="1" x14ac:dyDescent="0.3">
      <c r="A1081" s="16" t="s">
        <v>3082</v>
      </c>
      <c r="B1081" s="16"/>
      <c r="C1081" s="16"/>
      <c r="D1081" s="16" t="s">
        <v>3083</v>
      </c>
      <c r="E1081" s="16" t="s">
        <v>1779</v>
      </c>
      <c r="F1081" s="16" t="s">
        <v>388</v>
      </c>
      <c r="G1081" s="16" t="s">
        <v>539</v>
      </c>
      <c r="J1081" s="16" t="s">
        <v>33</v>
      </c>
      <c r="L1081" s="16" t="s">
        <v>32</v>
      </c>
    </row>
    <row r="1082" spans="1:12" hidden="1" x14ac:dyDescent="0.3">
      <c r="A1082" s="16" t="s">
        <v>3084</v>
      </c>
      <c r="B1082" s="16"/>
      <c r="C1082" s="16"/>
      <c r="D1082" s="16" t="s">
        <v>3085</v>
      </c>
      <c r="E1082" s="16" t="s">
        <v>1779</v>
      </c>
      <c r="F1082" s="16" t="s">
        <v>388</v>
      </c>
      <c r="G1082" s="16" t="s">
        <v>539</v>
      </c>
      <c r="J1082" s="16" t="s">
        <v>33</v>
      </c>
      <c r="L1082" s="16" t="s">
        <v>32</v>
      </c>
    </row>
    <row r="1083" spans="1:12" hidden="1" x14ac:dyDescent="0.3">
      <c r="A1083" s="16" t="s">
        <v>223</v>
      </c>
      <c r="B1083" s="16"/>
      <c r="C1083" s="16"/>
      <c r="D1083" s="16" t="s">
        <v>3086</v>
      </c>
      <c r="E1083" s="16" t="s">
        <v>3072</v>
      </c>
      <c r="F1083" s="16" t="s">
        <v>388</v>
      </c>
      <c r="G1083" s="16" t="s">
        <v>539</v>
      </c>
      <c r="J1083" s="16" t="s">
        <v>33</v>
      </c>
      <c r="L1083" s="16" t="s">
        <v>32</v>
      </c>
    </row>
    <row r="1084" spans="1:12" hidden="1" x14ac:dyDescent="0.3">
      <c r="A1084" s="16" t="s">
        <v>3087</v>
      </c>
      <c r="B1084" s="16"/>
      <c r="C1084" s="16"/>
      <c r="D1084" s="16" t="s">
        <v>3088</v>
      </c>
      <c r="E1084" s="16" t="s">
        <v>1779</v>
      </c>
      <c r="F1084" s="16" t="s">
        <v>133</v>
      </c>
      <c r="G1084" s="16" t="s">
        <v>1791</v>
      </c>
      <c r="J1084" s="16" t="s">
        <v>33</v>
      </c>
    </row>
    <row r="1085" spans="1:12" hidden="1" x14ac:dyDescent="0.3">
      <c r="A1085" s="16" t="s">
        <v>3089</v>
      </c>
      <c r="B1085" s="16"/>
      <c r="C1085" s="16"/>
      <c r="D1085" s="16" t="s">
        <v>3090</v>
      </c>
      <c r="E1085" s="16" t="s">
        <v>1779</v>
      </c>
      <c r="F1085" s="16" t="s">
        <v>133</v>
      </c>
      <c r="G1085" s="16" t="s">
        <v>1791</v>
      </c>
      <c r="J1085" s="16" t="s">
        <v>33</v>
      </c>
    </row>
    <row r="1086" spans="1:12" hidden="1" x14ac:dyDescent="0.3">
      <c r="A1086" s="16" t="s">
        <v>3091</v>
      </c>
      <c r="B1086" s="16"/>
      <c r="C1086" s="16"/>
      <c r="D1086" s="16" t="s">
        <v>3092</v>
      </c>
      <c r="E1086" s="16" t="s">
        <v>1915</v>
      </c>
      <c r="F1086" s="16" t="s">
        <v>133</v>
      </c>
      <c r="G1086" s="16" t="s">
        <v>1791</v>
      </c>
      <c r="J1086" s="16" t="s">
        <v>33</v>
      </c>
    </row>
    <row r="1087" spans="1:12" hidden="1" x14ac:dyDescent="0.3">
      <c r="A1087" s="16" t="s">
        <v>1347</v>
      </c>
      <c r="B1087" s="16"/>
      <c r="C1087" s="16"/>
      <c r="D1087" s="16" t="s">
        <v>3093</v>
      </c>
      <c r="E1087" s="16" t="s">
        <v>1778</v>
      </c>
      <c r="F1087" s="16" t="s">
        <v>50</v>
      </c>
      <c r="G1087" s="16" t="s">
        <v>555</v>
      </c>
      <c r="J1087" s="16" t="s">
        <v>33</v>
      </c>
    </row>
    <row r="1088" spans="1:12" hidden="1" x14ac:dyDescent="0.3">
      <c r="A1088" s="16" t="s">
        <v>1347</v>
      </c>
      <c r="B1088" s="16"/>
      <c r="C1088" s="16"/>
      <c r="D1088" s="16" t="s">
        <v>1348</v>
      </c>
      <c r="E1088" s="16" t="s">
        <v>1778</v>
      </c>
      <c r="F1088" s="16" t="s">
        <v>18</v>
      </c>
      <c r="G1088" s="16" t="s">
        <v>555</v>
      </c>
      <c r="I1088" s="16" t="s">
        <v>1770</v>
      </c>
      <c r="J1088" s="16" t="s">
        <v>33</v>
      </c>
    </row>
    <row r="1089" spans="1:12" hidden="1" x14ac:dyDescent="0.3">
      <c r="A1089" s="16" t="s">
        <v>1349</v>
      </c>
      <c r="B1089" s="16"/>
      <c r="C1089" s="16"/>
      <c r="D1089" s="16" t="s">
        <v>1350</v>
      </c>
      <c r="E1089" s="16" t="s">
        <v>1778</v>
      </c>
      <c r="F1089" s="16" t="s">
        <v>18</v>
      </c>
      <c r="G1089" s="16" t="s">
        <v>555</v>
      </c>
      <c r="I1089" s="16" t="s">
        <v>1127</v>
      </c>
      <c r="J1089" s="16" t="s">
        <v>33</v>
      </c>
    </row>
    <row r="1090" spans="1:12" hidden="1" x14ac:dyDescent="0.3">
      <c r="A1090" s="16" t="s">
        <v>3094</v>
      </c>
      <c r="B1090" s="16"/>
      <c r="C1090" s="16"/>
      <c r="D1090" s="16" t="s">
        <v>3095</v>
      </c>
      <c r="E1090" s="16" t="s">
        <v>1779</v>
      </c>
      <c r="F1090" s="16" t="s">
        <v>388</v>
      </c>
      <c r="G1090" s="16" t="s">
        <v>539</v>
      </c>
      <c r="J1090" s="16" t="s">
        <v>33</v>
      </c>
      <c r="L1090" s="16" t="s">
        <v>32</v>
      </c>
    </row>
    <row r="1091" spans="1:12" hidden="1" x14ac:dyDescent="0.3">
      <c r="A1091" s="16" t="s">
        <v>3096</v>
      </c>
      <c r="B1091" s="16"/>
      <c r="C1091" s="16"/>
      <c r="D1091" s="16" t="s">
        <v>3097</v>
      </c>
      <c r="E1091" s="16" t="s">
        <v>1779</v>
      </c>
      <c r="F1091" s="16" t="s">
        <v>133</v>
      </c>
      <c r="G1091" s="16" t="s">
        <v>255</v>
      </c>
      <c r="J1091" s="16" t="s">
        <v>33</v>
      </c>
    </row>
    <row r="1092" spans="1:12" hidden="1" x14ac:dyDescent="0.3">
      <c r="A1092" s="16" t="s">
        <v>257</v>
      </c>
      <c r="B1092" s="16"/>
      <c r="C1092" s="16"/>
      <c r="D1092" s="16" t="s">
        <v>3098</v>
      </c>
      <c r="E1092" s="16" t="s">
        <v>1808</v>
      </c>
      <c r="F1092" s="16" t="s">
        <v>133</v>
      </c>
      <c r="G1092" s="16" t="s">
        <v>588</v>
      </c>
      <c r="J1092" s="16" t="s">
        <v>33</v>
      </c>
    </row>
    <row r="1093" spans="1:12" hidden="1" x14ac:dyDescent="0.3">
      <c r="A1093" s="16" t="s">
        <v>257</v>
      </c>
      <c r="B1093" s="16"/>
      <c r="C1093" s="16"/>
      <c r="D1093" s="16" t="s">
        <v>258</v>
      </c>
      <c r="E1093" s="16" t="s">
        <v>1779</v>
      </c>
      <c r="F1093" s="16" t="s">
        <v>133</v>
      </c>
      <c r="G1093" s="16" t="s">
        <v>588</v>
      </c>
      <c r="J1093" s="16" t="s">
        <v>33</v>
      </c>
    </row>
    <row r="1094" spans="1:12" hidden="1" x14ac:dyDescent="0.3">
      <c r="A1094" s="16" t="s">
        <v>253</v>
      </c>
      <c r="B1094" s="16"/>
      <c r="C1094" s="16"/>
      <c r="D1094" s="16" t="s">
        <v>3099</v>
      </c>
      <c r="E1094" s="16" t="s">
        <v>1808</v>
      </c>
      <c r="F1094" s="16" t="s">
        <v>133</v>
      </c>
      <c r="G1094" s="16" t="s">
        <v>588</v>
      </c>
      <c r="J1094" s="16" t="s">
        <v>33</v>
      </c>
    </row>
    <row r="1095" spans="1:12" hidden="1" x14ac:dyDescent="0.3">
      <c r="A1095" s="16" t="s">
        <v>253</v>
      </c>
      <c r="B1095" s="16"/>
      <c r="C1095" s="16"/>
      <c r="D1095" s="16" t="s">
        <v>254</v>
      </c>
      <c r="E1095" s="16" t="s">
        <v>1779</v>
      </c>
      <c r="F1095" s="16" t="s">
        <v>133</v>
      </c>
      <c r="G1095" s="16" t="s">
        <v>588</v>
      </c>
      <c r="J1095" s="16" t="s">
        <v>33</v>
      </c>
    </row>
    <row r="1096" spans="1:12" hidden="1" x14ac:dyDescent="0.3">
      <c r="A1096" s="16" t="s">
        <v>3100</v>
      </c>
      <c r="B1096" s="16"/>
      <c r="C1096" s="16"/>
      <c r="D1096" s="16" t="s">
        <v>3101</v>
      </c>
      <c r="E1096" s="16" t="s">
        <v>1779</v>
      </c>
      <c r="F1096" s="16" t="s">
        <v>133</v>
      </c>
      <c r="G1096" s="16" t="s">
        <v>255</v>
      </c>
      <c r="J1096" s="16" t="s">
        <v>33</v>
      </c>
    </row>
    <row r="1097" spans="1:12" hidden="1" x14ac:dyDescent="0.3">
      <c r="A1097" s="16" t="s">
        <v>1604</v>
      </c>
      <c r="B1097" s="16"/>
      <c r="C1097" s="16"/>
      <c r="D1097" s="16" t="s">
        <v>1605</v>
      </c>
      <c r="E1097" s="16" t="s">
        <v>1779</v>
      </c>
      <c r="F1097" s="16" t="s">
        <v>133</v>
      </c>
      <c r="G1097" s="16" t="s">
        <v>255</v>
      </c>
      <c r="J1097" s="16" t="s">
        <v>33</v>
      </c>
    </row>
    <row r="1098" spans="1:12" hidden="1" x14ac:dyDescent="0.3">
      <c r="A1098" s="16" t="s">
        <v>1604</v>
      </c>
      <c r="B1098" s="16"/>
      <c r="C1098" s="16"/>
      <c r="D1098" s="16" t="s">
        <v>3102</v>
      </c>
      <c r="E1098" s="16" t="s">
        <v>1778</v>
      </c>
      <c r="F1098" s="16" t="s">
        <v>133</v>
      </c>
      <c r="G1098" s="16" t="s">
        <v>255</v>
      </c>
      <c r="J1098" s="16" t="s">
        <v>33</v>
      </c>
    </row>
    <row r="1099" spans="1:12" hidden="1" x14ac:dyDescent="0.3">
      <c r="A1099" s="16" t="s">
        <v>3103</v>
      </c>
      <c r="B1099" s="16"/>
      <c r="C1099" s="16"/>
      <c r="D1099" s="16" t="s">
        <v>3104</v>
      </c>
      <c r="E1099" s="16" t="s">
        <v>1779</v>
      </c>
      <c r="F1099" s="16" t="s">
        <v>388</v>
      </c>
      <c r="G1099" s="16" t="s">
        <v>539</v>
      </c>
      <c r="J1099" s="16" t="s">
        <v>33</v>
      </c>
      <c r="L1099" s="16" t="s">
        <v>32</v>
      </c>
    </row>
    <row r="1100" spans="1:12" hidden="1" x14ac:dyDescent="0.3">
      <c r="A1100" s="16" t="s">
        <v>3105</v>
      </c>
      <c r="B1100" s="16"/>
      <c r="C1100" s="16"/>
      <c r="D1100" s="16" t="s">
        <v>3106</v>
      </c>
      <c r="E1100" s="16" t="s">
        <v>1779</v>
      </c>
      <c r="F1100" s="16" t="s">
        <v>388</v>
      </c>
      <c r="G1100" s="16" t="s">
        <v>539</v>
      </c>
      <c r="J1100" s="16" t="s">
        <v>33</v>
      </c>
      <c r="L1100" s="16" t="s">
        <v>32</v>
      </c>
    </row>
    <row r="1101" spans="1:12" hidden="1" x14ac:dyDescent="0.3">
      <c r="A1101" s="16" t="s">
        <v>3107</v>
      </c>
      <c r="B1101" s="16"/>
      <c r="C1101" s="16"/>
      <c r="D1101" s="16" t="s">
        <v>3108</v>
      </c>
      <c r="E1101" s="16" t="s">
        <v>1779</v>
      </c>
      <c r="F1101" s="16" t="s">
        <v>388</v>
      </c>
      <c r="G1101" s="16" t="s">
        <v>539</v>
      </c>
      <c r="J1101" s="16" t="s">
        <v>33</v>
      </c>
      <c r="L1101" s="16" t="s">
        <v>32</v>
      </c>
    </row>
    <row r="1102" spans="1:12" hidden="1" x14ac:dyDescent="0.3">
      <c r="A1102" s="16" t="s">
        <v>3109</v>
      </c>
      <c r="B1102" s="16"/>
      <c r="C1102" s="16"/>
      <c r="D1102" s="16" t="s">
        <v>3110</v>
      </c>
      <c r="E1102" s="16" t="s">
        <v>1779</v>
      </c>
      <c r="F1102" s="16" t="s">
        <v>388</v>
      </c>
      <c r="G1102" s="16" t="s">
        <v>539</v>
      </c>
      <c r="J1102" s="16" t="s">
        <v>33</v>
      </c>
      <c r="L1102" s="16" t="s">
        <v>32</v>
      </c>
    </row>
    <row r="1103" spans="1:12" hidden="1" x14ac:dyDescent="0.3">
      <c r="A1103" s="16" t="s">
        <v>3111</v>
      </c>
      <c r="B1103" s="16"/>
      <c r="C1103" s="16"/>
      <c r="D1103" s="16" t="s">
        <v>3112</v>
      </c>
      <c r="E1103" s="16" t="s">
        <v>1779</v>
      </c>
      <c r="F1103" s="16" t="s">
        <v>388</v>
      </c>
      <c r="G1103" s="16" t="s">
        <v>539</v>
      </c>
      <c r="J1103" s="16" t="s">
        <v>33</v>
      </c>
      <c r="L1103" s="16" t="s">
        <v>32</v>
      </c>
    </row>
    <row r="1104" spans="1:12" hidden="1" x14ac:dyDescent="0.3">
      <c r="A1104" s="16" t="s">
        <v>3113</v>
      </c>
      <c r="B1104" s="16"/>
      <c r="C1104" s="16"/>
      <c r="D1104" s="16" t="s">
        <v>3114</v>
      </c>
      <c r="E1104" s="16" t="s">
        <v>1779</v>
      </c>
      <c r="F1104" s="16" t="s">
        <v>388</v>
      </c>
      <c r="G1104" s="16" t="s">
        <v>539</v>
      </c>
      <c r="J1104" s="16" t="s">
        <v>33</v>
      </c>
      <c r="L1104" s="16" t="s">
        <v>32</v>
      </c>
    </row>
    <row r="1105" spans="1:14" hidden="1" x14ac:dyDescent="0.3">
      <c r="A1105" s="16" t="s">
        <v>3115</v>
      </c>
      <c r="B1105" s="16"/>
      <c r="C1105" s="16"/>
      <c r="D1105" s="16" t="s">
        <v>3116</v>
      </c>
      <c r="E1105" s="16" t="s">
        <v>1779</v>
      </c>
      <c r="F1105" s="16" t="s">
        <v>388</v>
      </c>
      <c r="G1105" s="16" t="s">
        <v>539</v>
      </c>
      <c r="J1105" s="16" t="s">
        <v>33</v>
      </c>
      <c r="L1105" s="16" t="s">
        <v>32</v>
      </c>
    </row>
    <row r="1106" spans="1:14" hidden="1" x14ac:dyDescent="0.3">
      <c r="A1106" s="16" t="s">
        <v>3117</v>
      </c>
      <c r="B1106" s="16"/>
      <c r="C1106" s="16"/>
      <c r="D1106" s="16" t="s">
        <v>3118</v>
      </c>
      <c r="E1106" s="16" t="s">
        <v>1779</v>
      </c>
      <c r="F1106" s="16" t="s">
        <v>18</v>
      </c>
      <c r="G1106" s="16" t="s">
        <v>1791</v>
      </c>
      <c r="I1106" s="16" t="s">
        <v>1770</v>
      </c>
      <c r="J1106" s="16" t="s">
        <v>33</v>
      </c>
    </row>
    <row r="1107" spans="1:14" hidden="1" x14ac:dyDescent="0.3">
      <c r="A1107" s="16" t="s">
        <v>3119</v>
      </c>
      <c r="B1107" s="16"/>
      <c r="C1107" s="16"/>
      <c r="D1107" s="16" t="s">
        <v>3120</v>
      </c>
      <c r="E1107" s="16" t="s">
        <v>1779</v>
      </c>
      <c r="F1107" s="16" t="s">
        <v>18</v>
      </c>
      <c r="G1107" s="16" t="s">
        <v>539</v>
      </c>
      <c r="I1107" s="16" t="s">
        <v>1770</v>
      </c>
      <c r="J1107" s="16" t="s">
        <v>33</v>
      </c>
    </row>
    <row r="1108" spans="1:14" hidden="1" x14ac:dyDescent="0.3">
      <c r="A1108" s="16" t="s">
        <v>242</v>
      </c>
      <c r="B1108" s="16"/>
      <c r="C1108" s="16"/>
      <c r="D1108" s="16" t="s">
        <v>243</v>
      </c>
      <c r="E1108" s="16" t="s">
        <v>1779</v>
      </c>
      <c r="F1108" s="16" t="s">
        <v>133</v>
      </c>
      <c r="G1108" s="16" t="s">
        <v>539</v>
      </c>
      <c r="J1108" s="16" t="s">
        <v>33</v>
      </c>
    </row>
    <row r="1109" spans="1:14" hidden="1" x14ac:dyDescent="0.3">
      <c r="A1109" s="16" t="s">
        <v>3121</v>
      </c>
      <c r="B1109" s="16"/>
      <c r="C1109" s="16"/>
      <c r="D1109" s="16" t="s">
        <v>3122</v>
      </c>
      <c r="E1109" s="16" t="s">
        <v>1963</v>
      </c>
      <c r="F1109" s="16" t="s">
        <v>388</v>
      </c>
      <c r="G1109" s="16" t="s">
        <v>539</v>
      </c>
      <c r="J1109" s="16" t="s">
        <v>33</v>
      </c>
      <c r="L1109" s="16" t="s">
        <v>32</v>
      </c>
    </row>
    <row r="1110" spans="1:14" hidden="1" x14ac:dyDescent="0.3">
      <c r="A1110" s="16" t="s">
        <v>3123</v>
      </c>
      <c r="B1110" s="16"/>
      <c r="C1110" s="16"/>
      <c r="D1110" s="16" t="s">
        <v>3124</v>
      </c>
      <c r="E1110" s="16" t="s">
        <v>1963</v>
      </c>
      <c r="F1110" s="16" t="s">
        <v>388</v>
      </c>
      <c r="G1110" s="16" t="s">
        <v>539</v>
      </c>
      <c r="J1110" s="16" t="s">
        <v>33</v>
      </c>
      <c r="L1110" s="16" t="s">
        <v>32</v>
      </c>
      <c r="M1110" s="16" t="s">
        <v>1975</v>
      </c>
      <c r="N1110" s="16" t="s">
        <v>33</v>
      </c>
    </row>
    <row r="1111" spans="1:14" hidden="1" x14ac:dyDescent="0.3">
      <c r="A1111" s="16" t="s">
        <v>3125</v>
      </c>
      <c r="B1111" s="16"/>
      <c r="C1111" s="16"/>
      <c r="D1111" s="16" t="s">
        <v>3126</v>
      </c>
      <c r="E1111" s="16" t="s">
        <v>1804</v>
      </c>
      <c r="F1111" s="16" t="s">
        <v>18</v>
      </c>
      <c r="G1111" s="16" t="s">
        <v>539</v>
      </c>
      <c r="I1111" s="16" t="s">
        <v>1103</v>
      </c>
      <c r="J1111" s="16" t="s">
        <v>33</v>
      </c>
    </row>
    <row r="1112" spans="1:14" hidden="1" x14ac:dyDescent="0.3">
      <c r="A1112" s="16" t="s">
        <v>1351</v>
      </c>
      <c r="B1112" s="16"/>
      <c r="C1112" s="16"/>
      <c r="D1112" s="16" t="s">
        <v>1352</v>
      </c>
      <c r="E1112" s="16" t="s">
        <v>1778</v>
      </c>
      <c r="F1112" s="16" t="s">
        <v>18</v>
      </c>
      <c r="G1112" s="16" t="s">
        <v>539</v>
      </c>
      <c r="I1112" s="16" t="s">
        <v>1127</v>
      </c>
      <c r="J1112" s="16" t="s">
        <v>33</v>
      </c>
    </row>
    <row r="1113" spans="1:14" hidden="1" x14ac:dyDescent="0.3">
      <c r="A1113" s="16" t="s">
        <v>3127</v>
      </c>
      <c r="B1113" s="16"/>
      <c r="C1113" s="16"/>
      <c r="D1113" s="16" t="s">
        <v>3128</v>
      </c>
      <c r="E1113" s="16" t="s">
        <v>1779</v>
      </c>
      <c r="F1113" s="16" t="s">
        <v>388</v>
      </c>
      <c r="G1113" s="16" t="s">
        <v>539</v>
      </c>
      <c r="J1113" s="16" t="s">
        <v>33</v>
      </c>
      <c r="L1113" s="16" t="s">
        <v>32</v>
      </c>
    </row>
    <row r="1114" spans="1:14" hidden="1" x14ac:dyDescent="0.3">
      <c r="A1114" s="16" t="s">
        <v>3129</v>
      </c>
      <c r="B1114" s="16"/>
      <c r="C1114" s="16"/>
      <c r="D1114" s="16" t="s">
        <v>3130</v>
      </c>
      <c r="E1114" s="16" t="s">
        <v>1779</v>
      </c>
      <c r="F1114" s="16" t="s">
        <v>133</v>
      </c>
      <c r="G1114" s="16" t="s">
        <v>1791</v>
      </c>
      <c r="J1114" s="16" t="s">
        <v>33</v>
      </c>
    </row>
    <row r="1115" spans="1:14" hidden="1" x14ac:dyDescent="0.3">
      <c r="A1115" s="16" t="s">
        <v>3129</v>
      </c>
      <c r="B1115" s="16"/>
      <c r="C1115" s="16"/>
      <c r="D1115" s="16" t="s">
        <v>3131</v>
      </c>
      <c r="E1115" s="16" t="s">
        <v>1915</v>
      </c>
      <c r="F1115" s="16" t="s">
        <v>133</v>
      </c>
      <c r="G1115" s="16" t="s">
        <v>539</v>
      </c>
      <c r="J1115" s="16" t="s">
        <v>33</v>
      </c>
    </row>
    <row r="1116" spans="1:14" hidden="1" x14ac:dyDescent="0.3">
      <c r="A1116" s="16" t="s">
        <v>259</v>
      </c>
      <c r="B1116" s="16"/>
      <c r="C1116" s="16"/>
      <c r="D1116" s="16" t="s">
        <v>260</v>
      </c>
      <c r="E1116" s="16" t="s">
        <v>1779</v>
      </c>
      <c r="F1116" s="16" t="s">
        <v>388</v>
      </c>
      <c r="G1116" s="16" t="s">
        <v>539</v>
      </c>
      <c r="J1116" s="16" t="s">
        <v>33</v>
      </c>
      <c r="L1116" s="16" t="s">
        <v>32</v>
      </c>
    </row>
    <row r="1117" spans="1:14" hidden="1" x14ac:dyDescent="0.3">
      <c r="A1117" s="16" t="s">
        <v>3132</v>
      </c>
      <c r="B1117" s="16"/>
      <c r="C1117" s="16"/>
      <c r="D1117" s="16" t="s">
        <v>3132</v>
      </c>
      <c r="E1117" s="16" t="s">
        <v>1769</v>
      </c>
      <c r="F1117" s="16" t="s">
        <v>388</v>
      </c>
      <c r="G1117" s="16" t="s">
        <v>539</v>
      </c>
      <c r="L1117" s="16" t="s">
        <v>1988</v>
      </c>
    </row>
    <row r="1118" spans="1:14" hidden="1" x14ac:dyDescent="0.3">
      <c r="A1118" s="16" t="s">
        <v>3133</v>
      </c>
      <c r="B1118" s="16"/>
      <c r="C1118" s="16"/>
      <c r="D1118" s="16" t="s">
        <v>473</v>
      </c>
      <c r="E1118" s="16" t="s">
        <v>1779</v>
      </c>
      <c r="F1118" s="16" t="s">
        <v>388</v>
      </c>
      <c r="G1118" s="16" t="s">
        <v>539</v>
      </c>
      <c r="J1118" s="16" t="s">
        <v>33</v>
      </c>
      <c r="L1118" s="16" t="s">
        <v>32</v>
      </c>
    </row>
    <row r="1119" spans="1:14" hidden="1" x14ac:dyDescent="0.3">
      <c r="A1119" s="16" t="s">
        <v>3133</v>
      </c>
      <c r="B1119" s="16"/>
      <c r="C1119" s="16"/>
      <c r="D1119" s="16" t="s">
        <v>473</v>
      </c>
      <c r="E1119" s="16" t="s">
        <v>1777</v>
      </c>
      <c r="F1119" s="16" t="s">
        <v>388</v>
      </c>
      <c r="G1119" s="16" t="s">
        <v>539</v>
      </c>
      <c r="J1119" s="16" t="s">
        <v>33</v>
      </c>
      <c r="L1119" s="16" t="s">
        <v>32</v>
      </c>
    </row>
    <row r="1120" spans="1:14" hidden="1" x14ac:dyDescent="0.3">
      <c r="A1120" s="16" t="s">
        <v>1356</v>
      </c>
      <c r="B1120" s="16"/>
      <c r="C1120" s="16"/>
      <c r="D1120" s="16" t="s">
        <v>1357</v>
      </c>
      <c r="E1120" s="16" t="s">
        <v>1778</v>
      </c>
      <c r="F1120" s="16" t="s">
        <v>18</v>
      </c>
      <c r="G1120" s="16" t="s">
        <v>539</v>
      </c>
      <c r="I1120" s="16" t="s">
        <v>1127</v>
      </c>
      <c r="J1120" s="16" t="s">
        <v>33</v>
      </c>
    </row>
    <row r="1121" spans="1:10" hidden="1" x14ac:dyDescent="0.3">
      <c r="A1121" s="16" t="s">
        <v>1358</v>
      </c>
      <c r="B1121" s="16"/>
      <c r="C1121" s="16"/>
      <c r="D1121" s="16" t="s">
        <v>1359</v>
      </c>
      <c r="E1121" s="16" t="s">
        <v>1778</v>
      </c>
      <c r="F1121" s="16" t="s">
        <v>18</v>
      </c>
      <c r="G1121" s="16" t="s">
        <v>539</v>
      </c>
      <c r="I1121" s="16" t="s">
        <v>1127</v>
      </c>
      <c r="J1121" s="16" t="s">
        <v>33</v>
      </c>
    </row>
    <row r="1122" spans="1:10" hidden="1" x14ac:dyDescent="0.3">
      <c r="A1122" s="16" t="s">
        <v>1360</v>
      </c>
      <c r="B1122" s="16"/>
      <c r="C1122" s="16"/>
      <c r="D1122" s="16" t="s">
        <v>1361</v>
      </c>
      <c r="E1122" s="16" t="s">
        <v>1778</v>
      </c>
      <c r="F1122" s="16" t="s">
        <v>18</v>
      </c>
      <c r="G1122" s="16" t="s">
        <v>539</v>
      </c>
      <c r="I1122" s="16" t="s">
        <v>1127</v>
      </c>
      <c r="J1122" s="16" t="s">
        <v>33</v>
      </c>
    </row>
    <row r="1123" spans="1:10" hidden="1" x14ac:dyDescent="0.3">
      <c r="A1123" s="16" t="s">
        <v>1362</v>
      </c>
      <c r="B1123" s="16"/>
      <c r="C1123" s="16"/>
      <c r="D1123" s="16" t="s">
        <v>1363</v>
      </c>
      <c r="E1123" s="16" t="s">
        <v>1778</v>
      </c>
      <c r="F1123" s="16" t="s">
        <v>18</v>
      </c>
      <c r="G1123" s="16" t="s">
        <v>539</v>
      </c>
      <c r="I1123" s="16" t="s">
        <v>1127</v>
      </c>
      <c r="J1123" s="16" t="s">
        <v>33</v>
      </c>
    </row>
    <row r="1124" spans="1:10" hidden="1" x14ac:dyDescent="0.3">
      <c r="A1124" s="16" t="s">
        <v>1364</v>
      </c>
      <c r="B1124" s="16"/>
      <c r="C1124" s="16"/>
      <c r="D1124" s="16" t="s">
        <v>1365</v>
      </c>
      <c r="E1124" s="16" t="s">
        <v>1778</v>
      </c>
      <c r="F1124" s="16" t="s">
        <v>18</v>
      </c>
      <c r="G1124" s="16" t="s">
        <v>539</v>
      </c>
      <c r="I1124" s="16" t="s">
        <v>1127</v>
      </c>
      <c r="J1124" s="16" t="s">
        <v>33</v>
      </c>
    </row>
    <row r="1125" spans="1:10" hidden="1" x14ac:dyDescent="0.3">
      <c r="A1125" s="16" t="s">
        <v>1366</v>
      </c>
      <c r="B1125" s="16"/>
      <c r="C1125" s="16"/>
      <c r="D1125" s="16" t="s">
        <v>1367</v>
      </c>
      <c r="E1125" s="16" t="s">
        <v>1778</v>
      </c>
      <c r="F1125" s="16" t="s">
        <v>18</v>
      </c>
      <c r="G1125" s="16" t="s">
        <v>539</v>
      </c>
      <c r="I1125" s="16" t="s">
        <v>1127</v>
      </c>
      <c r="J1125" s="16" t="s">
        <v>33</v>
      </c>
    </row>
    <row r="1126" spans="1:10" hidden="1" x14ac:dyDescent="0.3">
      <c r="A1126" s="16" t="s">
        <v>1368</v>
      </c>
      <c r="B1126" s="16"/>
      <c r="C1126" s="16"/>
      <c r="D1126" s="16" t="s">
        <v>1369</v>
      </c>
      <c r="E1126" s="16" t="s">
        <v>1778</v>
      </c>
      <c r="F1126" s="16" t="s">
        <v>18</v>
      </c>
      <c r="G1126" s="16" t="s">
        <v>539</v>
      </c>
      <c r="I1126" s="16" t="s">
        <v>1127</v>
      </c>
      <c r="J1126" s="16" t="s">
        <v>33</v>
      </c>
    </row>
    <row r="1127" spans="1:10" hidden="1" x14ac:dyDescent="0.3">
      <c r="A1127" s="16" t="s">
        <v>1370</v>
      </c>
      <c r="B1127" s="16"/>
      <c r="C1127" s="16"/>
      <c r="D1127" s="16" t="s">
        <v>1371</v>
      </c>
      <c r="E1127" s="16" t="s">
        <v>1778</v>
      </c>
      <c r="F1127" s="16" t="s">
        <v>18</v>
      </c>
      <c r="G1127" s="16" t="s">
        <v>539</v>
      </c>
      <c r="I1127" s="16" t="s">
        <v>1127</v>
      </c>
      <c r="J1127" s="16" t="s">
        <v>33</v>
      </c>
    </row>
    <row r="1128" spans="1:10" hidden="1" x14ac:dyDescent="0.3">
      <c r="A1128" s="16" t="s">
        <v>1372</v>
      </c>
      <c r="B1128" s="16"/>
      <c r="C1128" s="16"/>
      <c r="D1128" s="16" t="s">
        <v>1373</v>
      </c>
      <c r="E1128" s="16" t="s">
        <v>1778</v>
      </c>
      <c r="F1128" s="16" t="s">
        <v>18</v>
      </c>
      <c r="G1128" s="16" t="s">
        <v>539</v>
      </c>
      <c r="I1128" s="16" t="s">
        <v>1127</v>
      </c>
      <c r="J1128" s="16" t="s">
        <v>33</v>
      </c>
    </row>
    <row r="1129" spans="1:10" hidden="1" x14ac:dyDescent="0.3">
      <c r="A1129" s="16" t="s">
        <v>1374</v>
      </c>
      <c r="B1129" s="16"/>
      <c r="C1129" s="16"/>
      <c r="D1129" s="16" t="s">
        <v>1375</v>
      </c>
      <c r="E1129" s="16" t="s">
        <v>1778</v>
      </c>
      <c r="F1129" s="16" t="s">
        <v>18</v>
      </c>
      <c r="G1129" s="16" t="s">
        <v>539</v>
      </c>
      <c r="I1129" s="16" t="s">
        <v>1127</v>
      </c>
      <c r="J1129" s="16" t="s">
        <v>33</v>
      </c>
    </row>
    <row r="1130" spans="1:10" hidden="1" x14ac:dyDescent="0.3">
      <c r="A1130" s="16" t="s">
        <v>1612</v>
      </c>
      <c r="B1130" s="16"/>
      <c r="C1130" s="16"/>
      <c r="D1130" s="16" t="s">
        <v>1613</v>
      </c>
      <c r="E1130" s="16" t="s">
        <v>1779</v>
      </c>
      <c r="F1130" s="16" t="s">
        <v>18</v>
      </c>
      <c r="G1130" s="16" t="s">
        <v>539</v>
      </c>
      <c r="I1130" s="16" t="s">
        <v>1127</v>
      </c>
      <c r="J1130" s="16" t="s">
        <v>33</v>
      </c>
    </row>
    <row r="1131" spans="1:10" hidden="1" x14ac:dyDescent="0.3">
      <c r="A1131" s="16" t="s">
        <v>1614</v>
      </c>
      <c r="B1131" s="16"/>
      <c r="C1131" s="16"/>
      <c r="D1131" s="16" t="s">
        <v>1615</v>
      </c>
      <c r="E1131" s="16" t="s">
        <v>1779</v>
      </c>
      <c r="F1131" s="16" t="s">
        <v>18</v>
      </c>
      <c r="G1131" s="16" t="s">
        <v>539</v>
      </c>
      <c r="I1131" s="16" t="s">
        <v>1127</v>
      </c>
      <c r="J1131" s="16" t="s">
        <v>33</v>
      </c>
    </row>
    <row r="1132" spans="1:10" hidden="1" x14ac:dyDescent="0.3">
      <c r="A1132" s="16" t="s">
        <v>1376</v>
      </c>
      <c r="B1132" s="16"/>
      <c r="C1132" s="16"/>
      <c r="D1132" s="16" t="s">
        <v>1377</v>
      </c>
      <c r="E1132" s="16" t="s">
        <v>1778</v>
      </c>
      <c r="F1132" s="16" t="s">
        <v>18</v>
      </c>
      <c r="G1132" s="16" t="s">
        <v>539</v>
      </c>
      <c r="I1132" s="16" t="s">
        <v>1127</v>
      </c>
      <c r="J1132" s="16" t="s">
        <v>33</v>
      </c>
    </row>
    <row r="1133" spans="1:10" hidden="1" x14ac:dyDescent="0.3">
      <c r="A1133" s="16" t="s">
        <v>1378</v>
      </c>
      <c r="B1133" s="16"/>
      <c r="C1133" s="16"/>
      <c r="D1133" s="16" t="s">
        <v>1379</v>
      </c>
      <c r="E1133" s="16" t="s">
        <v>1778</v>
      </c>
      <c r="F1133" s="16" t="s">
        <v>18</v>
      </c>
      <c r="G1133" s="16" t="s">
        <v>539</v>
      </c>
      <c r="I1133" s="16" t="s">
        <v>1127</v>
      </c>
      <c r="J1133" s="16" t="s">
        <v>33</v>
      </c>
    </row>
    <row r="1134" spans="1:10" hidden="1" x14ac:dyDescent="0.3">
      <c r="A1134" s="16" t="s">
        <v>1680</v>
      </c>
      <c r="B1134" s="16"/>
      <c r="C1134" s="16"/>
      <c r="D1134" s="16" t="s">
        <v>1681</v>
      </c>
      <c r="E1134" s="16" t="s">
        <v>1778</v>
      </c>
      <c r="F1134" s="16" t="s">
        <v>18</v>
      </c>
      <c r="G1134" s="16" t="s">
        <v>539</v>
      </c>
      <c r="I1134" s="16" t="s">
        <v>1127</v>
      </c>
      <c r="J1134" s="16" t="s">
        <v>33</v>
      </c>
    </row>
    <row r="1135" spans="1:10" hidden="1" x14ac:dyDescent="0.3">
      <c r="A1135" s="16" t="s">
        <v>1682</v>
      </c>
      <c r="B1135" s="16"/>
      <c r="C1135" s="16"/>
      <c r="D1135" s="16" t="s">
        <v>1683</v>
      </c>
      <c r="E1135" s="16" t="s">
        <v>1778</v>
      </c>
      <c r="F1135" s="16" t="s">
        <v>18</v>
      </c>
      <c r="G1135" s="16" t="s">
        <v>539</v>
      </c>
      <c r="I1135" s="16" t="s">
        <v>1127</v>
      </c>
      <c r="J1135" s="16" t="s">
        <v>33</v>
      </c>
    </row>
    <row r="1136" spans="1:10" hidden="1" x14ac:dyDescent="0.3">
      <c r="A1136" s="16" t="s">
        <v>1684</v>
      </c>
      <c r="B1136" s="16"/>
      <c r="C1136" s="16"/>
      <c r="D1136" s="16" t="s">
        <v>1685</v>
      </c>
      <c r="E1136" s="16" t="s">
        <v>1778</v>
      </c>
      <c r="F1136" s="16" t="s">
        <v>18</v>
      </c>
      <c r="G1136" s="16" t="s">
        <v>539</v>
      </c>
      <c r="I1136" s="16" t="s">
        <v>1127</v>
      </c>
      <c r="J1136" s="16" t="s">
        <v>33</v>
      </c>
    </row>
    <row r="1137" spans="1:12" hidden="1" x14ac:dyDescent="0.3">
      <c r="A1137" s="16" t="s">
        <v>1387</v>
      </c>
      <c r="B1137" s="16"/>
      <c r="C1137" s="16"/>
      <c r="D1137" s="16" t="s">
        <v>1388</v>
      </c>
      <c r="E1137" s="16" t="s">
        <v>1778</v>
      </c>
      <c r="F1137" s="16" t="s">
        <v>18</v>
      </c>
      <c r="G1137" s="16" t="s">
        <v>539</v>
      </c>
      <c r="I1137" s="16" t="s">
        <v>1127</v>
      </c>
      <c r="J1137" s="16" t="s">
        <v>33</v>
      </c>
    </row>
    <row r="1138" spans="1:12" hidden="1" x14ac:dyDescent="0.3">
      <c r="A1138" s="16" t="s">
        <v>1686</v>
      </c>
      <c r="B1138" s="16"/>
      <c r="C1138" s="16"/>
      <c r="D1138" s="16" t="s">
        <v>1687</v>
      </c>
      <c r="E1138" s="16" t="s">
        <v>1778</v>
      </c>
      <c r="F1138" s="16" t="s">
        <v>18</v>
      </c>
      <c r="G1138" s="16" t="s">
        <v>539</v>
      </c>
      <c r="I1138" s="16" t="s">
        <v>1127</v>
      </c>
      <c r="J1138" s="16" t="s">
        <v>33</v>
      </c>
    </row>
    <row r="1139" spans="1:12" hidden="1" x14ac:dyDescent="0.3">
      <c r="A1139" s="16" t="s">
        <v>1389</v>
      </c>
      <c r="B1139" s="16"/>
      <c r="C1139" s="16"/>
      <c r="D1139" s="16" t="s">
        <v>1390</v>
      </c>
      <c r="E1139" s="16" t="s">
        <v>1778</v>
      </c>
      <c r="F1139" s="16" t="s">
        <v>18</v>
      </c>
      <c r="G1139" s="16" t="s">
        <v>539</v>
      </c>
      <c r="I1139" s="16" t="s">
        <v>1127</v>
      </c>
      <c r="J1139" s="16" t="s">
        <v>33</v>
      </c>
    </row>
    <row r="1140" spans="1:12" hidden="1" x14ac:dyDescent="0.3">
      <c r="A1140" s="16" t="s">
        <v>1391</v>
      </c>
      <c r="B1140" s="16"/>
      <c r="C1140" s="16"/>
      <c r="D1140" s="16" t="s">
        <v>1392</v>
      </c>
      <c r="E1140" s="16" t="s">
        <v>1778</v>
      </c>
      <c r="F1140" s="16" t="s">
        <v>18</v>
      </c>
      <c r="G1140" s="16" t="s">
        <v>539</v>
      </c>
      <c r="I1140" s="16" t="s">
        <v>1127</v>
      </c>
      <c r="J1140" s="16" t="s">
        <v>33</v>
      </c>
    </row>
    <row r="1141" spans="1:12" hidden="1" x14ac:dyDescent="0.3">
      <c r="A1141" s="16" t="s">
        <v>1393</v>
      </c>
      <c r="B1141" s="16"/>
      <c r="C1141" s="16"/>
      <c r="D1141" s="16" t="s">
        <v>1394</v>
      </c>
      <c r="E1141" s="16" t="s">
        <v>1778</v>
      </c>
      <c r="F1141" s="16" t="s">
        <v>18</v>
      </c>
      <c r="G1141" s="16" t="s">
        <v>539</v>
      </c>
      <c r="I1141" s="16" t="s">
        <v>1127</v>
      </c>
      <c r="J1141" s="16" t="s">
        <v>33</v>
      </c>
    </row>
    <row r="1142" spans="1:12" hidden="1" x14ac:dyDescent="0.3">
      <c r="A1142" s="16" t="s">
        <v>3134</v>
      </c>
      <c r="B1142" s="16"/>
      <c r="C1142" s="16"/>
      <c r="D1142" s="16" t="s">
        <v>3135</v>
      </c>
      <c r="E1142" s="16" t="s">
        <v>1779</v>
      </c>
      <c r="F1142" s="16" t="s">
        <v>133</v>
      </c>
      <c r="G1142" s="16" t="s">
        <v>255</v>
      </c>
      <c r="J1142" s="16" t="s">
        <v>33</v>
      </c>
    </row>
    <row r="1143" spans="1:12" hidden="1" x14ac:dyDescent="0.3">
      <c r="A1143" s="16" t="s">
        <v>3136</v>
      </c>
      <c r="B1143" s="16"/>
      <c r="C1143" s="16"/>
      <c r="D1143" s="16" t="s">
        <v>3137</v>
      </c>
      <c r="E1143" s="16" t="s">
        <v>1779</v>
      </c>
      <c r="F1143" s="16" t="s">
        <v>133</v>
      </c>
      <c r="G1143" s="16" t="s">
        <v>1791</v>
      </c>
      <c r="J1143" s="16" t="s">
        <v>33</v>
      </c>
    </row>
    <row r="1144" spans="1:12" hidden="1" x14ac:dyDescent="0.3">
      <c r="A1144" s="16" t="s">
        <v>1150</v>
      </c>
      <c r="B1144" s="16"/>
      <c r="C1144" s="16"/>
      <c r="D1144" s="16" t="s">
        <v>1151</v>
      </c>
      <c r="E1144" s="16" t="s">
        <v>1915</v>
      </c>
      <c r="F1144" s="16" t="s">
        <v>18</v>
      </c>
      <c r="G1144" s="16" t="s">
        <v>588</v>
      </c>
      <c r="I1144" s="16" t="s">
        <v>1127</v>
      </c>
      <c r="J1144" s="16" t="s">
        <v>33</v>
      </c>
    </row>
    <row r="1145" spans="1:12" hidden="1" x14ac:dyDescent="0.3">
      <c r="A1145" s="16" t="s">
        <v>503</v>
      </c>
      <c r="B1145" s="16"/>
      <c r="C1145" s="16"/>
      <c r="D1145" s="16" t="s">
        <v>504</v>
      </c>
      <c r="E1145" s="16" t="s">
        <v>1779</v>
      </c>
      <c r="F1145" s="16" t="s">
        <v>133</v>
      </c>
      <c r="G1145" s="16" t="s">
        <v>539</v>
      </c>
      <c r="J1145" s="16" t="s">
        <v>33</v>
      </c>
    </row>
    <row r="1146" spans="1:12" hidden="1" x14ac:dyDescent="0.3">
      <c r="A1146" s="16" t="s">
        <v>3138</v>
      </c>
      <c r="B1146" s="16"/>
      <c r="C1146" s="16"/>
      <c r="D1146" s="16" t="s">
        <v>3139</v>
      </c>
      <c r="E1146" s="16" t="s">
        <v>1779</v>
      </c>
      <c r="F1146" s="16" t="s">
        <v>388</v>
      </c>
      <c r="G1146" s="16" t="s">
        <v>539</v>
      </c>
      <c r="L1146" s="16" t="s">
        <v>32</v>
      </c>
    </row>
    <row r="1147" spans="1:12" hidden="1" x14ac:dyDescent="0.3">
      <c r="A1147" s="16" t="s">
        <v>3138</v>
      </c>
      <c r="B1147" s="16"/>
      <c r="C1147" s="16"/>
      <c r="D1147" s="16" t="s">
        <v>3139</v>
      </c>
      <c r="E1147" s="16" t="s">
        <v>1769</v>
      </c>
      <c r="F1147" s="16" t="s">
        <v>388</v>
      </c>
      <c r="G1147" s="16" t="s">
        <v>539</v>
      </c>
      <c r="L1147" s="16" t="s">
        <v>32</v>
      </c>
    </row>
    <row r="1148" spans="1:12" hidden="1" x14ac:dyDescent="0.3">
      <c r="A1148" s="16" t="s">
        <v>3138</v>
      </c>
      <c r="B1148" s="16"/>
      <c r="C1148" s="16"/>
      <c r="D1148" s="16" t="s">
        <v>3140</v>
      </c>
      <c r="E1148" s="16" t="s">
        <v>1769</v>
      </c>
      <c r="F1148" s="16" t="s">
        <v>388</v>
      </c>
      <c r="G1148" s="16" t="s">
        <v>539</v>
      </c>
      <c r="L1148" s="16" t="s">
        <v>32</v>
      </c>
    </row>
    <row r="1149" spans="1:12" hidden="1" x14ac:dyDescent="0.3">
      <c r="A1149" s="16" t="s">
        <v>3138</v>
      </c>
      <c r="B1149" s="16"/>
      <c r="C1149" s="16"/>
      <c r="D1149" s="16" t="s">
        <v>3141</v>
      </c>
      <c r="E1149" s="16" t="s">
        <v>1769</v>
      </c>
      <c r="F1149" s="16" t="s">
        <v>388</v>
      </c>
      <c r="G1149" s="16" t="s">
        <v>539</v>
      </c>
      <c r="L1149" s="16" t="s">
        <v>32</v>
      </c>
    </row>
    <row r="1150" spans="1:12" hidden="1" x14ac:dyDescent="0.3">
      <c r="A1150" s="16" t="s">
        <v>3138</v>
      </c>
      <c r="B1150" s="16"/>
      <c r="C1150" s="16"/>
      <c r="D1150" s="16" t="s">
        <v>3142</v>
      </c>
      <c r="E1150" s="16" t="s">
        <v>1779</v>
      </c>
      <c r="F1150" s="16" t="s">
        <v>388</v>
      </c>
      <c r="G1150" s="16" t="s">
        <v>539</v>
      </c>
      <c r="L1150" s="16" t="s">
        <v>32</v>
      </c>
    </row>
    <row r="1151" spans="1:12" hidden="1" x14ac:dyDescent="0.3">
      <c r="A1151" s="16" t="s">
        <v>3138</v>
      </c>
      <c r="B1151" s="16"/>
      <c r="C1151" s="16"/>
      <c r="D1151" s="16" t="s">
        <v>3142</v>
      </c>
      <c r="E1151" s="16" t="s">
        <v>1769</v>
      </c>
      <c r="F1151" s="16" t="s">
        <v>388</v>
      </c>
      <c r="G1151" s="16" t="s">
        <v>539</v>
      </c>
      <c r="L1151" s="16" t="s">
        <v>1988</v>
      </c>
    </row>
    <row r="1152" spans="1:12" hidden="1" x14ac:dyDescent="0.3">
      <c r="A1152" s="16" t="s">
        <v>3143</v>
      </c>
      <c r="B1152" s="16"/>
      <c r="C1152" s="16"/>
      <c r="D1152" s="16" t="s">
        <v>3144</v>
      </c>
      <c r="E1152" s="16" t="s">
        <v>1779</v>
      </c>
      <c r="F1152" s="16" t="s">
        <v>388</v>
      </c>
      <c r="G1152" s="16" t="s">
        <v>539</v>
      </c>
      <c r="L1152" s="16" t="s">
        <v>32</v>
      </c>
    </row>
    <row r="1153" spans="1:14" hidden="1" x14ac:dyDescent="0.3">
      <c r="A1153" s="16" t="s">
        <v>3143</v>
      </c>
      <c r="B1153" s="16"/>
      <c r="C1153" s="16"/>
      <c r="D1153" s="16" t="s">
        <v>3145</v>
      </c>
      <c r="E1153" s="16" t="s">
        <v>1779</v>
      </c>
      <c r="F1153" s="16" t="s">
        <v>388</v>
      </c>
      <c r="G1153" s="16" t="s">
        <v>539</v>
      </c>
      <c r="L1153" s="16" t="s">
        <v>32</v>
      </c>
    </row>
    <row r="1154" spans="1:14" hidden="1" x14ac:dyDescent="0.3">
      <c r="A1154" s="16" t="s">
        <v>3138</v>
      </c>
      <c r="B1154" s="16"/>
      <c r="C1154" s="16"/>
      <c r="D1154" s="16" t="s">
        <v>3146</v>
      </c>
      <c r="E1154" s="16" t="s">
        <v>1779</v>
      </c>
      <c r="F1154" s="16" t="s">
        <v>388</v>
      </c>
      <c r="G1154" s="16" t="s">
        <v>539</v>
      </c>
      <c r="J1154" s="16" t="s">
        <v>33</v>
      </c>
      <c r="L1154" s="16" t="s">
        <v>32</v>
      </c>
      <c r="N1154" s="16" t="s">
        <v>33</v>
      </c>
    </row>
    <row r="1155" spans="1:14" hidden="1" x14ac:dyDescent="0.3">
      <c r="A1155" s="16" t="s">
        <v>3138</v>
      </c>
      <c r="B1155" s="16"/>
      <c r="C1155" s="16"/>
      <c r="D1155" s="16" t="s">
        <v>3147</v>
      </c>
      <c r="E1155" s="16" t="s">
        <v>1779</v>
      </c>
      <c r="F1155" s="16" t="s">
        <v>388</v>
      </c>
      <c r="G1155" s="16" t="s">
        <v>539</v>
      </c>
      <c r="L1155" s="16" t="s">
        <v>32</v>
      </c>
    </row>
    <row r="1156" spans="1:14" hidden="1" x14ac:dyDescent="0.3">
      <c r="A1156" s="16" t="s">
        <v>3138</v>
      </c>
      <c r="B1156" s="16"/>
      <c r="C1156" s="16"/>
      <c r="D1156" s="16" t="s">
        <v>3148</v>
      </c>
      <c r="E1156" s="16" t="s">
        <v>1804</v>
      </c>
      <c r="F1156" s="16" t="s">
        <v>388</v>
      </c>
      <c r="G1156" s="16" t="s">
        <v>539</v>
      </c>
      <c r="L1156" s="16" t="s">
        <v>32</v>
      </c>
    </row>
    <row r="1157" spans="1:14" hidden="1" x14ac:dyDescent="0.3">
      <c r="A1157" s="16" t="s">
        <v>3138</v>
      </c>
      <c r="B1157" s="16"/>
      <c r="C1157" s="16"/>
      <c r="D1157" s="16" t="s">
        <v>3149</v>
      </c>
      <c r="E1157" s="16" t="s">
        <v>1779</v>
      </c>
      <c r="F1157" s="16" t="s">
        <v>388</v>
      </c>
      <c r="G1157" s="16" t="s">
        <v>539</v>
      </c>
      <c r="L1157" s="16" t="s">
        <v>32</v>
      </c>
    </row>
    <row r="1158" spans="1:14" hidden="1" x14ac:dyDescent="0.3">
      <c r="A1158" s="16" t="s">
        <v>3143</v>
      </c>
      <c r="B1158" s="16"/>
      <c r="C1158" s="16"/>
      <c r="D1158" s="16" t="s">
        <v>3150</v>
      </c>
      <c r="E1158" s="16" t="s">
        <v>1779</v>
      </c>
      <c r="F1158" s="16" t="s">
        <v>388</v>
      </c>
      <c r="G1158" s="16" t="s">
        <v>539</v>
      </c>
      <c r="L1158" s="16" t="s">
        <v>32</v>
      </c>
    </row>
    <row r="1159" spans="1:14" hidden="1" x14ac:dyDescent="0.3">
      <c r="A1159" s="16" t="s">
        <v>3138</v>
      </c>
      <c r="B1159" s="16"/>
      <c r="C1159" s="16"/>
      <c r="D1159" s="16" t="s">
        <v>3151</v>
      </c>
      <c r="E1159" s="16" t="s">
        <v>1779</v>
      </c>
      <c r="F1159" s="16" t="s">
        <v>388</v>
      </c>
      <c r="G1159" s="16" t="s">
        <v>539</v>
      </c>
      <c r="J1159" s="16" t="s">
        <v>33</v>
      </c>
      <c r="L1159" s="16" t="s">
        <v>32</v>
      </c>
      <c r="N1159" s="16" t="s">
        <v>33</v>
      </c>
    </row>
    <row r="1160" spans="1:14" hidden="1" x14ac:dyDescent="0.3">
      <c r="A1160" s="16" t="s">
        <v>3143</v>
      </c>
      <c r="B1160" s="16"/>
      <c r="C1160" s="16"/>
      <c r="D1160" s="16" t="s">
        <v>3152</v>
      </c>
      <c r="E1160" s="16" t="s">
        <v>1779</v>
      </c>
      <c r="F1160" s="16" t="s">
        <v>388</v>
      </c>
      <c r="G1160" s="16" t="s">
        <v>539</v>
      </c>
      <c r="L1160" s="16" t="s">
        <v>32</v>
      </c>
    </row>
    <row r="1161" spans="1:14" hidden="1" x14ac:dyDescent="0.3">
      <c r="A1161" s="16" t="s">
        <v>3153</v>
      </c>
      <c r="B1161" s="16"/>
      <c r="C1161" s="16"/>
      <c r="D1161" s="16" t="s">
        <v>3154</v>
      </c>
      <c r="E1161" s="16" t="s">
        <v>1769</v>
      </c>
      <c r="F1161" s="16" t="s">
        <v>388</v>
      </c>
      <c r="G1161" s="16" t="s">
        <v>539</v>
      </c>
      <c r="L1161" s="16" t="s">
        <v>1988</v>
      </c>
    </row>
    <row r="1162" spans="1:14" hidden="1" x14ac:dyDescent="0.3">
      <c r="A1162" s="16" t="s">
        <v>3153</v>
      </c>
      <c r="B1162" s="16"/>
      <c r="C1162" s="16"/>
      <c r="D1162" s="16" t="s">
        <v>3155</v>
      </c>
      <c r="E1162" s="16" t="s">
        <v>1769</v>
      </c>
      <c r="F1162" s="16" t="s">
        <v>388</v>
      </c>
      <c r="G1162" s="16" t="s">
        <v>539</v>
      </c>
      <c r="L1162" s="16" t="s">
        <v>1988</v>
      </c>
    </row>
    <row r="1163" spans="1:14" hidden="1" x14ac:dyDescent="0.3">
      <c r="A1163" s="16" t="s">
        <v>3156</v>
      </c>
      <c r="B1163" s="16"/>
      <c r="C1163" s="16"/>
      <c r="D1163" s="16" t="s">
        <v>3157</v>
      </c>
      <c r="E1163" s="16" t="s">
        <v>1779</v>
      </c>
      <c r="F1163" s="16" t="s">
        <v>18</v>
      </c>
      <c r="G1163" s="16" t="s">
        <v>661</v>
      </c>
      <c r="I1163" s="16" t="s">
        <v>1770</v>
      </c>
      <c r="J1163" s="16" t="s">
        <v>33</v>
      </c>
    </row>
    <row r="1164" spans="1:14" hidden="1" x14ac:dyDescent="0.3">
      <c r="A1164" s="16" t="s">
        <v>3158</v>
      </c>
      <c r="B1164" s="16"/>
      <c r="C1164" s="16"/>
      <c r="D1164" s="16" t="s">
        <v>397</v>
      </c>
      <c r="E1164" s="16" t="s">
        <v>1779</v>
      </c>
      <c r="F1164" s="16" t="s">
        <v>388</v>
      </c>
      <c r="G1164" s="16" t="s">
        <v>539</v>
      </c>
      <c r="J1164" s="16" t="s">
        <v>33</v>
      </c>
      <c r="L1164" s="16" t="s">
        <v>32</v>
      </c>
    </row>
    <row r="1165" spans="1:14" hidden="1" x14ac:dyDescent="0.3">
      <c r="A1165" s="16" t="s">
        <v>3158</v>
      </c>
      <c r="B1165" s="16"/>
      <c r="C1165" s="16"/>
      <c r="D1165" s="16" t="s">
        <v>397</v>
      </c>
      <c r="E1165" s="16" t="s">
        <v>1777</v>
      </c>
      <c r="F1165" s="16" t="s">
        <v>388</v>
      </c>
      <c r="G1165" s="16" t="s">
        <v>539</v>
      </c>
      <c r="J1165" s="16" t="s">
        <v>33</v>
      </c>
      <c r="L1165" s="16" t="s">
        <v>32</v>
      </c>
    </row>
    <row r="1166" spans="1:14" hidden="1" x14ac:dyDescent="0.3">
      <c r="A1166" s="16" t="s">
        <v>3159</v>
      </c>
      <c r="B1166" s="16"/>
      <c r="C1166" s="16"/>
      <c r="D1166" s="16" t="s">
        <v>3160</v>
      </c>
      <c r="E1166" s="16" t="s">
        <v>1779</v>
      </c>
      <c r="F1166" s="16" t="s">
        <v>133</v>
      </c>
      <c r="G1166" s="16" t="s">
        <v>588</v>
      </c>
      <c r="J1166" s="16" t="s">
        <v>33</v>
      </c>
    </row>
    <row r="1167" spans="1:14" hidden="1" x14ac:dyDescent="0.3">
      <c r="A1167" s="16" t="s">
        <v>3161</v>
      </c>
      <c r="B1167" s="16"/>
      <c r="C1167" s="16"/>
      <c r="D1167" s="16" t="s">
        <v>3162</v>
      </c>
      <c r="E1167" s="16" t="s">
        <v>1779</v>
      </c>
      <c r="F1167" s="16" t="s">
        <v>133</v>
      </c>
      <c r="G1167" s="16" t="s">
        <v>588</v>
      </c>
      <c r="J1167" s="16" t="s">
        <v>33</v>
      </c>
    </row>
    <row r="1168" spans="1:14" hidden="1" x14ac:dyDescent="0.3">
      <c r="A1168" s="16" t="s">
        <v>158</v>
      </c>
      <c r="B1168" s="16"/>
      <c r="C1168" s="16"/>
      <c r="D1168" s="16" t="s">
        <v>159</v>
      </c>
      <c r="E1168" s="16" t="s">
        <v>1779</v>
      </c>
      <c r="F1168" s="16" t="s">
        <v>388</v>
      </c>
      <c r="G1168" s="16" t="s">
        <v>539</v>
      </c>
      <c r="J1168" s="16" t="s">
        <v>33</v>
      </c>
      <c r="L1168" s="16" t="s">
        <v>32</v>
      </c>
    </row>
    <row r="1169" spans="1:14" hidden="1" x14ac:dyDescent="0.3">
      <c r="A1169" s="16" t="s">
        <v>158</v>
      </c>
      <c r="B1169" s="16"/>
      <c r="C1169" s="16"/>
      <c r="D1169" s="16" t="s">
        <v>159</v>
      </c>
      <c r="E1169" s="16" t="s">
        <v>1777</v>
      </c>
      <c r="F1169" s="16" t="s">
        <v>388</v>
      </c>
      <c r="G1169" s="16" t="s">
        <v>539</v>
      </c>
      <c r="J1169" s="16" t="s">
        <v>33</v>
      </c>
      <c r="L1169" s="16" t="s">
        <v>32</v>
      </c>
      <c r="M1169" s="16" t="s">
        <v>3163</v>
      </c>
    </row>
    <row r="1170" spans="1:14" hidden="1" x14ac:dyDescent="0.3">
      <c r="A1170" s="16" t="s">
        <v>3164</v>
      </c>
      <c r="B1170" s="16"/>
      <c r="C1170" s="16"/>
      <c r="D1170" s="16" t="s">
        <v>3165</v>
      </c>
      <c r="E1170" s="16" t="s">
        <v>1808</v>
      </c>
      <c r="F1170" s="16" t="s">
        <v>133</v>
      </c>
      <c r="G1170" s="16" t="s">
        <v>539</v>
      </c>
      <c r="J1170" s="16" t="s">
        <v>33</v>
      </c>
    </row>
    <row r="1171" spans="1:14" hidden="1" x14ac:dyDescent="0.3">
      <c r="A1171" s="16" t="s">
        <v>3166</v>
      </c>
      <c r="B1171" s="16"/>
      <c r="C1171" s="16"/>
      <c r="D1171" s="16" t="s">
        <v>3167</v>
      </c>
      <c r="E1171" s="16" t="s">
        <v>1963</v>
      </c>
      <c r="F1171" s="16" t="s">
        <v>18</v>
      </c>
      <c r="G1171" s="16" t="s">
        <v>555</v>
      </c>
      <c r="I1171" s="16" t="s">
        <v>1127</v>
      </c>
      <c r="J1171" s="16" t="s">
        <v>33</v>
      </c>
    </row>
    <row r="1172" spans="1:14" hidden="1" x14ac:dyDescent="0.3">
      <c r="A1172" s="16" t="s">
        <v>3168</v>
      </c>
      <c r="B1172" s="16"/>
      <c r="C1172" s="16"/>
      <c r="D1172" s="16" t="s">
        <v>3169</v>
      </c>
      <c r="E1172" s="16" t="s">
        <v>1808</v>
      </c>
      <c r="F1172" s="16" t="s">
        <v>133</v>
      </c>
      <c r="G1172" s="16" t="s">
        <v>539</v>
      </c>
      <c r="J1172" s="16" t="s">
        <v>33</v>
      </c>
    </row>
    <row r="1173" spans="1:14" hidden="1" x14ac:dyDescent="0.3">
      <c r="A1173" s="16" t="s">
        <v>101</v>
      </c>
      <c r="B1173" s="16"/>
      <c r="C1173" s="16"/>
      <c r="D1173" s="16" t="s">
        <v>3170</v>
      </c>
      <c r="E1173" s="16" t="s">
        <v>2092</v>
      </c>
      <c r="F1173" s="16" t="s">
        <v>388</v>
      </c>
      <c r="G1173" s="16" t="s">
        <v>539</v>
      </c>
      <c r="J1173" s="16" t="s">
        <v>33</v>
      </c>
      <c r="L1173" s="16" t="s">
        <v>32</v>
      </c>
      <c r="M1173" s="16" t="s">
        <v>3171</v>
      </c>
      <c r="N1173" s="16" t="s">
        <v>33</v>
      </c>
    </row>
    <row r="1174" spans="1:14" hidden="1" x14ac:dyDescent="0.3">
      <c r="A1174" s="16" t="s">
        <v>247</v>
      </c>
      <c r="B1174" s="16"/>
      <c r="C1174" s="16"/>
      <c r="D1174" s="16" t="s">
        <v>1184</v>
      </c>
      <c r="E1174" s="16" t="s">
        <v>1777</v>
      </c>
      <c r="F1174" s="16" t="s">
        <v>18</v>
      </c>
      <c r="G1174" s="16" t="s">
        <v>539</v>
      </c>
      <c r="I1174" s="16" t="s">
        <v>1127</v>
      </c>
      <c r="J1174" s="16" t="s">
        <v>33</v>
      </c>
    </row>
    <row r="1175" spans="1:14" hidden="1" x14ac:dyDescent="0.3">
      <c r="A1175" s="16" t="s">
        <v>247</v>
      </c>
      <c r="B1175" s="16"/>
      <c r="C1175" s="16"/>
      <c r="D1175" s="16" t="s">
        <v>248</v>
      </c>
      <c r="E1175" s="16" t="s">
        <v>1779</v>
      </c>
      <c r="F1175" s="16" t="s">
        <v>18</v>
      </c>
      <c r="G1175" s="16" t="s">
        <v>539</v>
      </c>
      <c r="I1175" s="16" t="s">
        <v>1127</v>
      </c>
      <c r="J1175" s="16" t="s">
        <v>33</v>
      </c>
    </row>
    <row r="1176" spans="1:14" hidden="1" x14ac:dyDescent="0.3">
      <c r="A1176" s="16" t="s">
        <v>247</v>
      </c>
      <c r="B1176" s="16"/>
      <c r="C1176" s="16"/>
      <c r="D1176" s="16" t="s">
        <v>1395</v>
      </c>
      <c r="E1176" s="16" t="s">
        <v>1778</v>
      </c>
      <c r="F1176" s="16" t="s">
        <v>18</v>
      </c>
      <c r="G1176" s="16" t="s">
        <v>539</v>
      </c>
      <c r="I1176" s="16" t="s">
        <v>1127</v>
      </c>
      <c r="J1176" s="16" t="s">
        <v>33</v>
      </c>
    </row>
    <row r="1177" spans="1:14" hidden="1" x14ac:dyDescent="0.3">
      <c r="A1177" s="16" t="s">
        <v>1620</v>
      </c>
      <c r="B1177" s="16"/>
      <c r="C1177" s="16"/>
      <c r="D1177" s="16" t="s">
        <v>1621</v>
      </c>
      <c r="E1177" s="16" t="s">
        <v>1779</v>
      </c>
      <c r="F1177" s="16" t="s">
        <v>18</v>
      </c>
      <c r="G1177" s="16" t="s">
        <v>1791</v>
      </c>
      <c r="I1177" s="16" t="s">
        <v>1103</v>
      </c>
      <c r="J1177" s="16" t="s">
        <v>33</v>
      </c>
    </row>
    <row r="1178" spans="1:14" hidden="1" x14ac:dyDescent="0.3">
      <c r="A1178" s="16" t="s">
        <v>3172</v>
      </c>
      <c r="B1178" s="16"/>
      <c r="C1178" s="16"/>
      <c r="D1178" s="16" t="s">
        <v>3173</v>
      </c>
      <c r="E1178" s="16" t="s">
        <v>1779</v>
      </c>
      <c r="F1178" s="16" t="s">
        <v>133</v>
      </c>
      <c r="G1178" s="16" t="s">
        <v>1791</v>
      </c>
      <c r="I1178" s="16" t="s">
        <v>662</v>
      </c>
      <c r="J1178" s="16" t="s">
        <v>33</v>
      </c>
    </row>
    <row r="1179" spans="1:14" hidden="1" x14ac:dyDescent="0.3">
      <c r="A1179" s="16" t="s">
        <v>1622</v>
      </c>
      <c r="B1179" s="16"/>
      <c r="C1179" s="16"/>
      <c r="D1179" s="16" t="s">
        <v>1623</v>
      </c>
      <c r="E1179" s="16" t="s">
        <v>1779</v>
      </c>
      <c r="F1179" s="16" t="s">
        <v>18</v>
      </c>
      <c r="G1179" s="16" t="s">
        <v>1791</v>
      </c>
      <c r="I1179" s="16" t="s">
        <v>1103</v>
      </c>
      <c r="J1179" s="16" t="s">
        <v>33</v>
      </c>
    </row>
    <row r="1180" spans="1:14" hidden="1" x14ac:dyDescent="0.3">
      <c r="A1180" s="16" t="s">
        <v>3174</v>
      </c>
      <c r="B1180" s="16"/>
      <c r="C1180" s="16"/>
      <c r="D1180" s="16" t="s">
        <v>3175</v>
      </c>
      <c r="E1180" s="16" t="s">
        <v>1779</v>
      </c>
      <c r="F1180" s="16" t="s">
        <v>133</v>
      </c>
      <c r="G1180" s="16" t="s">
        <v>1791</v>
      </c>
      <c r="I1180" s="16" t="s">
        <v>662</v>
      </c>
      <c r="J1180" s="16" t="s">
        <v>33</v>
      </c>
    </row>
    <row r="1181" spans="1:14" hidden="1" x14ac:dyDescent="0.3">
      <c r="A1181" s="16" t="s">
        <v>1624</v>
      </c>
      <c r="B1181" s="16"/>
      <c r="C1181" s="16"/>
      <c r="D1181" s="16" t="s">
        <v>1625</v>
      </c>
      <c r="E1181" s="16" t="s">
        <v>1779</v>
      </c>
      <c r="F1181" s="16" t="s">
        <v>18</v>
      </c>
      <c r="G1181" s="16" t="s">
        <v>539</v>
      </c>
      <c r="I1181" s="16" t="s">
        <v>1103</v>
      </c>
      <c r="J1181" s="16" t="s">
        <v>33</v>
      </c>
    </row>
    <row r="1182" spans="1:14" hidden="1" x14ac:dyDescent="0.3">
      <c r="A1182" s="16" t="s">
        <v>3176</v>
      </c>
      <c r="B1182" s="16"/>
      <c r="C1182" s="16"/>
      <c r="D1182" s="16" t="s">
        <v>3177</v>
      </c>
      <c r="E1182" s="16" t="s">
        <v>1778</v>
      </c>
      <c r="F1182" s="16" t="s">
        <v>133</v>
      </c>
      <c r="G1182" s="16" t="s">
        <v>2374</v>
      </c>
      <c r="J1182" s="16" t="s">
        <v>33</v>
      </c>
    </row>
    <row r="1183" spans="1:14" hidden="1" x14ac:dyDescent="0.3">
      <c r="A1183" s="16" t="s">
        <v>3178</v>
      </c>
      <c r="B1183" s="16"/>
      <c r="C1183" s="16"/>
      <c r="D1183" s="16" t="s">
        <v>3179</v>
      </c>
      <c r="E1183" s="16" t="s">
        <v>1779</v>
      </c>
      <c r="F1183" s="16" t="s">
        <v>388</v>
      </c>
      <c r="G1183" s="16" t="s">
        <v>539</v>
      </c>
      <c r="J1183" s="16" t="s">
        <v>33</v>
      </c>
      <c r="L1183" s="16" t="s">
        <v>32</v>
      </c>
    </row>
    <row r="1184" spans="1:14" hidden="1" x14ac:dyDescent="0.3">
      <c r="A1184" s="16" t="s">
        <v>3178</v>
      </c>
      <c r="B1184" s="16"/>
      <c r="C1184" s="16"/>
      <c r="D1184" s="16" t="s">
        <v>3179</v>
      </c>
      <c r="E1184" s="16" t="s">
        <v>1777</v>
      </c>
      <c r="F1184" s="16" t="s">
        <v>388</v>
      </c>
      <c r="G1184" s="16" t="s">
        <v>539</v>
      </c>
      <c r="J1184" s="16" t="s">
        <v>33</v>
      </c>
      <c r="L1184" s="16" t="s">
        <v>32</v>
      </c>
    </row>
    <row r="1185" spans="1:14" hidden="1" x14ac:dyDescent="0.3">
      <c r="A1185" s="16" t="s">
        <v>3180</v>
      </c>
      <c r="B1185" s="16"/>
      <c r="C1185" s="16"/>
      <c r="D1185" s="16" t="s">
        <v>3181</v>
      </c>
      <c r="E1185" s="16" t="s">
        <v>1779</v>
      </c>
      <c r="F1185" s="16" t="s">
        <v>133</v>
      </c>
      <c r="G1185" s="16" t="s">
        <v>1885</v>
      </c>
      <c r="J1185" s="16" t="s">
        <v>33</v>
      </c>
    </row>
    <row r="1186" spans="1:14" hidden="1" x14ac:dyDescent="0.3">
      <c r="A1186" s="16" t="s">
        <v>3182</v>
      </c>
      <c r="B1186" s="16"/>
      <c r="C1186" s="16"/>
      <c r="D1186" s="16" t="s">
        <v>3183</v>
      </c>
      <c r="E1186" s="16" t="s">
        <v>1778</v>
      </c>
      <c r="F1186" s="16" t="s">
        <v>18</v>
      </c>
      <c r="G1186" s="16" t="s">
        <v>539</v>
      </c>
      <c r="I1186" s="16" t="s">
        <v>1770</v>
      </c>
      <c r="J1186" s="16" t="s">
        <v>33</v>
      </c>
    </row>
    <row r="1187" spans="1:14" hidden="1" x14ac:dyDescent="0.3">
      <c r="A1187" s="16" t="s">
        <v>1152</v>
      </c>
      <c r="B1187" s="16"/>
      <c r="C1187" s="16"/>
      <c r="D1187" s="16" t="s">
        <v>1153</v>
      </c>
      <c r="E1187" s="16" t="s">
        <v>1915</v>
      </c>
      <c r="F1187" s="16" t="s">
        <v>18</v>
      </c>
      <c r="G1187" s="16" t="s">
        <v>539</v>
      </c>
      <c r="I1187" s="16" t="s">
        <v>1103</v>
      </c>
      <c r="J1187" s="16" t="s">
        <v>33</v>
      </c>
    </row>
    <row r="1188" spans="1:14" hidden="1" x14ac:dyDescent="0.3">
      <c r="A1188" s="16" t="s">
        <v>3184</v>
      </c>
      <c r="B1188" s="16"/>
      <c r="C1188" s="16"/>
      <c r="D1188" s="16" t="s">
        <v>3185</v>
      </c>
      <c r="E1188" s="16" t="s">
        <v>1777</v>
      </c>
      <c r="F1188" s="16" t="s">
        <v>388</v>
      </c>
      <c r="G1188" s="16" t="s">
        <v>539</v>
      </c>
      <c r="J1188" s="16" t="s">
        <v>33</v>
      </c>
      <c r="L1188" s="16" t="s">
        <v>32</v>
      </c>
    </row>
    <row r="1189" spans="1:14" hidden="1" x14ac:dyDescent="0.3">
      <c r="A1189" s="16" t="s">
        <v>3186</v>
      </c>
      <c r="B1189" s="16"/>
      <c r="C1189" s="16"/>
      <c r="D1189" s="16" t="s">
        <v>450</v>
      </c>
      <c r="E1189" s="16" t="s">
        <v>1779</v>
      </c>
      <c r="F1189" s="16" t="s">
        <v>388</v>
      </c>
      <c r="G1189" s="16" t="s">
        <v>539</v>
      </c>
      <c r="J1189" s="16" t="s">
        <v>33</v>
      </c>
      <c r="L1189" s="16" t="s">
        <v>32</v>
      </c>
    </row>
    <row r="1190" spans="1:14" hidden="1" x14ac:dyDescent="0.3">
      <c r="A1190" s="16" t="s">
        <v>3186</v>
      </c>
      <c r="B1190" s="16"/>
      <c r="C1190" s="16"/>
      <c r="D1190" s="16" t="s">
        <v>450</v>
      </c>
      <c r="E1190" s="16" t="s">
        <v>1777</v>
      </c>
      <c r="F1190" s="16" t="s">
        <v>388</v>
      </c>
      <c r="G1190" s="16" t="s">
        <v>539</v>
      </c>
      <c r="J1190" s="16" t="s">
        <v>33</v>
      </c>
      <c r="L1190" s="16" t="s">
        <v>32</v>
      </c>
    </row>
    <row r="1191" spans="1:14" hidden="1" x14ac:dyDescent="0.3">
      <c r="A1191" s="16" t="s">
        <v>3187</v>
      </c>
      <c r="B1191" s="16"/>
      <c r="C1191" s="16"/>
      <c r="D1191" s="16" t="s">
        <v>3188</v>
      </c>
      <c r="E1191" s="16" t="s">
        <v>1777</v>
      </c>
      <c r="F1191" s="16" t="s">
        <v>18</v>
      </c>
      <c r="G1191" s="16" t="s">
        <v>588</v>
      </c>
      <c r="I1191" s="16" t="s">
        <v>1770</v>
      </c>
      <c r="J1191" s="16" t="s">
        <v>33</v>
      </c>
    </row>
    <row r="1192" spans="1:14" hidden="1" x14ac:dyDescent="0.3">
      <c r="A1192" s="16" t="s">
        <v>3187</v>
      </c>
      <c r="B1192" s="16"/>
      <c r="C1192" s="16"/>
      <c r="D1192" s="16" t="s">
        <v>3189</v>
      </c>
      <c r="E1192" s="16" t="s">
        <v>1778</v>
      </c>
      <c r="F1192" s="16" t="s">
        <v>18</v>
      </c>
      <c r="G1192" s="16" t="s">
        <v>588</v>
      </c>
      <c r="I1192" s="16" t="s">
        <v>1770</v>
      </c>
      <c r="J1192" s="16" t="s">
        <v>33</v>
      </c>
    </row>
    <row r="1193" spans="1:14" hidden="1" x14ac:dyDescent="0.3">
      <c r="A1193" s="16" t="s">
        <v>3190</v>
      </c>
      <c r="B1193" s="16"/>
      <c r="C1193" s="16"/>
      <c r="D1193" s="16" t="s">
        <v>3191</v>
      </c>
      <c r="E1193" s="16" t="s">
        <v>1779</v>
      </c>
      <c r="F1193" s="16" t="s">
        <v>133</v>
      </c>
      <c r="G1193" s="16" t="s">
        <v>539</v>
      </c>
      <c r="J1193" s="16" t="s">
        <v>33</v>
      </c>
    </row>
    <row r="1194" spans="1:14" hidden="1" x14ac:dyDescent="0.3">
      <c r="A1194" s="16" t="s">
        <v>3192</v>
      </c>
      <c r="B1194" s="16"/>
      <c r="C1194" s="16"/>
      <c r="D1194" s="16" t="s">
        <v>3193</v>
      </c>
      <c r="E1194" s="16" t="s">
        <v>1778</v>
      </c>
      <c r="F1194" s="16" t="s">
        <v>18</v>
      </c>
      <c r="G1194" s="16" t="s">
        <v>539</v>
      </c>
      <c r="I1194" s="16" t="s">
        <v>1770</v>
      </c>
      <c r="J1194" s="16" t="s">
        <v>33</v>
      </c>
    </row>
    <row r="1195" spans="1:14" hidden="1" x14ac:dyDescent="0.3">
      <c r="A1195" s="16" t="s">
        <v>1396</v>
      </c>
      <c r="B1195" s="16"/>
      <c r="C1195" s="16"/>
      <c r="D1195" s="16" t="s">
        <v>1397</v>
      </c>
      <c r="E1195" s="16" t="s">
        <v>1778</v>
      </c>
      <c r="F1195" s="16" t="s">
        <v>18</v>
      </c>
      <c r="G1195" s="16" t="s">
        <v>555</v>
      </c>
      <c r="I1195" s="16" t="s">
        <v>1127</v>
      </c>
      <c r="J1195" s="16" t="s">
        <v>33</v>
      </c>
    </row>
    <row r="1196" spans="1:14" hidden="1" x14ac:dyDescent="0.3">
      <c r="A1196" s="16" t="s">
        <v>3194</v>
      </c>
      <c r="B1196" s="16"/>
      <c r="C1196" s="16"/>
      <c r="D1196" s="16" t="s">
        <v>3195</v>
      </c>
      <c r="E1196" s="16" t="s">
        <v>1779</v>
      </c>
      <c r="F1196" s="16" t="s">
        <v>388</v>
      </c>
      <c r="G1196" s="16" t="s">
        <v>539</v>
      </c>
      <c r="J1196" s="16" t="s">
        <v>33</v>
      </c>
      <c r="L1196" s="16" t="s">
        <v>32</v>
      </c>
    </row>
    <row r="1197" spans="1:14" hidden="1" x14ac:dyDescent="0.3">
      <c r="A1197" s="16" t="s">
        <v>1398</v>
      </c>
      <c r="B1197" s="16"/>
      <c r="C1197" s="16"/>
      <c r="D1197" s="16" t="s">
        <v>1399</v>
      </c>
      <c r="E1197" s="16" t="s">
        <v>1778</v>
      </c>
      <c r="F1197" s="16" t="s">
        <v>18</v>
      </c>
      <c r="G1197" s="16" t="s">
        <v>539</v>
      </c>
      <c r="I1197" s="16" t="s">
        <v>1127</v>
      </c>
      <c r="J1197" s="16" t="s">
        <v>33</v>
      </c>
    </row>
    <row r="1198" spans="1:14" hidden="1" x14ac:dyDescent="0.3">
      <c r="A1198" s="16" t="s">
        <v>3196</v>
      </c>
      <c r="B1198" s="16"/>
      <c r="C1198" s="16"/>
      <c r="D1198" s="16" t="s">
        <v>3197</v>
      </c>
      <c r="E1198" s="16" t="s">
        <v>1779</v>
      </c>
      <c r="F1198" s="16" t="s">
        <v>388</v>
      </c>
      <c r="G1198" s="16" t="s">
        <v>539</v>
      </c>
      <c r="J1198" s="16" t="s">
        <v>33</v>
      </c>
      <c r="L1198" s="16" t="s">
        <v>32</v>
      </c>
    </row>
    <row r="1199" spans="1:14" hidden="1" x14ac:dyDescent="0.3">
      <c r="A1199" s="16" t="s">
        <v>3198</v>
      </c>
      <c r="B1199" s="16"/>
      <c r="C1199" s="16"/>
      <c r="D1199" s="16" t="s">
        <v>3199</v>
      </c>
      <c r="E1199" s="16" t="s">
        <v>1777</v>
      </c>
      <c r="F1199" s="16" t="s">
        <v>388</v>
      </c>
      <c r="G1199" s="16" t="s">
        <v>539</v>
      </c>
      <c r="J1199" s="16" t="s">
        <v>33</v>
      </c>
      <c r="L1199" s="16" t="s">
        <v>1988</v>
      </c>
      <c r="N1199" s="16" t="s">
        <v>33</v>
      </c>
    </row>
    <row r="1200" spans="1:14" hidden="1" x14ac:dyDescent="0.3">
      <c r="A1200" s="16" t="s">
        <v>3200</v>
      </c>
      <c r="B1200" s="16"/>
      <c r="C1200" s="16"/>
      <c r="D1200" s="16" t="s">
        <v>3201</v>
      </c>
      <c r="E1200" s="16" t="s">
        <v>1778</v>
      </c>
      <c r="F1200" s="16" t="s">
        <v>18</v>
      </c>
      <c r="G1200" s="16" t="s">
        <v>539</v>
      </c>
      <c r="I1200" s="16" t="s">
        <v>1770</v>
      </c>
      <c r="J1200" s="16" t="s">
        <v>33</v>
      </c>
    </row>
    <row r="1201" spans="1:13" hidden="1" x14ac:dyDescent="0.3">
      <c r="A1201" s="16" t="s">
        <v>1400</v>
      </c>
      <c r="B1201" s="16"/>
      <c r="C1201" s="16"/>
      <c r="D1201" s="16" t="s">
        <v>1401</v>
      </c>
      <c r="E1201" s="16" t="s">
        <v>1778</v>
      </c>
      <c r="F1201" s="16" t="s">
        <v>18</v>
      </c>
      <c r="G1201" s="16" t="s">
        <v>1402</v>
      </c>
      <c r="I1201" s="16" t="s">
        <v>1127</v>
      </c>
      <c r="J1201" s="16" t="s">
        <v>33</v>
      </c>
    </row>
    <row r="1202" spans="1:13" hidden="1" x14ac:dyDescent="0.3">
      <c r="A1202" s="16" t="s">
        <v>1400</v>
      </c>
      <c r="B1202" s="16"/>
      <c r="C1202" s="16"/>
      <c r="D1202" s="16" t="s">
        <v>1626</v>
      </c>
      <c r="E1202" s="16" t="s">
        <v>1779</v>
      </c>
      <c r="F1202" s="16" t="s">
        <v>18</v>
      </c>
      <c r="G1202" s="16" t="s">
        <v>1402</v>
      </c>
      <c r="I1202" s="16" t="s">
        <v>1127</v>
      </c>
      <c r="J1202" s="16" t="s">
        <v>33</v>
      </c>
    </row>
    <row r="1203" spans="1:13" hidden="1" x14ac:dyDescent="0.3">
      <c r="A1203" s="16" t="s">
        <v>3202</v>
      </c>
      <c r="B1203" s="16"/>
      <c r="C1203" s="16"/>
      <c r="D1203" s="16" t="s">
        <v>3203</v>
      </c>
      <c r="E1203" s="16" t="s">
        <v>1779</v>
      </c>
      <c r="F1203" s="16" t="s">
        <v>388</v>
      </c>
      <c r="G1203" s="16" t="s">
        <v>539</v>
      </c>
      <c r="J1203" s="16" t="s">
        <v>33</v>
      </c>
      <c r="L1203" s="16" t="s">
        <v>32</v>
      </c>
    </row>
    <row r="1204" spans="1:13" hidden="1" x14ac:dyDescent="0.3">
      <c r="A1204" s="16" t="s">
        <v>3204</v>
      </c>
      <c r="B1204" s="16"/>
      <c r="C1204" s="16"/>
      <c r="D1204" s="16" t="s">
        <v>3205</v>
      </c>
      <c r="E1204" s="16" t="s">
        <v>1779</v>
      </c>
      <c r="F1204" s="16" t="s">
        <v>388</v>
      </c>
      <c r="G1204" s="16" t="s">
        <v>539</v>
      </c>
      <c r="J1204" s="16" t="s">
        <v>33</v>
      </c>
      <c r="L1204" s="16" t="s">
        <v>32</v>
      </c>
      <c r="M1204" s="16" t="s">
        <v>19</v>
      </c>
    </row>
    <row r="1205" spans="1:13" hidden="1" x14ac:dyDescent="0.3">
      <c r="A1205" s="16" t="s">
        <v>171</v>
      </c>
      <c r="B1205" s="16"/>
      <c r="C1205" s="16"/>
      <c r="D1205" s="16" t="s">
        <v>172</v>
      </c>
      <c r="E1205" s="16" t="s">
        <v>1779</v>
      </c>
      <c r="F1205" s="16" t="s">
        <v>388</v>
      </c>
      <c r="G1205" s="16" t="s">
        <v>539</v>
      </c>
      <c r="J1205" s="16" t="s">
        <v>33</v>
      </c>
      <c r="L1205" s="16" t="s">
        <v>32</v>
      </c>
    </row>
    <row r="1206" spans="1:13" hidden="1" x14ac:dyDescent="0.3">
      <c r="A1206" s="16" t="s">
        <v>171</v>
      </c>
      <c r="B1206" s="16"/>
      <c r="C1206" s="16"/>
      <c r="D1206" s="16" t="s">
        <v>172</v>
      </c>
      <c r="E1206" s="16" t="s">
        <v>1777</v>
      </c>
      <c r="F1206" s="16" t="s">
        <v>388</v>
      </c>
      <c r="G1206" s="16" t="s">
        <v>539</v>
      </c>
      <c r="J1206" s="16" t="s">
        <v>33</v>
      </c>
      <c r="L1206" s="16" t="s">
        <v>32</v>
      </c>
    </row>
    <row r="1207" spans="1:13" hidden="1" x14ac:dyDescent="0.3">
      <c r="A1207" s="16" t="s">
        <v>228</v>
      </c>
      <c r="B1207" s="16"/>
      <c r="C1207" s="16"/>
      <c r="D1207" s="16" t="s">
        <v>1124</v>
      </c>
      <c r="E1207" s="16" t="s">
        <v>2092</v>
      </c>
      <c r="F1207" s="16" t="s">
        <v>18</v>
      </c>
      <c r="G1207" s="16" t="s">
        <v>588</v>
      </c>
      <c r="I1207" s="16" t="s">
        <v>1103</v>
      </c>
      <c r="J1207" s="16" t="s">
        <v>33</v>
      </c>
    </row>
    <row r="1208" spans="1:13" hidden="1" x14ac:dyDescent="0.3">
      <c r="A1208" s="16" t="s">
        <v>228</v>
      </c>
      <c r="B1208" s="16"/>
      <c r="C1208" s="16"/>
      <c r="D1208" s="16" t="s">
        <v>3206</v>
      </c>
      <c r="E1208" s="16" t="s">
        <v>1804</v>
      </c>
      <c r="F1208" s="16" t="s">
        <v>18</v>
      </c>
      <c r="G1208" s="16" t="s">
        <v>588</v>
      </c>
      <c r="I1208" s="16" t="s">
        <v>1103</v>
      </c>
      <c r="J1208" s="16" t="s">
        <v>33</v>
      </c>
    </row>
    <row r="1209" spans="1:13" hidden="1" x14ac:dyDescent="0.3">
      <c r="A1209" s="16" t="s">
        <v>228</v>
      </c>
      <c r="B1209" s="16"/>
      <c r="C1209" s="16"/>
      <c r="D1209" s="16" t="s">
        <v>3207</v>
      </c>
      <c r="E1209" s="16" t="s">
        <v>1782</v>
      </c>
      <c r="F1209" s="16" t="s">
        <v>133</v>
      </c>
      <c r="G1209" s="16" t="s">
        <v>588</v>
      </c>
      <c r="J1209" s="16" t="s">
        <v>33</v>
      </c>
    </row>
    <row r="1210" spans="1:13" hidden="1" x14ac:dyDescent="0.3">
      <c r="A1210" s="16" t="s">
        <v>3208</v>
      </c>
      <c r="B1210" s="16"/>
      <c r="C1210" s="16"/>
      <c r="D1210" s="16" t="s">
        <v>3209</v>
      </c>
      <c r="E1210" s="16" t="s">
        <v>1778</v>
      </c>
      <c r="F1210" s="16" t="s">
        <v>133</v>
      </c>
      <c r="G1210" s="16" t="s">
        <v>255</v>
      </c>
      <c r="J1210" s="16" t="s">
        <v>33</v>
      </c>
    </row>
    <row r="1211" spans="1:13" hidden="1" x14ac:dyDescent="0.3">
      <c r="A1211" s="16" t="s">
        <v>3210</v>
      </c>
      <c r="B1211" s="16"/>
      <c r="C1211" s="16"/>
      <c r="D1211" s="16" t="s">
        <v>3211</v>
      </c>
      <c r="E1211" s="16" t="s">
        <v>1804</v>
      </c>
      <c r="F1211" s="16" t="s">
        <v>18</v>
      </c>
      <c r="G1211" s="16" t="s">
        <v>661</v>
      </c>
      <c r="I1211" s="16" t="s">
        <v>1103</v>
      </c>
      <c r="J1211" s="16" t="s">
        <v>33</v>
      </c>
    </row>
    <row r="1212" spans="1:13" hidden="1" x14ac:dyDescent="0.3">
      <c r="A1212" s="16" t="s">
        <v>29</v>
      </c>
      <c r="B1212" s="16"/>
      <c r="C1212" s="16"/>
      <c r="D1212" s="16" t="s">
        <v>3212</v>
      </c>
      <c r="E1212" s="16" t="s">
        <v>1778</v>
      </c>
      <c r="F1212" s="16" t="s">
        <v>133</v>
      </c>
      <c r="G1212" s="16" t="s">
        <v>588</v>
      </c>
      <c r="J1212" s="16" t="s">
        <v>33</v>
      </c>
    </row>
    <row r="1213" spans="1:13" hidden="1" x14ac:dyDescent="0.3">
      <c r="A1213" s="16" t="s">
        <v>1154</v>
      </c>
      <c r="B1213" s="16"/>
      <c r="C1213" s="16"/>
      <c r="D1213" s="16" t="s">
        <v>1155</v>
      </c>
      <c r="E1213" s="16" t="s">
        <v>1915</v>
      </c>
      <c r="F1213" s="16" t="s">
        <v>18</v>
      </c>
      <c r="G1213" s="16" t="s">
        <v>588</v>
      </c>
      <c r="I1213" s="16" t="s">
        <v>1103</v>
      </c>
      <c r="J1213" s="16" t="s">
        <v>33</v>
      </c>
    </row>
    <row r="1214" spans="1:13" hidden="1" x14ac:dyDescent="0.3">
      <c r="A1214" s="16" t="s">
        <v>3213</v>
      </c>
      <c r="B1214" s="16"/>
      <c r="C1214" s="16"/>
      <c r="D1214" s="16" t="s">
        <v>3214</v>
      </c>
      <c r="E1214" s="16" t="s">
        <v>1778</v>
      </c>
      <c r="F1214" s="16" t="s">
        <v>133</v>
      </c>
      <c r="G1214" s="16" t="s">
        <v>255</v>
      </c>
      <c r="J1214" s="16" t="s">
        <v>33</v>
      </c>
    </row>
    <row r="1215" spans="1:13" hidden="1" x14ac:dyDescent="0.3">
      <c r="A1215" s="16" t="s">
        <v>26</v>
      </c>
      <c r="B1215" s="16"/>
      <c r="C1215" s="16"/>
      <c r="D1215" s="16" t="s">
        <v>3215</v>
      </c>
      <c r="E1215" s="16" t="s">
        <v>1778</v>
      </c>
      <c r="F1215" s="16" t="s">
        <v>133</v>
      </c>
      <c r="G1215" s="16" t="s">
        <v>588</v>
      </c>
      <c r="J1215" s="16" t="s">
        <v>33</v>
      </c>
    </row>
    <row r="1216" spans="1:13" hidden="1" x14ac:dyDescent="0.3">
      <c r="A1216" s="16" t="s">
        <v>1156</v>
      </c>
      <c r="B1216" s="16"/>
      <c r="C1216" s="16"/>
      <c r="D1216" s="16" t="s">
        <v>1157</v>
      </c>
      <c r="E1216" s="16" t="s">
        <v>1915</v>
      </c>
      <c r="F1216" s="16" t="s">
        <v>18</v>
      </c>
      <c r="G1216" s="16" t="s">
        <v>588</v>
      </c>
      <c r="I1216" s="16" t="s">
        <v>1103</v>
      </c>
      <c r="J1216" s="16" t="s">
        <v>33</v>
      </c>
    </row>
    <row r="1217" spans="1:14" hidden="1" x14ac:dyDescent="0.3">
      <c r="A1217" s="16" t="s">
        <v>1403</v>
      </c>
      <c r="B1217" s="16"/>
      <c r="C1217" s="16"/>
      <c r="D1217" s="16" t="s">
        <v>1404</v>
      </c>
      <c r="E1217" s="16" t="s">
        <v>1778</v>
      </c>
      <c r="F1217" s="16" t="s">
        <v>18</v>
      </c>
      <c r="G1217" s="16" t="s">
        <v>539</v>
      </c>
      <c r="I1217" s="16" t="s">
        <v>1127</v>
      </c>
      <c r="J1217" s="16" t="s">
        <v>33</v>
      </c>
    </row>
    <row r="1218" spans="1:14" hidden="1" x14ac:dyDescent="0.3">
      <c r="A1218" s="16" t="s">
        <v>3216</v>
      </c>
      <c r="B1218" s="16"/>
      <c r="C1218" s="16"/>
      <c r="D1218" s="16" t="s">
        <v>3217</v>
      </c>
      <c r="E1218" s="16" t="s">
        <v>1782</v>
      </c>
      <c r="F1218" s="16" t="s">
        <v>133</v>
      </c>
      <c r="G1218" s="16" t="s">
        <v>539</v>
      </c>
      <c r="J1218" s="16" t="s">
        <v>33</v>
      </c>
    </row>
    <row r="1219" spans="1:14" hidden="1" x14ac:dyDescent="0.3">
      <c r="A1219" s="16" t="s">
        <v>3218</v>
      </c>
      <c r="B1219" s="16"/>
      <c r="C1219" s="16"/>
      <c r="D1219" s="16" t="s">
        <v>3219</v>
      </c>
      <c r="E1219" s="16" t="s">
        <v>1779</v>
      </c>
      <c r="F1219" s="16" t="s">
        <v>133</v>
      </c>
      <c r="G1219" s="16" t="s">
        <v>1791</v>
      </c>
      <c r="J1219" s="16" t="s">
        <v>33</v>
      </c>
    </row>
    <row r="1220" spans="1:14" hidden="1" x14ac:dyDescent="0.3">
      <c r="A1220" s="16" t="s">
        <v>3220</v>
      </c>
      <c r="B1220" s="16"/>
      <c r="C1220" s="16"/>
      <c r="D1220" s="16" t="s">
        <v>3220</v>
      </c>
      <c r="E1220" s="16" t="s">
        <v>1769</v>
      </c>
      <c r="F1220" s="16" t="s">
        <v>388</v>
      </c>
      <c r="G1220" s="16" t="s">
        <v>539</v>
      </c>
      <c r="J1220" s="16" t="s">
        <v>33</v>
      </c>
      <c r="L1220" s="16" t="s">
        <v>1988</v>
      </c>
    </row>
    <row r="1221" spans="1:14" hidden="1" x14ac:dyDescent="0.3">
      <c r="A1221" s="16" t="s">
        <v>3221</v>
      </c>
      <c r="B1221" s="16"/>
      <c r="C1221" s="16"/>
      <c r="D1221" s="16" t="s">
        <v>3222</v>
      </c>
      <c r="E1221" s="16" t="s">
        <v>1779</v>
      </c>
      <c r="F1221" s="16" t="s">
        <v>388</v>
      </c>
      <c r="G1221" s="16" t="s">
        <v>539</v>
      </c>
      <c r="J1221" s="16" t="s">
        <v>33</v>
      </c>
      <c r="L1221" s="16" t="s">
        <v>32</v>
      </c>
    </row>
    <row r="1222" spans="1:14" hidden="1" x14ac:dyDescent="0.3">
      <c r="A1222" s="16" t="s">
        <v>3221</v>
      </c>
      <c r="B1222" s="16"/>
      <c r="C1222" s="16"/>
      <c r="D1222" s="16" t="s">
        <v>3222</v>
      </c>
      <c r="E1222" s="16" t="s">
        <v>1777</v>
      </c>
      <c r="F1222" s="16" t="s">
        <v>388</v>
      </c>
      <c r="G1222" s="16" t="s">
        <v>539</v>
      </c>
      <c r="J1222" s="16" t="s">
        <v>33</v>
      </c>
      <c r="L1222" s="16" t="s">
        <v>32</v>
      </c>
    </row>
    <row r="1223" spans="1:14" hidden="1" x14ac:dyDescent="0.3">
      <c r="A1223" s="16" t="s">
        <v>1186</v>
      </c>
      <c r="B1223" s="16"/>
      <c r="C1223" s="16"/>
      <c r="D1223" s="16" t="s">
        <v>1187</v>
      </c>
      <c r="E1223" s="16" t="s">
        <v>1777</v>
      </c>
      <c r="F1223" s="16" t="s">
        <v>18</v>
      </c>
      <c r="G1223" s="16" t="s">
        <v>588</v>
      </c>
      <c r="I1223" s="16" t="s">
        <v>1127</v>
      </c>
      <c r="J1223" s="16" t="s">
        <v>33</v>
      </c>
      <c r="K1223" s="16" t="s">
        <v>33</v>
      </c>
    </row>
    <row r="1224" spans="1:14" hidden="1" x14ac:dyDescent="0.3">
      <c r="A1224" s="16" t="s">
        <v>1186</v>
      </c>
      <c r="B1224" s="16"/>
      <c r="C1224" s="16"/>
      <c r="D1224" s="16" t="s">
        <v>1627</v>
      </c>
      <c r="E1224" s="16" t="s">
        <v>1779</v>
      </c>
      <c r="F1224" s="16" t="s">
        <v>18</v>
      </c>
      <c r="G1224" s="16" t="s">
        <v>588</v>
      </c>
      <c r="I1224" s="16" t="s">
        <v>1127</v>
      </c>
      <c r="J1224" s="16" t="s">
        <v>33</v>
      </c>
    </row>
    <row r="1225" spans="1:14" hidden="1" x14ac:dyDescent="0.3">
      <c r="A1225" s="16" t="s">
        <v>1158</v>
      </c>
      <c r="B1225" s="16"/>
      <c r="C1225" s="16"/>
      <c r="D1225" s="16" t="s">
        <v>1159</v>
      </c>
      <c r="E1225" s="16" t="s">
        <v>1915</v>
      </c>
      <c r="F1225" s="16" t="s">
        <v>18</v>
      </c>
      <c r="G1225" s="16" t="s">
        <v>539</v>
      </c>
      <c r="I1225" s="16" t="s">
        <v>1103</v>
      </c>
      <c r="J1225" s="16" t="s">
        <v>33</v>
      </c>
    </row>
    <row r="1226" spans="1:14" hidden="1" x14ac:dyDescent="0.3">
      <c r="A1226" s="16" t="s">
        <v>3223</v>
      </c>
      <c r="B1226" s="16"/>
      <c r="C1226" s="16"/>
      <c r="D1226" s="16" t="s">
        <v>3224</v>
      </c>
      <c r="E1226" s="16" t="s">
        <v>1804</v>
      </c>
      <c r="F1226" s="16" t="s">
        <v>388</v>
      </c>
      <c r="G1226" s="16" t="s">
        <v>539</v>
      </c>
      <c r="J1226" s="16" t="s">
        <v>33</v>
      </c>
      <c r="L1226" s="16" t="s">
        <v>32</v>
      </c>
      <c r="M1226" s="16" t="s">
        <v>3225</v>
      </c>
      <c r="N1226" s="16" t="s">
        <v>33</v>
      </c>
    </row>
    <row r="1227" spans="1:14" hidden="1" x14ac:dyDescent="0.3">
      <c r="A1227" s="16" t="s">
        <v>3226</v>
      </c>
      <c r="B1227" s="16"/>
      <c r="C1227" s="16"/>
      <c r="D1227" s="16" t="s">
        <v>3227</v>
      </c>
      <c r="E1227" s="16" t="s">
        <v>1779</v>
      </c>
      <c r="F1227" s="16" t="s">
        <v>133</v>
      </c>
      <c r="G1227" s="16" t="s">
        <v>539</v>
      </c>
      <c r="J1227" s="16" t="s">
        <v>33</v>
      </c>
    </row>
    <row r="1228" spans="1:14" hidden="1" x14ac:dyDescent="0.3">
      <c r="A1228" s="16" t="s">
        <v>3228</v>
      </c>
      <c r="B1228" s="16"/>
      <c r="C1228" s="16"/>
      <c r="D1228" s="16" t="s">
        <v>3229</v>
      </c>
      <c r="E1228" s="16" t="s">
        <v>1779</v>
      </c>
      <c r="F1228" s="16" t="s">
        <v>133</v>
      </c>
      <c r="G1228" s="16" t="s">
        <v>1791</v>
      </c>
      <c r="J1228" s="16" t="s">
        <v>33</v>
      </c>
    </row>
    <row r="1229" spans="1:14" hidden="1" x14ac:dyDescent="0.3">
      <c r="A1229" s="16" t="s">
        <v>3230</v>
      </c>
      <c r="B1229" s="16"/>
      <c r="C1229" s="16"/>
      <c r="D1229" s="16" t="s">
        <v>3231</v>
      </c>
      <c r="E1229" s="16" t="s">
        <v>1779</v>
      </c>
      <c r="F1229" s="16" t="s">
        <v>133</v>
      </c>
      <c r="G1229" s="16" t="s">
        <v>1791</v>
      </c>
      <c r="J1229" s="16" t="s">
        <v>33</v>
      </c>
    </row>
    <row r="1230" spans="1:14" hidden="1" x14ac:dyDescent="0.3">
      <c r="A1230" s="16" t="s">
        <v>3232</v>
      </c>
      <c r="B1230" s="16"/>
      <c r="C1230" s="16"/>
      <c r="D1230" s="16" t="s">
        <v>3233</v>
      </c>
      <c r="E1230" s="16" t="s">
        <v>1779</v>
      </c>
      <c r="F1230" s="16" t="s">
        <v>133</v>
      </c>
      <c r="G1230" s="16" t="s">
        <v>1791</v>
      </c>
      <c r="J1230" s="16" t="s">
        <v>33</v>
      </c>
    </row>
    <row r="1231" spans="1:14" hidden="1" x14ac:dyDescent="0.3">
      <c r="A1231" s="16" t="s">
        <v>3234</v>
      </c>
      <c r="B1231" s="16"/>
      <c r="C1231" s="16"/>
      <c r="D1231" s="16" t="s">
        <v>3235</v>
      </c>
      <c r="E1231" s="16" t="s">
        <v>1769</v>
      </c>
      <c r="F1231" s="16" t="s">
        <v>388</v>
      </c>
      <c r="G1231" s="16" t="s">
        <v>539</v>
      </c>
      <c r="L1231" s="16" t="s">
        <v>32</v>
      </c>
    </row>
    <row r="1232" spans="1:14" hidden="1" x14ac:dyDescent="0.3">
      <c r="A1232" s="16" t="s">
        <v>3236</v>
      </c>
      <c r="B1232" s="16"/>
      <c r="C1232" s="16"/>
      <c r="D1232" s="16" t="s">
        <v>3237</v>
      </c>
      <c r="E1232" s="16" t="s">
        <v>1779</v>
      </c>
      <c r="F1232" s="16" t="s">
        <v>133</v>
      </c>
      <c r="G1232" s="16" t="s">
        <v>539</v>
      </c>
      <c r="J1232" s="16" t="s">
        <v>33</v>
      </c>
    </row>
    <row r="1233" spans="1:12" hidden="1" x14ac:dyDescent="0.3">
      <c r="A1233" s="16" t="s">
        <v>3238</v>
      </c>
      <c r="B1233" s="16"/>
      <c r="C1233" s="16"/>
      <c r="D1233" s="16" t="s">
        <v>3239</v>
      </c>
      <c r="E1233" s="16" t="s">
        <v>1779</v>
      </c>
      <c r="F1233" s="16" t="s">
        <v>388</v>
      </c>
      <c r="G1233" s="16" t="s">
        <v>539</v>
      </c>
      <c r="J1233" s="16" t="s">
        <v>33</v>
      </c>
      <c r="L1233" s="16" t="s">
        <v>32</v>
      </c>
    </row>
    <row r="1234" spans="1:12" hidden="1" x14ac:dyDescent="0.3">
      <c r="A1234" s="16" t="s">
        <v>3240</v>
      </c>
      <c r="B1234" s="16"/>
      <c r="C1234" s="16"/>
      <c r="D1234" s="16" t="s">
        <v>3241</v>
      </c>
      <c r="E1234" s="16" t="s">
        <v>1769</v>
      </c>
      <c r="F1234" s="16" t="s">
        <v>133</v>
      </c>
      <c r="G1234" s="16" t="s">
        <v>617</v>
      </c>
      <c r="J1234" s="16" t="s">
        <v>33</v>
      </c>
    </row>
    <row r="1235" spans="1:12" hidden="1" x14ac:dyDescent="0.3">
      <c r="A1235" s="16" t="s">
        <v>3242</v>
      </c>
      <c r="B1235" s="16"/>
      <c r="C1235" s="16"/>
      <c r="D1235" s="16" t="s">
        <v>3243</v>
      </c>
      <c r="E1235" s="16" t="s">
        <v>1769</v>
      </c>
      <c r="F1235" s="16" t="s">
        <v>18</v>
      </c>
      <c r="G1235" s="16" t="s">
        <v>1791</v>
      </c>
      <c r="I1235" s="16" t="s">
        <v>1770</v>
      </c>
      <c r="J1235" s="16" t="s">
        <v>33</v>
      </c>
      <c r="K1235" s="16" t="s">
        <v>33</v>
      </c>
    </row>
    <row r="1236" spans="1:12" hidden="1" x14ac:dyDescent="0.3">
      <c r="A1236" s="16" t="s">
        <v>3244</v>
      </c>
      <c r="B1236" s="16"/>
      <c r="C1236" s="16"/>
      <c r="D1236" s="16" t="s">
        <v>3245</v>
      </c>
      <c r="E1236" s="16" t="s">
        <v>1769</v>
      </c>
      <c r="F1236" s="16" t="s">
        <v>18</v>
      </c>
      <c r="G1236" s="16" t="s">
        <v>1791</v>
      </c>
      <c r="I1236" s="16" t="s">
        <v>1770</v>
      </c>
      <c r="J1236" s="16" t="s">
        <v>33</v>
      </c>
      <c r="K1236" s="16" t="s">
        <v>33</v>
      </c>
    </row>
    <row r="1237" spans="1:12" hidden="1" x14ac:dyDescent="0.3">
      <c r="A1237" s="16" t="s">
        <v>3246</v>
      </c>
      <c r="B1237" s="16"/>
      <c r="C1237" s="16"/>
      <c r="D1237" s="16" t="s">
        <v>3247</v>
      </c>
      <c r="E1237" s="16" t="s">
        <v>1779</v>
      </c>
      <c r="F1237" s="16" t="s">
        <v>18</v>
      </c>
      <c r="G1237" s="16" t="s">
        <v>539</v>
      </c>
      <c r="I1237" s="16" t="s">
        <v>1770</v>
      </c>
      <c r="J1237" s="16" t="s">
        <v>33</v>
      </c>
    </row>
    <row r="1238" spans="1:12" hidden="1" x14ac:dyDescent="0.3">
      <c r="A1238" s="16" t="s">
        <v>3246</v>
      </c>
      <c r="B1238" s="16"/>
      <c r="C1238" s="16"/>
      <c r="D1238" s="16" t="s">
        <v>3248</v>
      </c>
      <c r="E1238" s="16" t="s">
        <v>1804</v>
      </c>
      <c r="F1238" s="16" t="s">
        <v>18</v>
      </c>
      <c r="G1238" s="16" t="s">
        <v>539</v>
      </c>
      <c r="I1238" s="16" t="s">
        <v>1103</v>
      </c>
      <c r="J1238" s="16" t="s">
        <v>33</v>
      </c>
    </row>
    <row r="1239" spans="1:12" hidden="1" x14ac:dyDescent="0.3">
      <c r="A1239" s="16" t="s">
        <v>40</v>
      </c>
      <c r="B1239" s="16"/>
      <c r="C1239" s="16"/>
      <c r="D1239" s="16" t="s">
        <v>3249</v>
      </c>
      <c r="E1239" s="16" t="s">
        <v>1778</v>
      </c>
      <c r="F1239" s="16" t="s">
        <v>18</v>
      </c>
      <c r="G1239" s="16" t="s">
        <v>539</v>
      </c>
      <c r="I1239" s="16" t="s">
        <v>1770</v>
      </c>
      <c r="J1239" s="16" t="s">
        <v>33</v>
      </c>
    </row>
    <row r="1240" spans="1:12" hidden="1" x14ac:dyDescent="0.3">
      <c r="A1240" s="16" t="s">
        <v>3250</v>
      </c>
      <c r="B1240" s="16"/>
      <c r="C1240" s="16"/>
      <c r="D1240" s="16" t="s">
        <v>3251</v>
      </c>
      <c r="E1240" s="16" t="s">
        <v>1808</v>
      </c>
      <c r="F1240" s="16" t="s">
        <v>133</v>
      </c>
      <c r="G1240" s="16" t="s">
        <v>1791</v>
      </c>
      <c r="J1240" s="16" t="s">
        <v>33</v>
      </c>
    </row>
    <row r="1241" spans="1:12" hidden="1" x14ac:dyDescent="0.3">
      <c r="A1241" s="16" t="s">
        <v>3252</v>
      </c>
      <c r="B1241" s="16"/>
      <c r="C1241" s="16"/>
      <c r="D1241" s="16" t="s">
        <v>3253</v>
      </c>
      <c r="E1241" s="16" t="s">
        <v>1808</v>
      </c>
      <c r="F1241" s="16" t="s">
        <v>133</v>
      </c>
      <c r="G1241" s="16" t="s">
        <v>255</v>
      </c>
      <c r="J1241" s="16" t="s">
        <v>33</v>
      </c>
    </row>
    <row r="1242" spans="1:12" hidden="1" x14ac:dyDescent="0.3">
      <c r="A1242" s="16" t="s">
        <v>3254</v>
      </c>
      <c r="B1242" s="16"/>
      <c r="C1242" s="16"/>
      <c r="D1242" s="16" t="s">
        <v>3255</v>
      </c>
      <c r="E1242" s="16" t="s">
        <v>1779</v>
      </c>
      <c r="F1242" s="16" t="s">
        <v>133</v>
      </c>
      <c r="G1242" s="16" t="s">
        <v>661</v>
      </c>
      <c r="I1242" s="16" t="s">
        <v>662</v>
      </c>
      <c r="J1242" s="16" t="s">
        <v>33</v>
      </c>
    </row>
    <row r="1243" spans="1:12" hidden="1" x14ac:dyDescent="0.3">
      <c r="A1243" s="16" t="s">
        <v>3256</v>
      </c>
      <c r="B1243" s="16"/>
      <c r="C1243" s="16"/>
      <c r="D1243" s="16" t="s">
        <v>3257</v>
      </c>
      <c r="E1243" s="16" t="s">
        <v>1779</v>
      </c>
      <c r="F1243" s="16" t="s">
        <v>2042</v>
      </c>
      <c r="G1243" s="16" t="s">
        <v>555</v>
      </c>
      <c r="J1243" s="16" t="s">
        <v>33</v>
      </c>
    </row>
    <row r="1244" spans="1:12" hidden="1" x14ac:dyDescent="0.3">
      <c r="A1244" s="16" t="s">
        <v>3256</v>
      </c>
      <c r="B1244" s="16"/>
      <c r="C1244" s="16"/>
      <c r="D1244" s="16" t="s">
        <v>3257</v>
      </c>
      <c r="E1244" s="16" t="s">
        <v>1915</v>
      </c>
      <c r="F1244" s="16" t="s">
        <v>2042</v>
      </c>
      <c r="G1244" s="16" t="s">
        <v>555</v>
      </c>
      <c r="J1244" s="16" t="s">
        <v>33</v>
      </c>
    </row>
    <row r="1245" spans="1:12" hidden="1" x14ac:dyDescent="0.3">
      <c r="A1245" s="16" t="s">
        <v>3256</v>
      </c>
      <c r="B1245" s="16"/>
      <c r="C1245" s="16"/>
      <c r="D1245" s="16" t="s">
        <v>3257</v>
      </c>
      <c r="E1245" s="16" t="s">
        <v>1778</v>
      </c>
      <c r="F1245" s="16" t="s">
        <v>2042</v>
      </c>
      <c r="G1245" s="16" t="s">
        <v>555</v>
      </c>
      <c r="J1245" s="16" t="s">
        <v>33</v>
      </c>
    </row>
    <row r="1246" spans="1:12" hidden="1" x14ac:dyDescent="0.3">
      <c r="A1246" s="16" t="s">
        <v>3256</v>
      </c>
      <c r="B1246" s="16"/>
      <c r="C1246" s="16"/>
      <c r="D1246" s="16" t="s">
        <v>3258</v>
      </c>
      <c r="E1246" s="16" t="s">
        <v>1779</v>
      </c>
      <c r="F1246" s="16" t="s">
        <v>18</v>
      </c>
      <c r="G1246" s="16" t="s">
        <v>555</v>
      </c>
      <c r="I1246" s="16" t="s">
        <v>1770</v>
      </c>
      <c r="J1246" s="16" t="s">
        <v>33</v>
      </c>
    </row>
    <row r="1247" spans="1:12" hidden="1" x14ac:dyDescent="0.3">
      <c r="A1247" s="16" t="s">
        <v>3256</v>
      </c>
      <c r="B1247" s="16"/>
      <c r="C1247" s="16"/>
      <c r="D1247" s="16" t="s">
        <v>3259</v>
      </c>
      <c r="E1247" s="16" t="s">
        <v>1915</v>
      </c>
      <c r="F1247" s="16" t="s">
        <v>18</v>
      </c>
      <c r="G1247" s="16" t="s">
        <v>555</v>
      </c>
      <c r="I1247" s="16" t="s">
        <v>1770</v>
      </c>
      <c r="J1247" s="16" t="s">
        <v>33</v>
      </c>
    </row>
    <row r="1248" spans="1:12" hidden="1" x14ac:dyDescent="0.3">
      <c r="A1248" s="16" t="s">
        <v>3256</v>
      </c>
      <c r="B1248" s="16"/>
      <c r="C1248" s="16"/>
      <c r="D1248" s="16" t="s">
        <v>3260</v>
      </c>
      <c r="E1248" s="16" t="s">
        <v>1778</v>
      </c>
      <c r="F1248" s="16" t="s">
        <v>18</v>
      </c>
      <c r="G1248" s="16" t="s">
        <v>555</v>
      </c>
      <c r="I1248" s="16" t="s">
        <v>1770</v>
      </c>
      <c r="J1248" s="16" t="s">
        <v>33</v>
      </c>
    </row>
    <row r="1249" spans="1:10" hidden="1" x14ac:dyDescent="0.3">
      <c r="A1249" s="16" t="s">
        <v>3261</v>
      </c>
      <c r="B1249" s="16"/>
      <c r="C1249" s="16"/>
      <c r="D1249" s="16" t="s">
        <v>3262</v>
      </c>
      <c r="E1249" s="16" t="s">
        <v>1779</v>
      </c>
      <c r="F1249" s="16" t="s">
        <v>2042</v>
      </c>
      <c r="G1249" s="16" t="s">
        <v>555</v>
      </c>
      <c r="J1249" s="16" t="s">
        <v>33</v>
      </c>
    </row>
    <row r="1250" spans="1:10" hidden="1" x14ac:dyDescent="0.3">
      <c r="A1250" s="16" t="s">
        <v>3261</v>
      </c>
      <c r="B1250" s="16"/>
      <c r="C1250" s="16"/>
      <c r="D1250" s="16" t="s">
        <v>3262</v>
      </c>
      <c r="E1250" s="16" t="s">
        <v>1915</v>
      </c>
      <c r="F1250" s="16" t="s">
        <v>2042</v>
      </c>
      <c r="G1250" s="16" t="s">
        <v>555</v>
      </c>
      <c r="J1250" s="16" t="s">
        <v>33</v>
      </c>
    </row>
    <row r="1251" spans="1:10" hidden="1" x14ac:dyDescent="0.3">
      <c r="A1251" s="16" t="s">
        <v>3261</v>
      </c>
      <c r="B1251" s="16"/>
      <c r="C1251" s="16"/>
      <c r="D1251" s="16" t="s">
        <v>3263</v>
      </c>
      <c r="E1251" s="16" t="s">
        <v>1779</v>
      </c>
      <c r="F1251" s="16" t="s">
        <v>18</v>
      </c>
      <c r="G1251" s="16" t="s">
        <v>555</v>
      </c>
      <c r="I1251" s="16" t="s">
        <v>1770</v>
      </c>
      <c r="J1251" s="16" t="s">
        <v>33</v>
      </c>
    </row>
    <row r="1252" spans="1:10" hidden="1" x14ac:dyDescent="0.3">
      <c r="A1252" s="16" t="s">
        <v>3261</v>
      </c>
      <c r="B1252" s="16"/>
      <c r="C1252" s="16"/>
      <c r="D1252" s="16" t="s">
        <v>3264</v>
      </c>
      <c r="E1252" s="16" t="s">
        <v>1915</v>
      </c>
      <c r="F1252" s="16" t="s">
        <v>18</v>
      </c>
      <c r="G1252" s="16" t="s">
        <v>555</v>
      </c>
      <c r="I1252" s="16" t="s">
        <v>1770</v>
      </c>
      <c r="J1252" s="16" t="s">
        <v>33</v>
      </c>
    </row>
    <row r="1253" spans="1:10" hidden="1" x14ac:dyDescent="0.3">
      <c r="A1253" s="16" t="s">
        <v>3265</v>
      </c>
      <c r="B1253" s="16"/>
      <c r="C1253" s="16"/>
      <c r="D1253" s="16" t="s">
        <v>3266</v>
      </c>
      <c r="E1253" s="16" t="s">
        <v>1779</v>
      </c>
      <c r="F1253" s="16" t="s">
        <v>2042</v>
      </c>
      <c r="G1253" s="16" t="s">
        <v>555</v>
      </c>
      <c r="J1253" s="16" t="s">
        <v>33</v>
      </c>
    </row>
    <row r="1254" spans="1:10" hidden="1" x14ac:dyDescent="0.3">
      <c r="A1254" s="16" t="s">
        <v>3265</v>
      </c>
      <c r="B1254" s="16"/>
      <c r="C1254" s="16"/>
      <c r="D1254" s="16" t="s">
        <v>3266</v>
      </c>
      <c r="E1254" s="16" t="s">
        <v>1915</v>
      </c>
      <c r="F1254" s="16" t="s">
        <v>2042</v>
      </c>
      <c r="G1254" s="16" t="s">
        <v>555</v>
      </c>
      <c r="J1254" s="16" t="s">
        <v>33</v>
      </c>
    </row>
    <row r="1255" spans="1:10" hidden="1" x14ac:dyDescent="0.3">
      <c r="A1255" s="16" t="s">
        <v>3265</v>
      </c>
      <c r="B1255" s="16"/>
      <c r="C1255" s="16"/>
      <c r="D1255" s="16" t="s">
        <v>3267</v>
      </c>
      <c r="E1255" s="16" t="s">
        <v>1779</v>
      </c>
      <c r="F1255" s="16" t="s">
        <v>18</v>
      </c>
      <c r="G1255" s="16" t="s">
        <v>555</v>
      </c>
      <c r="I1255" s="16" t="s">
        <v>1770</v>
      </c>
      <c r="J1255" s="16" t="s">
        <v>33</v>
      </c>
    </row>
    <row r="1256" spans="1:10" hidden="1" x14ac:dyDescent="0.3">
      <c r="A1256" s="16" t="s">
        <v>3265</v>
      </c>
      <c r="B1256" s="16"/>
      <c r="C1256" s="16"/>
      <c r="D1256" s="16" t="s">
        <v>3268</v>
      </c>
      <c r="E1256" s="16" t="s">
        <v>1915</v>
      </c>
      <c r="F1256" s="16" t="s">
        <v>18</v>
      </c>
      <c r="G1256" s="16" t="s">
        <v>555</v>
      </c>
      <c r="I1256" s="16" t="s">
        <v>1770</v>
      </c>
      <c r="J1256" s="16" t="s">
        <v>33</v>
      </c>
    </row>
    <row r="1257" spans="1:10" hidden="1" x14ac:dyDescent="0.3">
      <c r="A1257" s="16" t="s">
        <v>3269</v>
      </c>
      <c r="B1257" s="16"/>
      <c r="C1257" s="16"/>
      <c r="D1257" s="16" t="s">
        <v>3270</v>
      </c>
      <c r="E1257" s="16" t="s">
        <v>1779</v>
      </c>
      <c r="F1257" s="16" t="s">
        <v>2042</v>
      </c>
      <c r="G1257" s="16" t="s">
        <v>555</v>
      </c>
      <c r="J1257" s="16" t="s">
        <v>33</v>
      </c>
    </row>
    <row r="1258" spans="1:10" hidden="1" x14ac:dyDescent="0.3">
      <c r="A1258" s="16" t="s">
        <v>3269</v>
      </c>
      <c r="B1258" s="16"/>
      <c r="C1258" s="16"/>
      <c r="D1258" s="16" t="s">
        <v>3270</v>
      </c>
      <c r="E1258" s="16" t="s">
        <v>1915</v>
      </c>
      <c r="F1258" s="16" t="s">
        <v>2042</v>
      </c>
      <c r="G1258" s="16" t="s">
        <v>555</v>
      </c>
      <c r="J1258" s="16" t="s">
        <v>33</v>
      </c>
    </row>
    <row r="1259" spans="1:10" hidden="1" x14ac:dyDescent="0.3">
      <c r="A1259" s="16" t="s">
        <v>3269</v>
      </c>
      <c r="B1259" s="16"/>
      <c r="C1259" s="16"/>
      <c r="D1259" s="16" t="s">
        <v>3271</v>
      </c>
      <c r="E1259" s="16" t="s">
        <v>1779</v>
      </c>
      <c r="F1259" s="16" t="s">
        <v>18</v>
      </c>
      <c r="G1259" s="16" t="s">
        <v>555</v>
      </c>
      <c r="I1259" s="16" t="s">
        <v>1770</v>
      </c>
      <c r="J1259" s="16" t="s">
        <v>33</v>
      </c>
    </row>
    <row r="1260" spans="1:10" hidden="1" x14ac:dyDescent="0.3">
      <c r="A1260" s="16" t="s">
        <v>3269</v>
      </c>
      <c r="B1260" s="16"/>
      <c r="C1260" s="16"/>
      <c r="D1260" s="16" t="s">
        <v>3272</v>
      </c>
      <c r="E1260" s="16" t="s">
        <v>1915</v>
      </c>
      <c r="F1260" s="16" t="s">
        <v>18</v>
      </c>
      <c r="G1260" s="16" t="s">
        <v>555</v>
      </c>
      <c r="I1260" s="16" t="s">
        <v>1770</v>
      </c>
      <c r="J1260" s="16" t="s">
        <v>33</v>
      </c>
    </row>
    <row r="1261" spans="1:10" hidden="1" x14ac:dyDescent="0.3">
      <c r="A1261" s="16" t="s">
        <v>3273</v>
      </c>
      <c r="B1261" s="16"/>
      <c r="C1261" s="16"/>
      <c r="D1261" s="16" t="s">
        <v>3274</v>
      </c>
      <c r="E1261" s="16" t="s">
        <v>1778</v>
      </c>
      <c r="F1261" s="16" t="s">
        <v>2042</v>
      </c>
      <c r="G1261" s="16" t="s">
        <v>555</v>
      </c>
      <c r="J1261" s="16" t="s">
        <v>33</v>
      </c>
    </row>
    <row r="1262" spans="1:10" hidden="1" x14ac:dyDescent="0.3">
      <c r="A1262" s="16" t="s">
        <v>3273</v>
      </c>
      <c r="B1262" s="16"/>
      <c r="C1262" s="16"/>
      <c r="D1262" s="16" t="s">
        <v>3275</v>
      </c>
      <c r="E1262" s="16" t="s">
        <v>1778</v>
      </c>
      <c r="F1262" s="16" t="s">
        <v>18</v>
      </c>
      <c r="G1262" s="16" t="s">
        <v>555</v>
      </c>
      <c r="I1262" s="16" t="s">
        <v>1770</v>
      </c>
      <c r="J1262" s="16" t="s">
        <v>33</v>
      </c>
    </row>
    <row r="1263" spans="1:10" hidden="1" x14ac:dyDescent="0.3">
      <c r="A1263" s="16" t="s">
        <v>3276</v>
      </c>
      <c r="B1263" s="16"/>
      <c r="C1263" s="16"/>
      <c r="D1263" s="16" t="s">
        <v>3277</v>
      </c>
      <c r="E1263" s="16" t="s">
        <v>1779</v>
      </c>
      <c r="F1263" s="16" t="s">
        <v>2042</v>
      </c>
      <c r="G1263" s="16" t="s">
        <v>555</v>
      </c>
      <c r="J1263" s="16" t="s">
        <v>33</v>
      </c>
    </row>
    <row r="1264" spans="1:10" hidden="1" x14ac:dyDescent="0.3">
      <c r="A1264" s="16" t="s">
        <v>3276</v>
      </c>
      <c r="B1264" s="16"/>
      <c r="C1264" s="16"/>
      <c r="D1264" s="16" t="s">
        <v>3277</v>
      </c>
      <c r="E1264" s="16" t="s">
        <v>1915</v>
      </c>
      <c r="F1264" s="16" t="s">
        <v>2042</v>
      </c>
      <c r="G1264" s="16" t="s">
        <v>555</v>
      </c>
      <c r="J1264" s="16" t="s">
        <v>33</v>
      </c>
    </row>
    <row r="1265" spans="1:10" hidden="1" x14ac:dyDescent="0.3">
      <c r="A1265" s="16" t="s">
        <v>3276</v>
      </c>
      <c r="B1265" s="16"/>
      <c r="C1265" s="16"/>
      <c r="D1265" s="16" t="s">
        <v>3278</v>
      </c>
      <c r="E1265" s="16" t="s">
        <v>1779</v>
      </c>
      <c r="F1265" s="16" t="s">
        <v>18</v>
      </c>
      <c r="G1265" s="16" t="s">
        <v>555</v>
      </c>
      <c r="I1265" s="16" t="s">
        <v>1770</v>
      </c>
      <c r="J1265" s="16" t="s">
        <v>33</v>
      </c>
    </row>
    <row r="1266" spans="1:10" hidden="1" x14ac:dyDescent="0.3">
      <c r="A1266" s="16" t="s">
        <v>3276</v>
      </c>
      <c r="B1266" s="16"/>
      <c r="C1266" s="16"/>
      <c r="D1266" s="16" t="s">
        <v>3279</v>
      </c>
      <c r="E1266" s="16" t="s">
        <v>1915</v>
      </c>
      <c r="F1266" s="16" t="s">
        <v>18</v>
      </c>
      <c r="G1266" s="16" t="s">
        <v>555</v>
      </c>
      <c r="I1266" s="16" t="s">
        <v>1770</v>
      </c>
      <c r="J1266" s="16" t="s">
        <v>33</v>
      </c>
    </row>
    <row r="1267" spans="1:10" hidden="1" x14ac:dyDescent="0.3">
      <c r="A1267" s="16" t="s">
        <v>3280</v>
      </c>
      <c r="B1267" s="16"/>
      <c r="C1267" s="16"/>
      <c r="D1267" s="16" t="s">
        <v>3281</v>
      </c>
      <c r="E1267" s="16" t="s">
        <v>1779</v>
      </c>
      <c r="F1267" s="16" t="s">
        <v>2042</v>
      </c>
      <c r="G1267" s="16" t="s">
        <v>555</v>
      </c>
      <c r="J1267" s="16" t="s">
        <v>33</v>
      </c>
    </row>
    <row r="1268" spans="1:10" hidden="1" x14ac:dyDescent="0.3">
      <c r="A1268" s="16" t="s">
        <v>3280</v>
      </c>
      <c r="B1268" s="16"/>
      <c r="C1268" s="16"/>
      <c r="D1268" s="16" t="s">
        <v>3281</v>
      </c>
      <c r="E1268" s="16" t="s">
        <v>1915</v>
      </c>
      <c r="F1268" s="16" t="s">
        <v>2042</v>
      </c>
      <c r="G1268" s="16" t="s">
        <v>555</v>
      </c>
      <c r="J1268" s="16" t="s">
        <v>33</v>
      </c>
    </row>
    <row r="1269" spans="1:10" hidden="1" x14ac:dyDescent="0.3">
      <c r="A1269" s="16" t="s">
        <v>3280</v>
      </c>
      <c r="B1269" s="16"/>
      <c r="C1269" s="16"/>
      <c r="D1269" s="16" t="s">
        <v>3282</v>
      </c>
      <c r="E1269" s="16" t="s">
        <v>1779</v>
      </c>
      <c r="F1269" s="16" t="s">
        <v>18</v>
      </c>
      <c r="G1269" s="16" t="s">
        <v>555</v>
      </c>
      <c r="I1269" s="16" t="s">
        <v>1770</v>
      </c>
      <c r="J1269" s="16" t="s">
        <v>33</v>
      </c>
    </row>
    <row r="1270" spans="1:10" hidden="1" x14ac:dyDescent="0.3">
      <c r="A1270" s="16" t="s">
        <v>3280</v>
      </c>
      <c r="B1270" s="16"/>
      <c r="C1270" s="16"/>
      <c r="D1270" s="16" t="s">
        <v>3283</v>
      </c>
      <c r="E1270" s="16" t="s">
        <v>1915</v>
      </c>
      <c r="F1270" s="16" t="s">
        <v>18</v>
      </c>
      <c r="G1270" s="16" t="s">
        <v>555</v>
      </c>
      <c r="I1270" s="16" t="s">
        <v>1770</v>
      </c>
      <c r="J1270" s="16" t="s">
        <v>33</v>
      </c>
    </row>
    <row r="1271" spans="1:10" hidden="1" x14ac:dyDescent="0.3">
      <c r="A1271" s="16" t="s">
        <v>3284</v>
      </c>
      <c r="B1271" s="16"/>
      <c r="C1271" s="16"/>
      <c r="D1271" s="16" t="s">
        <v>3285</v>
      </c>
      <c r="E1271" s="16" t="s">
        <v>1779</v>
      </c>
      <c r="F1271" s="16" t="s">
        <v>133</v>
      </c>
      <c r="G1271" s="16" t="s">
        <v>255</v>
      </c>
      <c r="J1271" s="16" t="s">
        <v>33</v>
      </c>
    </row>
    <row r="1272" spans="1:10" hidden="1" x14ac:dyDescent="0.3">
      <c r="A1272" s="16" t="s">
        <v>3286</v>
      </c>
      <c r="B1272" s="16"/>
      <c r="C1272" s="16"/>
      <c r="D1272" s="16" t="s">
        <v>3287</v>
      </c>
      <c r="E1272" s="16" t="s">
        <v>1779</v>
      </c>
      <c r="F1272" s="16" t="s">
        <v>2042</v>
      </c>
      <c r="G1272" s="16" t="s">
        <v>555</v>
      </c>
      <c r="J1272" s="16" t="s">
        <v>33</v>
      </c>
    </row>
    <row r="1273" spans="1:10" hidden="1" x14ac:dyDescent="0.3">
      <c r="A1273" s="16" t="s">
        <v>3286</v>
      </c>
      <c r="B1273" s="16"/>
      <c r="C1273" s="16"/>
      <c r="D1273" s="16" t="s">
        <v>3287</v>
      </c>
      <c r="E1273" s="16" t="s">
        <v>1778</v>
      </c>
      <c r="F1273" s="16" t="s">
        <v>2042</v>
      </c>
      <c r="G1273" s="16" t="s">
        <v>555</v>
      </c>
      <c r="J1273" s="16" t="s">
        <v>33</v>
      </c>
    </row>
    <row r="1274" spans="1:10" hidden="1" x14ac:dyDescent="0.3">
      <c r="A1274" s="16" t="s">
        <v>3286</v>
      </c>
      <c r="B1274" s="16"/>
      <c r="C1274" s="16"/>
      <c r="D1274" s="16" t="s">
        <v>3287</v>
      </c>
      <c r="E1274" s="16" t="s">
        <v>2320</v>
      </c>
      <c r="F1274" s="16" t="s">
        <v>2042</v>
      </c>
      <c r="G1274" s="16" t="s">
        <v>555</v>
      </c>
      <c r="J1274" s="16" t="s">
        <v>33</v>
      </c>
    </row>
    <row r="1275" spans="1:10" hidden="1" x14ac:dyDescent="0.3">
      <c r="A1275" s="16" t="s">
        <v>3286</v>
      </c>
      <c r="B1275" s="16"/>
      <c r="C1275" s="16"/>
      <c r="D1275" s="16" t="s">
        <v>3288</v>
      </c>
      <c r="E1275" s="16" t="s">
        <v>1779</v>
      </c>
      <c r="F1275" s="16" t="s">
        <v>18</v>
      </c>
      <c r="G1275" s="16" t="s">
        <v>555</v>
      </c>
      <c r="I1275" s="16" t="s">
        <v>1770</v>
      </c>
      <c r="J1275" s="16" t="s">
        <v>33</v>
      </c>
    </row>
    <row r="1276" spans="1:10" hidden="1" x14ac:dyDescent="0.3">
      <c r="A1276" s="16" t="s">
        <v>3286</v>
      </c>
      <c r="B1276" s="16"/>
      <c r="C1276" s="16"/>
      <c r="D1276" s="16" t="s">
        <v>3289</v>
      </c>
      <c r="E1276" s="16" t="s">
        <v>1778</v>
      </c>
      <c r="F1276" s="16" t="s">
        <v>18</v>
      </c>
      <c r="G1276" s="16" t="s">
        <v>555</v>
      </c>
      <c r="I1276" s="16" t="s">
        <v>1770</v>
      </c>
      <c r="J1276" s="16" t="s">
        <v>33</v>
      </c>
    </row>
    <row r="1277" spans="1:10" hidden="1" x14ac:dyDescent="0.3">
      <c r="A1277" s="16" t="s">
        <v>1628</v>
      </c>
      <c r="B1277" s="16"/>
      <c r="C1277" s="16"/>
      <c r="D1277" s="16" t="s">
        <v>3290</v>
      </c>
      <c r="E1277" s="16" t="s">
        <v>1779</v>
      </c>
      <c r="F1277" s="16" t="s">
        <v>2042</v>
      </c>
      <c r="G1277" s="16" t="s">
        <v>555</v>
      </c>
      <c r="J1277" s="16" t="s">
        <v>33</v>
      </c>
    </row>
    <row r="1278" spans="1:10" hidden="1" x14ac:dyDescent="0.3">
      <c r="A1278" s="16" t="s">
        <v>1628</v>
      </c>
      <c r="B1278" s="16"/>
      <c r="C1278" s="16"/>
      <c r="D1278" s="16" t="s">
        <v>3290</v>
      </c>
      <c r="E1278" s="16" t="s">
        <v>1778</v>
      </c>
      <c r="F1278" s="16" t="s">
        <v>2042</v>
      </c>
      <c r="G1278" s="16" t="s">
        <v>555</v>
      </c>
      <c r="J1278" s="16" t="s">
        <v>33</v>
      </c>
    </row>
    <row r="1279" spans="1:10" hidden="1" x14ac:dyDescent="0.3">
      <c r="A1279" s="16" t="s">
        <v>1628</v>
      </c>
      <c r="B1279" s="16"/>
      <c r="C1279" s="16"/>
      <c r="D1279" s="16" t="s">
        <v>3290</v>
      </c>
      <c r="E1279" s="16" t="s">
        <v>2320</v>
      </c>
      <c r="F1279" s="16" t="s">
        <v>2042</v>
      </c>
      <c r="G1279" s="16" t="s">
        <v>555</v>
      </c>
      <c r="J1279" s="16" t="s">
        <v>33</v>
      </c>
    </row>
    <row r="1280" spans="1:10" hidden="1" x14ac:dyDescent="0.3">
      <c r="A1280" s="16" t="s">
        <v>1628</v>
      </c>
      <c r="B1280" s="16"/>
      <c r="C1280" s="16"/>
      <c r="D1280" s="16" t="s">
        <v>1629</v>
      </c>
      <c r="E1280" s="16" t="s">
        <v>1779</v>
      </c>
      <c r="F1280" s="16" t="s">
        <v>18</v>
      </c>
      <c r="G1280" s="16" t="s">
        <v>555</v>
      </c>
      <c r="I1280" s="16" t="s">
        <v>1770</v>
      </c>
      <c r="J1280" s="16" t="s">
        <v>33</v>
      </c>
    </row>
    <row r="1281" spans="1:12" hidden="1" x14ac:dyDescent="0.3">
      <c r="A1281" s="16" t="s">
        <v>1628</v>
      </c>
      <c r="B1281" s="16"/>
      <c r="C1281" s="16"/>
      <c r="D1281" s="16" t="s">
        <v>3291</v>
      </c>
      <c r="E1281" s="16" t="s">
        <v>1778</v>
      </c>
      <c r="F1281" s="16" t="s">
        <v>18</v>
      </c>
      <c r="G1281" s="16" t="s">
        <v>555</v>
      </c>
      <c r="I1281" s="16" t="s">
        <v>1770</v>
      </c>
      <c r="J1281" s="16" t="s">
        <v>33</v>
      </c>
    </row>
    <row r="1282" spans="1:12" hidden="1" x14ac:dyDescent="0.3">
      <c r="A1282" s="16" t="s">
        <v>3292</v>
      </c>
      <c r="B1282" s="16"/>
      <c r="C1282" s="16"/>
      <c r="D1282" s="16" t="s">
        <v>3293</v>
      </c>
      <c r="E1282" s="16" t="s">
        <v>1779</v>
      </c>
      <c r="F1282" s="16" t="s">
        <v>2042</v>
      </c>
      <c r="G1282" s="16" t="s">
        <v>555</v>
      </c>
      <c r="J1282" s="16" t="s">
        <v>33</v>
      </c>
    </row>
    <row r="1283" spans="1:12" hidden="1" x14ac:dyDescent="0.3">
      <c r="A1283" s="16" t="s">
        <v>3292</v>
      </c>
      <c r="B1283" s="16"/>
      <c r="C1283" s="16"/>
      <c r="D1283" s="16" t="s">
        <v>3293</v>
      </c>
      <c r="E1283" s="16" t="s">
        <v>1778</v>
      </c>
      <c r="F1283" s="16" t="s">
        <v>2042</v>
      </c>
      <c r="G1283" s="16" t="s">
        <v>555</v>
      </c>
      <c r="J1283" s="16" t="s">
        <v>33</v>
      </c>
    </row>
    <row r="1284" spans="1:12" hidden="1" x14ac:dyDescent="0.3">
      <c r="A1284" s="16" t="s">
        <v>3292</v>
      </c>
      <c r="B1284" s="16"/>
      <c r="C1284" s="16"/>
      <c r="D1284" s="16" t="s">
        <v>3293</v>
      </c>
      <c r="E1284" s="16" t="s">
        <v>2320</v>
      </c>
      <c r="F1284" s="16" t="s">
        <v>2042</v>
      </c>
      <c r="G1284" s="16" t="s">
        <v>555</v>
      </c>
      <c r="J1284" s="16" t="s">
        <v>33</v>
      </c>
    </row>
    <row r="1285" spans="1:12" hidden="1" x14ac:dyDescent="0.3">
      <c r="A1285" s="16" t="s">
        <v>3292</v>
      </c>
      <c r="B1285" s="16"/>
      <c r="C1285" s="16"/>
      <c r="D1285" s="16" t="s">
        <v>3294</v>
      </c>
      <c r="E1285" s="16" t="s">
        <v>1779</v>
      </c>
      <c r="F1285" s="16" t="s">
        <v>18</v>
      </c>
      <c r="G1285" s="16" t="s">
        <v>555</v>
      </c>
      <c r="I1285" s="16" t="s">
        <v>1770</v>
      </c>
      <c r="J1285" s="16" t="s">
        <v>33</v>
      </c>
    </row>
    <row r="1286" spans="1:12" hidden="1" x14ac:dyDescent="0.3">
      <c r="A1286" s="16" t="s">
        <v>3292</v>
      </c>
      <c r="B1286" s="16"/>
      <c r="C1286" s="16"/>
      <c r="D1286" s="16" t="s">
        <v>3295</v>
      </c>
      <c r="E1286" s="16" t="s">
        <v>1778</v>
      </c>
      <c r="F1286" s="16" t="s">
        <v>18</v>
      </c>
      <c r="G1286" s="16" t="s">
        <v>555</v>
      </c>
      <c r="I1286" s="16" t="s">
        <v>1770</v>
      </c>
      <c r="J1286" s="16" t="s">
        <v>33</v>
      </c>
    </row>
    <row r="1287" spans="1:12" hidden="1" x14ac:dyDescent="0.3">
      <c r="A1287" s="16" t="s">
        <v>3296</v>
      </c>
      <c r="B1287" s="16"/>
      <c r="C1287" s="16"/>
      <c r="D1287" s="16" t="s">
        <v>3297</v>
      </c>
      <c r="E1287" s="16" t="s">
        <v>1779</v>
      </c>
      <c r="F1287" s="16" t="s">
        <v>2042</v>
      </c>
      <c r="G1287" s="16" t="s">
        <v>661</v>
      </c>
      <c r="J1287" s="16" t="s">
        <v>33</v>
      </c>
    </row>
    <row r="1288" spans="1:12" hidden="1" x14ac:dyDescent="0.3">
      <c r="A1288" s="16" t="s">
        <v>3296</v>
      </c>
      <c r="B1288" s="16"/>
      <c r="C1288" s="16"/>
      <c r="D1288" s="16" t="s">
        <v>3297</v>
      </c>
      <c r="E1288" s="16" t="s">
        <v>1778</v>
      </c>
      <c r="F1288" s="16" t="s">
        <v>2042</v>
      </c>
      <c r="G1288" s="16" t="s">
        <v>661</v>
      </c>
      <c r="J1288" s="16" t="s">
        <v>33</v>
      </c>
    </row>
    <row r="1289" spans="1:12" hidden="1" x14ac:dyDescent="0.3">
      <c r="A1289" s="16" t="s">
        <v>3296</v>
      </c>
      <c r="B1289" s="16"/>
      <c r="C1289" s="16"/>
      <c r="D1289" s="16" t="s">
        <v>3297</v>
      </c>
      <c r="E1289" s="16" t="s">
        <v>2320</v>
      </c>
      <c r="F1289" s="16" t="s">
        <v>2042</v>
      </c>
      <c r="G1289" s="16" t="s">
        <v>661</v>
      </c>
      <c r="J1289" s="16" t="s">
        <v>33</v>
      </c>
    </row>
    <row r="1290" spans="1:12" hidden="1" x14ac:dyDescent="0.3">
      <c r="A1290" s="16" t="s">
        <v>3296</v>
      </c>
      <c r="B1290" s="16"/>
      <c r="C1290" s="16"/>
      <c r="D1290" s="16" t="s">
        <v>3298</v>
      </c>
      <c r="E1290" s="16" t="s">
        <v>1779</v>
      </c>
      <c r="F1290" s="16" t="s">
        <v>18</v>
      </c>
      <c r="G1290" s="16" t="s">
        <v>661</v>
      </c>
      <c r="I1290" s="16" t="s">
        <v>1770</v>
      </c>
      <c r="J1290" s="16" t="s">
        <v>33</v>
      </c>
    </row>
    <row r="1291" spans="1:12" hidden="1" x14ac:dyDescent="0.3">
      <c r="A1291" s="16" t="s">
        <v>3296</v>
      </c>
      <c r="B1291" s="16"/>
      <c r="C1291" s="16"/>
      <c r="D1291" s="16" t="s">
        <v>3299</v>
      </c>
      <c r="E1291" s="16" t="s">
        <v>1778</v>
      </c>
      <c r="F1291" s="16" t="s">
        <v>18</v>
      </c>
      <c r="G1291" s="16" t="s">
        <v>661</v>
      </c>
      <c r="I1291" s="16" t="s">
        <v>1770</v>
      </c>
      <c r="J1291" s="16" t="s">
        <v>33</v>
      </c>
    </row>
    <row r="1292" spans="1:12" hidden="1" x14ac:dyDescent="0.3">
      <c r="A1292" s="16" t="s">
        <v>786</v>
      </c>
      <c r="B1292" s="16"/>
      <c r="C1292" s="16"/>
      <c r="D1292" s="16" t="s">
        <v>3300</v>
      </c>
      <c r="E1292" s="16" t="s">
        <v>1777</v>
      </c>
      <c r="F1292" s="16" t="s">
        <v>133</v>
      </c>
      <c r="G1292" s="16" t="s">
        <v>539</v>
      </c>
      <c r="J1292" s="16" t="s">
        <v>33</v>
      </c>
    </row>
    <row r="1293" spans="1:12" hidden="1" x14ac:dyDescent="0.3">
      <c r="A1293" s="16" t="s">
        <v>464</v>
      </c>
      <c r="B1293" s="16"/>
      <c r="C1293" s="16"/>
      <c r="D1293" s="16" t="s">
        <v>465</v>
      </c>
      <c r="E1293" s="16" t="s">
        <v>1777</v>
      </c>
      <c r="F1293" s="16" t="s">
        <v>18</v>
      </c>
      <c r="G1293" s="16" t="s">
        <v>539</v>
      </c>
      <c r="I1293" s="16" t="s">
        <v>1127</v>
      </c>
      <c r="J1293" s="16" t="s">
        <v>33</v>
      </c>
    </row>
    <row r="1294" spans="1:12" hidden="1" x14ac:dyDescent="0.3">
      <c r="A1294" s="16" t="s">
        <v>464</v>
      </c>
      <c r="B1294" s="16"/>
      <c r="C1294" s="16"/>
      <c r="D1294" s="16" t="s">
        <v>1405</v>
      </c>
      <c r="E1294" s="16" t="s">
        <v>1778</v>
      </c>
      <c r="F1294" s="16" t="s">
        <v>18</v>
      </c>
      <c r="G1294" s="16" t="s">
        <v>539</v>
      </c>
      <c r="I1294" s="16" t="s">
        <v>1127</v>
      </c>
      <c r="J1294" s="16" t="s">
        <v>33</v>
      </c>
    </row>
    <row r="1295" spans="1:12" hidden="1" x14ac:dyDescent="0.3">
      <c r="A1295" s="16" t="s">
        <v>464</v>
      </c>
      <c r="B1295" s="16"/>
      <c r="C1295" s="16"/>
      <c r="D1295" s="16" t="s">
        <v>466</v>
      </c>
      <c r="E1295" s="16" t="s">
        <v>1779</v>
      </c>
      <c r="F1295" s="16" t="s">
        <v>18</v>
      </c>
      <c r="G1295" s="16" t="s">
        <v>539</v>
      </c>
      <c r="I1295" s="16" t="s">
        <v>1127</v>
      </c>
      <c r="J1295" s="16" t="s">
        <v>33</v>
      </c>
    </row>
    <row r="1296" spans="1:12" hidden="1" x14ac:dyDescent="0.3">
      <c r="A1296" s="16" t="s">
        <v>3301</v>
      </c>
      <c r="B1296" s="16"/>
      <c r="C1296" s="16"/>
      <c r="D1296" s="16" t="s">
        <v>3302</v>
      </c>
      <c r="E1296" s="16" t="s">
        <v>1777</v>
      </c>
      <c r="F1296" s="16" t="s">
        <v>388</v>
      </c>
      <c r="G1296" s="16" t="s">
        <v>539</v>
      </c>
      <c r="J1296" s="16" t="s">
        <v>33</v>
      </c>
      <c r="L1296" s="16" t="s">
        <v>32</v>
      </c>
    </row>
    <row r="1297" spans="1:12" hidden="1" x14ac:dyDescent="0.3">
      <c r="A1297" s="16" t="s">
        <v>3303</v>
      </c>
      <c r="B1297" s="16"/>
      <c r="C1297" s="16"/>
      <c r="D1297" s="16" t="s">
        <v>3304</v>
      </c>
      <c r="E1297" s="16" t="s">
        <v>1804</v>
      </c>
      <c r="F1297" s="16" t="s">
        <v>18</v>
      </c>
      <c r="G1297" s="16" t="s">
        <v>539</v>
      </c>
      <c r="I1297" s="16" t="s">
        <v>1770</v>
      </c>
      <c r="J1297" s="16" t="s">
        <v>33</v>
      </c>
    </row>
    <row r="1298" spans="1:12" hidden="1" x14ac:dyDescent="0.3">
      <c r="A1298" s="16" t="s">
        <v>3305</v>
      </c>
      <c r="B1298" s="16"/>
      <c r="C1298" s="16"/>
      <c r="D1298" s="16" t="s">
        <v>3306</v>
      </c>
      <c r="E1298" s="16" t="s">
        <v>1804</v>
      </c>
      <c r="F1298" s="16" t="s">
        <v>18</v>
      </c>
      <c r="G1298" s="16" t="s">
        <v>588</v>
      </c>
      <c r="I1298" s="16" t="s">
        <v>1770</v>
      </c>
      <c r="J1298" s="16" t="s">
        <v>33</v>
      </c>
    </row>
    <row r="1299" spans="1:12" hidden="1" x14ac:dyDescent="0.3">
      <c r="A1299" s="16" t="s">
        <v>3307</v>
      </c>
      <c r="B1299" s="16"/>
      <c r="C1299" s="16"/>
      <c r="D1299" s="16" t="s">
        <v>3308</v>
      </c>
      <c r="E1299" s="16" t="s">
        <v>1779</v>
      </c>
      <c r="F1299" s="16" t="s">
        <v>388</v>
      </c>
      <c r="G1299" s="16" t="s">
        <v>539</v>
      </c>
      <c r="J1299" s="16" t="s">
        <v>33</v>
      </c>
      <c r="L1299" s="16" t="s">
        <v>32</v>
      </c>
    </row>
    <row r="1300" spans="1:12" hidden="1" x14ac:dyDescent="0.3">
      <c r="A1300" s="16" t="s">
        <v>3309</v>
      </c>
      <c r="B1300" s="16"/>
      <c r="C1300" s="16"/>
      <c r="D1300" s="16" t="s">
        <v>3310</v>
      </c>
      <c r="E1300" s="16" t="s">
        <v>1769</v>
      </c>
      <c r="F1300" s="16" t="s">
        <v>133</v>
      </c>
      <c r="G1300" s="16" t="s">
        <v>539</v>
      </c>
      <c r="J1300" s="16" t="s">
        <v>33</v>
      </c>
    </row>
    <row r="1301" spans="1:12" hidden="1" x14ac:dyDescent="0.3">
      <c r="A1301" s="16" t="s">
        <v>3311</v>
      </c>
      <c r="B1301" s="16"/>
      <c r="C1301" s="16"/>
      <c r="D1301" s="16" t="s">
        <v>3312</v>
      </c>
      <c r="E1301" s="16" t="s">
        <v>1779</v>
      </c>
      <c r="F1301" s="16" t="s">
        <v>133</v>
      </c>
      <c r="G1301" s="16" t="s">
        <v>539</v>
      </c>
      <c r="I1301" s="16" t="s">
        <v>662</v>
      </c>
      <c r="J1301" s="16" t="s">
        <v>33</v>
      </c>
    </row>
    <row r="1302" spans="1:12" hidden="1" x14ac:dyDescent="0.3">
      <c r="A1302" s="16" t="s">
        <v>3311</v>
      </c>
      <c r="B1302" s="16"/>
      <c r="C1302" s="16"/>
      <c r="D1302" s="16" t="s">
        <v>3313</v>
      </c>
      <c r="E1302" s="16" t="s">
        <v>1769</v>
      </c>
      <c r="F1302" s="16" t="s">
        <v>133</v>
      </c>
      <c r="G1302" s="16" t="s">
        <v>539</v>
      </c>
      <c r="J1302" s="16" t="s">
        <v>33</v>
      </c>
    </row>
    <row r="1303" spans="1:12" hidden="1" x14ac:dyDescent="0.3">
      <c r="A1303" s="16" t="s">
        <v>1630</v>
      </c>
      <c r="B1303" s="16"/>
      <c r="C1303" s="16"/>
      <c r="D1303" s="16" t="s">
        <v>1631</v>
      </c>
      <c r="E1303" s="16" t="s">
        <v>1779</v>
      </c>
      <c r="F1303" s="16" t="s">
        <v>18</v>
      </c>
      <c r="G1303" s="16" t="s">
        <v>539</v>
      </c>
      <c r="I1303" s="16" t="s">
        <v>1103</v>
      </c>
      <c r="J1303" s="16" t="s">
        <v>33</v>
      </c>
    </row>
    <row r="1304" spans="1:12" hidden="1" x14ac:dyDescent="0.3">
      <c r="A1304" s="16" t="s">
        <v>3314</v>
      </c>
      <c r="B1304" s="16"/>
      <c r="C1304" s="16"/>
      <c r="D1304" s="16" t="s">
        <v>3315</v>
      </c>
      <c r="E1304" s="16" t="s">
        <v>1808</v>
      </c>
      <c r="F1304" s="16" t="s">
        <v>133</v>
      </c>
      <c r="G1304" s="16" t="s">
        <v>1791</v>
      </c>
      <c r="J1304" s="16" t="s">
        <v>33</v>
      </c>
    </row>
    <row r="1305" spans="1:12" hidden="1" x14ac:dyDescent="0.3">
      <c r="A1305" s="16" t="s">
        <v>3316</v>
      </c>
      <c r="B1305" s="16"/>
      <c r="C1305" s="16"/>
      <c r="D1305" s="16" t="s">
        <v>3317</v>
      </c>
      <c r="E1305" s="16" t="s">
        <v>1769</v>
      </c>
      <c r="F1305" s="16" t="s">
        <v>133</v>
      </c>
      <c r="G1305" s="16" t="s">
        <v>1791</v>
      </c>
      <c r="I1305" s="16" t="s">
        <v>662</v>
      </c>
      <c r="J1305" s="16" t="s">
        <v>33</v>
      </c>
      <c r="K1305" s="16" t="s">
        <v>33</v>
      </c>
    </row>
    <row r="1306" spans="1:12" hidden="1" x14ac:dyDescent="0.3">
      <c r="A1306" s="16" t="s">
        <v>3318</v>
      </c>
      <c r="B1306" s="16"/>
      <c r="C1306" s="16"/>
      <c r="D1306" s="16" t="s">
        <v>3319</v>
      </c>
      <c r="E1306" s="16" t="s">
        <v>1769</v>
      </c>
      <c r="F1306" s="16" t="s">
        <v>133</v>
      </c>
      <c r="G1306" s="16" t="s">
        <v>1791</v>
      </c>
      <c r="I1306" s="16" t="s">
        <v>662</v>
      </c>
      <c r="J1306" s="16" t="s">
        <v>33</v>
      </c>
      <c r="K1306" s="16" t="s">
        <v>33</v>
      </c>
    </row>
    <row r="1307" spans="1:12" hidden="1" x14ac:dyDescent="0.3">
      <c r="A1307" s="16" t="s">
        <v>1406</v>
      </c>
      <c r="B1307" s="16"/>
      <c r="C1307" s="16"/>
      <c r="D1307" s="16" t="s">
        <v>1407</v>
      </c>
      <c r="E1307" s="16" t="s">
        <v>1778</v>
      </c>
      <c r="F1307" s="16" t="s">
        <v>18</v>
      </c>
      <c r="G1307" s="16" t="s">
        <v>539</v>
      </c>
      <c r="I1307" s="16" t="s">
        <v>1127</v>
      </c>
      <c r="J1307" s="16" t="s">
        <v>33</v>
      </c>
    </row>
    <row r="1308" spans="1:12" hidden="1" x14ac:dyDescent="0.3">
      <c r="A1308" s="16" t="s">
        <v>3320</v>
      </c>
      <c r="B1308" s="16"/>
      <c r="C1308" s="16"/>
      <c r="D1308" s="16" t="s">
        <v>3321</v>
      </c>
      <c r="E1308" s="16" t="s">
        <v>1779</v>
      </c>
      <c r="F1308" s="16" t="s">
        <v>133</v>
      </c>
      <c r="G1308" s="16" t="s">
        <v>661</v>
      </c>
      <c r="I1308" s="16" t="s">
        <v>662</v>
      </c>
      <c r="J1308" s="16" t="s">
        <v>33</v>
      </c>
    </row>
    <row r="1309" spans="1:12" hidden="1" x14ac:dyDescent="0.3">
      <c r="A1309" s="16" t="s">
        <v>1160</v>
      </c>
      <c r="B1309" s="16"/>
      <c r="C1309" s="16"/>
      <c r="D1309" s="16" t="s">
        <v>1161</v>
      </c>
      <c r="E1309" s="16" t="s">
        <v>1915</v>
      </c>
      <c r="F1309" s="16" t="s">
        <v>18</v>
      </c>
      <c r="G1309" s="16" t="s">
        <v>539</v>
      </c>
      <c r="I1309" s="16" t="s">
        <v>1103</v>
      </c>
      <c r="J1309" s="16" t="s">
        <v>33</v>
      </c>
    </row>
    <row r="1310" spans="1:12" hidden="1" x14ac:dyDescent="0.3">
      <c r="A1310" s="16" t="s">
        <v>1408</v>
      </c>
      <c r="B1310" s="16"/>
      <c r="C1310" s="16"/>
      <c r="D1310" s="16" t="s">
        <v>1409</v>
      </c>
      <c r="E1310" s="16" t="s">
        <v>1778</v>
      </c>
      <c r="F1310" s="16" t="s">
        <v>18</v>
      </c>
      <c r="G1310" s="16" t="s">
        <v>539</v>
      </c>
      <c r="I1310" s="16" t="s">
        <v>1127</v>
      </c>
      <c r="J1310" s="16" t="s">
        <v>33</v>
      </c>
    </row>
    <row r="1311" spans="1:12" hidden="1" x14ac:dyDescent="0.3">
      <c r="A1311" s="16" t="s">
        <v>3322</v>
      </c>
      <c r="B1311" s="16"/>
      <c r="C1311" s="16"/>
      <c r="D1311" s="16" t="s">
        <v>405</v>
      </c>
      <c r="E1311" s="16" t="s">
        <v>1777</v>
      </c>
      <c r="F1311" s="16" t="s">
        <v>388</v>
      </c>
      <c r="G1311" s="16" t="s">
        <v>539</v>
      </c>
      <c r="J1311" s="16" t="s">
        <v>33</v>
      </c>
      <c r="L1311" s="16" t="s">
        <v>32</v>
      </c>
    </row>
    <row r="1312" spans="1:12" hidden="1" x14ac:dyDescent="0.3">
      <c r="A1312" s="16" t="s">
        <v>407</v>
      </c>
      <c r="B1312" s="16"/>
      <c r="C1312" s="16"/>
      <c r="D1312" s="16" t="s">
        <v>1188</v>
      </c>
      <c r="E1312" s="16" t="s">
        <v>1777</v>
      </c>
      <c r="F1312" s="16" t="s">
        <v>18</v>
      </c>
      <c r="G1312" s="16" t="s">
        <v>539</v>
      </c>
      <c r="I1312" s="16" t="s">
        <v>1127</v>
      </c>
      <c r="J1312" s="16" t="s">
        <v>33</v>
      </c>
      <c r="K1312" s="16" t="s">
        <v>33</v>
      </c>
    </row>
    <row r="1313" spans="1:12" hidden="1" x14ac:dyDescent="0.3">
      <c r="A1313" s="16" t="s">
        <v>407</v>
      </c>
      <c r="B1313" s="16"/>
      <c r="C1313" s="16"/>
      <c r="D1313" s="16" t="s">
        <v>1410</v>
      </c>
      <c r="E1313" s="16" t="s">
        <v>1778</v>
      </c>
      <c r="F1313" s="16" t="s">
        <v>18</v>
      </c>
      <c r="G1313" s="16" t="s">
        <v>539</v>
      </c>
      <c r="I1313" s="16" t="s">
        <v>1127</v>
      </c>
      <c r="J1313" s="16" t="s">
        <v>33</v>
      </c>
    </row>
    <row r="1314" spans="1:12" hidden="1" x14ac:dyDescent="0.3">
      <c r="A1314" s="16" t="s">
        <v>422</v>
      </c>
      <c r="B1314" s="16"/>
      <c r="C1314" s="16"/>
      <c r="D1314" s="16" t="s">
        <v>423</v>
      </c>
      <c r="E1314" s="16" t="s">
        <v>1777</v>
      </c>
      <c r="F1314" s="16" t="s">
        <v>388</v>
      </c>
      <c r="G1314" s="16" t="s">
        <v>539</v>
      </c>
      <c r="J1314" s="16" t="s">
        <v>33</v>
      </c>
      <c r="L1314" s="16" t="s">
        <v>32</v>
      </c>
    </row>
    <row r="1315" spans="1:12" hidden="1" x14ac:dyDescent="0.3">
      <c r="A1315" s="16" t="s">
        <v>3323</v>
      </c>
      <c r="B1315" s="16"/>
      <c r="C1315" s="16"/>
      <c r="D1315" s="16" t="s">
        <v>402</v>
      </c>
      <c r="E1315" s="16" t="s">
        <v>1777</v>
      </c>
      <c r="F1315" s="16" t="s">
        <v>388</v>
      </c>
      <c r="G1315" s="16" t="s">
        <v>539</v>
      </c>
      <c r="J1315" s="16" t="s">
        <v>33</v>
      </c>
      <c r="L1315" s="16" t="s">
        <v>32</v>
      </c>
    </row>
    <row r="1316" spans="1:12" hidden="1" x14ac:dyDescent="0.3">
      <c r="A1316" s="16" t="s">
        <v>410</v>
      </c>
      <c r="B1316" s="16"/>
      <c r="C1316" s="16"/>
      <c r="D1316" s="16" t="s">
        <v>411</v>
      </c>
      <c r="E1316" s="16" t="s">
        <v>1777</v>
      </c>
      <c r="F1316" s="16" t="s">
        <v>18</v>
      </c>
      <c r="G1316" s="16" t="s">
        <v>539</v>
      </c>
      <c r="I1316" s="16" t="s">
        <v>1127</v>
      </c>
      <c r="J1316" s="16" t="s">
        <v>33</v>
      </c>
    </row>
    <row r="1317" spans="1:12" hidden="1" x14ac:dyDescent="0.3">
      <c r="A1317" s="16" t="s">
        <v>410</v>
      </c>
      <c r="B1317" s="16"/>
      <c r="C1317" s="16"/>
      <c r="D1317" s="16" t="s">
        <v>1411</v>
      </c>
      <c r="E1317" s="16" t="s">
        <v>1778</v>
      </c>
      <c r="F1317" s="16" t="s">
        <v>18</v>
      </c>
      <c r="G1317" s="16" t="s">
        <v>539</v>
      </c>
      <c r="I1317" s="16" t="s">
        <v>1127</v>
      </c>
      <c r="J1317" s="16" t="s">
        <v>33</v>
      </c>
    </row>
    <row r="1318" spans="1:12" hidden="1" x14ac:dyDescent="0.3">
      <c r="A1318" s="16" t="s">
        <v>3324</v>
      </c>
      <c r="B1318" s="16"/>
      <c r="C1318" s="16"/>
      <c r="D1318" s="16" t="s">
        <v>3325</v>
      </c>
      <c r="E1318" s="16" t="s">
        <v>1779</v>
      </c>
      <c r="F1318" s="16" t="s">
        <v>133</v>
      </c>
      <c r="G1318" s="16" t="s">
        <v>539</v>
      </c>
      <c r="I1318" s="16" t="s">
        <v>662</v>
      </c>
      <c r="J1318" s="16" t="s">
        <v>33</v>
      </c>
    </row>
    <row r="1319" spans="1:12" hidden="1" x14ac:dyDescent="0.3">
      <c r="A1319" s="16" t="s">
        <v>3326</v>
      </c>
      <c r="B1319" s="16"/>
      <c r="C1319" s="16"/>
      <c r="D1319" s="16" t="s">
        <v>128</v>
      </c>
      <c r="E1319" s="16" t="s">
        <v>1778</v>
      </c>
      <c r="F1319" s="16" t="s">
        <v>133</v>
      </c>
      <c r="G1319" s="16" t="s">
        <v>588</v>
      </c>
      <c r="J1319" s="16" t="s">
        <v>33</v>
      </c>
    </row>
    <row r="1320" spans="1:12" hidden="1" x14ac:dyDescent="0.3">
      <c r="A1320" s="16" t="s">
        <v>3327</v>
      </c>
      <c r="B1320" s="16"/>
      <c r="C1320" s="16"/>
      <c r="D1320" s="16" t="s">
        <v>3328</v>
      </c>
      <c r="E1320" s="16" t="s">
        <v>1778</v>
      </c>
      <c r="F1320" s="16" t="s">
        <v>133</v>
      </c>
      <c r="G1320" s="16" t="s">
        <v>588</v>
      </c>
      <c r="J1320" s="16" t="s">
        <v>33</v>
      </c>
    </row>
    <row r="1321" spans="1:12" hidden="1" x14ac:dyDescent="0.3">
      <c r="A1321" s="16" t="s">
        <v>3329</v>
      </c>
      <c r="B1321" s="16"/>
      <c r="C1321" s="16"/>
      <c r="D1321" s="16" t="s">
        <v>3330</v>
      </c>
      <c r="E1321" s="16" t="s">
        <v>1778</v>
      </c>
      <c r="F1321" s="16" t="s">
        <v>133</v>
      </c>
      <c r="G1321" s="16" t="s">
        <v>255</v>
      </c>
      <c r="J1321" s="16" t="s">
        <v>33</v>
      </c>
    </row>
    <row r="1322" spans="1:12" hidden="1" x14ac:dyDescent="0.3">
      <c r="A1322" s="16" t="s">
        <v>3331</v>
      </c>
      <c r="B1322" s="16"/>
      <c r="C1322" s="16"/>
      <c r="D1322" s="16" t="s">
        <v>130</v>
      </c>
      <c r="E1322" s="16" t="s">
        <v>1778</v>
      </c>
      <c r="F1322" s="16" t="s">
        <v>133</v>
      </c>
      <c r="G1322" s="16" t="s">
        <v>588</v>
      </c>
      <c r="J1322" s="16" t="s">
        <v>33</v>
      </c>
    </row>
    <row r="1323" spans="1:12" hidden="1" x14ac:dyDescent="0.3">
      <c r="A1323" s="16" t="s">
        <v>3332</v>
      </c>
      <c r="B1323" s="16"/>
      <c r="C1323" s="16"/>
      <c r="D1323" s="16" t="s">
        <v>3333</v>
      </c>
      <c r="E1323" s="16" t="s">
        <v>1778</v>
      </c>
      <c r="F1323" s="16" t="s">
        <v>133</v>
      </c>
      <c r="G1323" s="16" t="s">
        <v>588</v>
      </c>
      <c r="J1323" s="16" t="s">
        <v>33</v>
      </c>
    </row>
    <row r="1324" spans="1:12" hidden="1" x14ac:dyDescent="0.3">
      <c r="A1324" s="16" t="s">
        <v>1735</v>
      </c>
      <c r="B1324" s="16"/>
      <c r="C1324" s="16"/>
      <c r="D1324" s="16" t="s">
        <v>155</v>
      </c>
      <c r="E1324" s="16" t="s">
        <v>1779</v>
      </c>
      <c r="F1324" s="16" t="s">
        <v>18</v>
      </c>
      <c r="G1324" s="16" t="s">
        <v>539</v>
      </c>
      <c r="I1324" s="16" t="s">
        <v>1103</v>
      </c>
      <c r="J1324" s="16" t="s">
        <v>33</v>
      </c>
    </row>
    <row r="1325" spans="1:12" hidden="1" x14ac:dyDescent="0.3">
      <c r="A1325" s="16" t="s">
        <v>3334</v>
      </c>
      <c r="B1325" s="16"/>
      <c r="C1325" s="16"/>
      <c r="D1325" s="16" t="s">
        <v>3335</v>
      </c>
      <c r="E1325" s="16" t="s">
        <v>1779</v>
      </c>
      <c r="F1325" s="16" t="s">
        <v>388</v>
      </c>
      <c r="G1325" s="16" t="s">
        <v>539</v>
      </c>
      <c r="L1325" s="16" t="s">
        <v>1988</v>
      </c>
    </row>
    <row r="1326" spans="1:12" hidden="1" x14ac:dyDescent="0.3">
      <c r="A1326" s="16" t="s">
        <v>3336</v>
      </c>
      <c r="B1326" s="16"/>
      <c r="C1326" s="16"/>
      <c r="D1326" s="16" t="s">
        <v>3337</v>
      </c>
      <c r="E1326" s="16" t="s">
        <v>1915</v>
      </c>
      <c r="F1326" s="16" t="s">
        <v>133</v>
      </c>
      <c r="G1326" s="16" t="s">
        <v>588</v>
      </c>
      <c r="J1326" s="16" t="s">
        <v>33</v>
      </c>
    </row>
    <row r="1327" spans="1:12" hidden="1" x14ac:dyDescent="0.3">
      <c r="A1327" s="16" t="s">
        <v>3338</v>
      </c>
      <c r="B1327" s="16"/>
      <c r="C1327" s="16"/>
      <c r="D1327" s="16" t="s">
        <v>3339</v>
      </c>
      <c r="E1327" s="16" t="s">
        <v>1778</v>
      </c>
      <c r="F1327" s="16" t="s">
        <v>133</v>
      </c>
      <c r="G1327" s="16" t="s">
        <v>255</v>
      </c>
      <c r="J1327" s="16" t="s">
        <v>33</v>
      </c>
    </row>
    <row r="1328" spans="1:12" hidden="1" x14ac:dyDescent="0.3">
      <c r="A1328" s="16" t="s">
        <v>1632</v>
      </c>
      <c r="B1328" s="16"/>
      <c r="C1328" s="16"/>
      <c r="D1328" s="16" t="s">
        <v>387</v>
      </c>
      <c r="E1328" s="16" t="s">
        <v>1779</v>
      </c>
      <c r="F1328" s="16" t="s">
        <v>18</v>
      </c>
      <c r="G1328" s="16" t="s">
        <v>539</v>
      </c>
      <c r="I1328" s="16" t="s">
        <v>1103</v>
      </c>
      <c r="J1328" s="16" t="s">
        <v>33</v>
      </c>
    </row>
    <row r="1329" spans="1:13" hidden="1" x14ac:dyDescent="0.3">
      <c r="A1329" s="16" t="s">
        <v>136</v>
      </c>
      <c r="B1329" s="16"/>
      <c r="C1329" s="16"/>
      <c r="D1329" s="16" t="s">
        <v>3340</v>
      </c>
      <c r="E1329" s="16" t="s">
        <v>1808</v>
      </c>
      <c r="F1329" s="16" t="s">
        <v>133</v>
      </c>
      <c r="G1329" s="16" t="s">
        <v>539</v>
      </c>
      <c r="J1329" s="16" t="s">
        <v>33</v>
      </c>
    </row>
    <row r="1330" spans="1:13" hidden="1" x14ac:dyDescent="0.3">
      <c r="A1330" s="16" t="s">
        <v>136</v>
      </c>
      <c r="B1330" s="16"/>
      <c r="C1330" s="16"/>
      <c r="D1330" s="16" t="s">
        <v>3341</v>
      </c>
      <c r="E1330" s="16" t="s">
        <v>1782</v>
      </c>
      <c r="F1330" s="16" t="s">
        <v>133</v>
      </c>
      <c r="G1330" s="16" t="s">
        <v>539</v>
      </c>
      <c r="J1330" s="16" t="s">
        <v>33</v>
      </c>
    </row>
    <row r="1331" spans="1:13" hidden="1" x14ac:dyDescent="0.3">
      <c r="A1331" s="16" t="s">
        <v>3342</v>
      </c>
      <c r="B1331" s="16"/>
      <c r="C1331" s="16"/>
      <c r="D1331" s="16" t="s">
        <v>3343</v>
      </c>
      <c r="E1331" s="16" t="s">
        <v>1778</v>
      </c>
      <c r="F1331" s="16" t="s">
        <v>133</v>
      </c>
      <c r="G1331" s="16" t="s">
        <v>588</v>
      </c>
      <c r="J1331" s="16" t="s">
        <v>33</v>
      </c>
    </row>
    <row r="1332" spans="1:13" hidden="1" x14ac:dyDescent="0.3">
      <c r="A1332" s="16" t="s">
        <v>3344</v>
      </c>
      <c r="B1332" s="16"/>
      <c r="C1332" s="16"/>
      <c r="D1332" s="16" t="s">
        <v>3345</v>
      </c>
      <c r="E1332" s="16" t="s">
        <v>1778</v>
      </c>
      <c r="F1332" s="16" t="s">
        <v>133</v>
      </c>
      <c r="G1332" s="16" t="s">
        <v>588</v>
      </c>
      <c r="J1332" s="16" t="s">
        <v>33</v>
      </c>
    </row>
    <row r="1333" spans="1:13" hidden="1" x14ac:dyDescent="0.3">
      <c r="A1333" s="16" t="s">
        <v>3346</v>
      </c>
      <c r="B1333" s="16"/>
      <c r="C1333" s="16"/>
      <c r="D1333" s="16" t="s">
        <v>3347</v>
      </c>
      <c r="E1333" s="16" t="s">
        <v>1915</v>
      </c>
      <c r="F1333" s="16" t="s">
        <v>133</v>
      </c>
      <c r="G1333" s="16" t="s">
        <v>588</v>
      </c>
      <c r="J1333" s="16" t="s">
        <v>33</v>
      </c>
    </row>
    <row r="1334" spans="1:13" hidden="1" x14ac:dyDescent="0.3">
      <c r="A1334" s="16" t="s">
        <v>156</v>
      </c>
      <c r="B1334" s="16"/>
      <c r="C1334" s="16"/>
      <c r="D1334" s="16" t="s">
        <v>157</v>
      </c>
      <c r="E1334" s="16" t="s">
        <v>1779</v>
      </c>
      <c r="F1334" s="16" t="s">
        <v>388</v>
      </c>
      <c r="G1334" s="16" t="s">
        <v>539</v>
      </c>
      <c r="J1334" s="16" t="s">
        <v>33</v>
      </c>
      <c r="L1334" s="16" t="s">
        <v>32</v>
      </c>
      <c r="M1334" s="16" t="s">
        <v>1786</v>
      </c>
    </row>
    <row r="1335" spans="1:13" hidden="1" x14ac:dyDescent="0.3">
      <c r="A1335" s="16" t="s">
        <v>134</v>
      </c>
      <c r="B1335" s="16"/>
      <c r="C1335" s="16"/>
      <c r="D1335" s="16" t="s">
        <v>135</v>
      </c>
      <c r="E1335" s="16" t="s">
        <v>1779</v>
      </c>
      <c r="F1335" s="16" t="s">
        <v>388</v>
      </c>
      <c r="G1335" s="16" t="s">
        <v>539</v>
      </c>
      <c r="J1335" s="16" t="s">
        <v>33</v>
      </c>
      <c r="L1335" s="16" t="s">
        <v>32</v>
      </c>
    </row>
    <row r="1336" spans="1:13" hidden="1" x14ac:dyDescent="0.3">
      <c r="A1336" s="16" t="s">
        <v>134</v>
      </c>
      <c r="B1336" s="16"/>
      <c r="C1336" s="16"/>
      <c r="D1336" s="16" t="s">
        <v>135</v>
      </c>
      <c r="E1336" s="16" t="s">
        <v>1777</v>
      </c>
      <c r="F1336" s="16" t="s">
        <v>388</v>
      </c>
      <c r="G1336" s="16" t="s">
        <v>539</v>
      </c>
      <c r="J1336" s="16" t="s">
        <v>33</v>
      </c>
      <c r="L1336" s="16" t="s">
        <v>32</v>
      </c>
    </row>
    <row r="1337" spans="1:13" hidden="1" x14ac:dyDescent="0.3">
      <c r="A1337" s="16" t="s">
        <v>3348</v>
      </c>
      <c r="B1337" s="16"/>
      <c r="C1337" s="16"/>
      <c r="D1337" s="16" t="s">
        <v>3349</v>
      </c>
      <c r="E1337" s="16" t="s">
        <v>1779</v>
      </c>
      <c r="F1337" s="16" t="s">
        <v>133</v>
      </c>
      <c r="G1337" s="16" t="s">
        <v>539</v>
      </c>
      <c r="J1337" s="16" t="s">
        <v>33</v>
      </c>
    </row>
    <row r="1338" spans="1:13" hidden="1" x14ac:dyDescent="0.3">
      <c r="A1338" s="16" t="s">
        <v>1634</v>
      </c>
      <c r="B1338" s="16"/>
      <c r="C1338" s="16"/>
      <c r="D1338" s="16" t="s">
        <v>1635</v>
      </c>
      <c r="E1338" s="16" t="s">
        <v>1779</v>
      </c>
      <c r="F1338" s="16" t="s">
        <v>18</v>
      </c>
      <c r="G1338" s="16" t="s">
        <v>539</v>
      </c>
      <c r="I1338" s="16" t="s">
        <v>1103</v>
      </c>
      <c r="J1338" s="16" t="s">
        <v>33</v>
      </c>
    </row>
    <row r="1339" spans="1:13" hidden="1" x14ac:dyDescent="0.3">
      <c r="A1339" s="16" t="s">
        <v>1688</v>
      </c>
      <c r="B1339" s="16"/>
      <c r="C1339" s="16"/>
      <c r="D1339" s="16" t="s">
        <v>1689</v>
      </c>
      <c r="E1339" s="16" t="s">
        <v>1778</v>
      </c>
      <c r="F1339" s="16" t="s">
        <v>18</v>
      </c>
      <c r="G1339" s="16" t="s">
        <v>1791</v>
      </c>
      <c r="I1339" s="16" t="s">
        <v>1127</v>
      </c>
    </row>
    <row r="1340" spans="1:13" hidden="1" x14ac:dyDescent="0.3">
      <c r="A1340" s="16" t="s">
        <v>3350</v>
      </c>
      <c r="B1340" s="16"/>
      <c r="C1340" s="16"/>
      <c r="D1340" s="16" t="s">
        <v>3351</v>
      </c>
      <c r="E1340" s="16" t="s">
        <v>1779</v>
      </c>
      <c r="F1340" s="16" t="s">
        <v>388</v>
      </c>
      <c r="G1340" s="16" t="s">
        <v>539</v>
      </c>
      <c r="L1340" s="16" t="s">
        <v>32</v>
      </c>
    </row>
    <row r="1341" spans="1:13" hidden="1" x14ac:dyDescent="0.3">
      <c r="A1341" s="16" t="s">
        <v>3352</v>
      </c>
      <c r="B1341" s="16"/>
      <c r="C1341" s="16"/>
      <c r="D1341" s="16" t="s">
        <v>3353</v>
      </c>
      <c r="E1341" s="16" t="s">
        <v>1779</v>
      </c>
      <c r="F1341" s="16" t="s">
        <v>388</v>
      </c>
      <c r="G1341" s="16" t="s">
        <v>539</v>
      </c>
      <c r="L1341" s="16" t="s">
        <v>1988</v>
      </c>
    </row>
    <row r="1342" spans="1:13" hidden="1" x14ac:dyDescent="0.3">
      <c r="A1342" s="16" t="s">
        <v>3352</v>
      </c>
      <c r="B1342" s="16"/>
      <c r="C1342" s="16"/>
      <c r="D1342" s="16" t="s">
        <v>3353</v>
      </c>
      <c r="E1342" s="16" t="s">
        <v>1915</v>
      </c>
      <c r="F1342" s="16" t="s">
        <v>388</v>
      </c>
      <c r="G1342" s="16" t="s">
        <v>539</v>
      </c>
      <c r="J1342" s="16" t="s">
        <v>33</v>
      </c>
      <c r="L1342" s="16" t="s">
        <v>1988</v>
      </c>
    </row>
    <row r="1343" spans="1:13" hidden="1" x14ac:dyDescent="0.3">
      <c r="A1343" s="16" t="s">
        <v>1636</v>
      </c>
      <c r="B1343" s="16"/>
      <c r="C1343" s="16"/>
      <c r="D1343" s="16" t="s">
        <v>1637</v>
      </c>
      <c r="E1343" s="16" t="s">
        <v>1779</v>
      </c>
      <c r="F1343" s="16" t="s">
        <v>18</v>
      </c>
      <c r="G1343" s="16" t="s">
        <v>539</v>
      </c>
      <c r="I1343" s="16" t="s">
        <v>1103</v>
      </c>
      <c r="J1343" s="16" t="s">
        <v>33</v>
      </c>
    </row>
    <row r="1344" spans="1:13" hidden="1" x14ac:dyDescent="0.3">
      <c r="A1344" s="16" t="s">
        <v>3354</v>
      </c>
      <c r="B1344" s="16"/>
      <c r="C1344" s="16"/>
      <c r="D1344" s="16" t="s">
        <v>3355</v>
      </c>
      <c r="E1344" s="16" t="s">
        <v>1777</v>
      </c>
      <c r="F1344" s="16" t="s">
        <v>388</v>
      </c>
      <c r="G1344" s="16" t="s">
        <v>539</v>
      </c>
      <c r="L1344" s="16" t="s">
        <v>1988</v>
      </c>
    </row>
    <row r="1345" spans="1:13" hidden="1" x14ac:dyDescent="0.3">
      <c r="A1345" s="16" t="s">
        <v>3356</v>
      </c>
      <c r="B1345" s="16"/>
      <c r="C1345" s="16"/>
      <c r="D1345" s="16" t="s">
        <v>3357</v>
      </c>
      <c r="E1345" s="16" t="s">
        <v>1779</v>
      </c>
      <c r="F1345" s="16" t="s">
        <v>388</v>
      </c>
      <c r="G1345" s="16" t="s">
        <v>539</v>
      </c>
      <c r="L1345" s="16" t="s">
        <v>32</v>
      </c>
    </row>
    <row r="1346" spans="1:13" hidden="1" x14ac:dyDescent="0.3">
      <c r="A1346" s="16" t="s">
        <v>3358</v>
      </c>
      <c r="B1346" s="16"/>
      <c r="C1346" s="16"/>
      <c r="D1346" s="16" t="s">
        <v>3359</v>
      </c>
      <c r="E1346" s="16" t="s">
        <v>1779</v>
      </c>
      <c r="F1346" s="16" t="s">
        <v>388</v>
      </c>
      <c r="G1346" s="16" t="s">
        <v>539</v>
      </c>
      <c r="L1346" s="16" t="s">
        <v>32</v>
      </c>
    </row>
    <row r="1347" spans="1:13" hidden="1" x14ac:dyDescent="0.3">
      <c r="A1347" s="16" t="s">
        <v>3360</v>
      </c>
      <c r="B1347" s="16"/>
      <c r="C1347" s="16"/>
      <c r="D1347" s="16" t="s">
        <v>3361</v>
      </c>
      <c r="E1347" s="16" t="s">
        <v>2092</v>
      </c>
      <c r="F1347" s="16" t="s">
        <v>388</v>
      </c>
      <c r="G1347" s="16" t="s">
        <v>539</v>
      </c>
      <c r="L1347" s="16" t="s">
        <v>32</v>
      </c>
      <c r="M1347" s="16" t="s">
        <v>1783</v>
      </c>
    </row>
    <row r="1348" spans="1:13" hidden="1" x14ac:dyDescent="0.3">
      <c r="A1348" s="16" t="s">
        <v>3362</v>
      </c>
      <c r="B1348" s="16"/>
      <c r="C1348" s="16"/>
      <c r="D1348" s="16" t="s">
        <v>3363</v>
      </c>
      <c r="E1348" s="16" t="s">
        <v>2092</v>
      </c>
      <c r="F1348" s="16" t="s">
        <v>388</v>
      </c>
      <c r="G1348" s="16" t="s">
        <v>539</v>
      </c>
      <c r="L1348" s="16" t="s">
        <v>32</v>
      </c>
    </row>
    <row r="1349" spans="1:13" hidden="1" x14ac:dyDescent="0.3">
      <c r="A1349" s="16" t="s">
        <v>3364</v>
      </c>
      <c r="B1349" s="16"/>
      <c r="C1349" s="16"/>
      <c r="D1349" s="16" t="s">
        <v>3365</v>
      </c>
      <c r="E1349" s="16" t="s">
        <v>1779</v>
      </c>
      <c r="F1349" s="16" t="s">
        <v>388</v>
      </c>
      <c r="G1349" s="16" t="s">
        <v>539</v>
      </c>
      <c r="L1349" s="16" t="s">
        <v>32</v>
      </c>
    </row>
    <row r="1350" spans="1:13" hidden="1" x14ac:dyDescent="0.3">
      <c r="A1350" s="16" t="s">
        <v>3364</v>
      </c>
      <c r="B1350" s="16"/>
      <c r="C1350" s="16"/>
      <c r="D1350" s="16" t="s">
        <v>3365</v>
      </c>
      <c r="E1350" s="16" t="s">
        <v>1777</v>
      </c>
      <c r="F1350" s="16" t="s">
        <v>388</v>
      </c>
      <c r="G1350" s="16" t="s">
        <v>539</v>
      </c>
      <c r="L1350" s="16" t="s">
        <v>32</v>
      </c>
    </row>
    <row r="1351" spans="1:13" hidden="1" x14ac:dyDescent="0.3">
      <c r="A1351" s="16" t="s">
        <v>3366</v>
      </c>
      <c r="B1351" s="16"/>
      <c r="C1351" s="16"/>
      <c r="D1351" s="16" t="s">
        <v>3367</v>
      </c>
      <c r="E1351" s="16" t="s">
        <v>1777</v>
      </c>
      <c r="F1351" s="16" t="s">
        <v>388</v>
      </c>
      <c r="G1351" s="16" t="s">
        <v>539</v>
      </c>
      <c r="L1351" s="16" t="s">
        <v>1988</v>
      </c>
    </row>
    <row r="1352" spans="1:13" hidden="1" x14ac:dyDescent="0.3">
      <c r="A1352" s="16" t="s">
        <v>1690</v>
      </c>
      <c r="B1352" s="16"/>
      <c r="C1352" s="16"/>
      <c r="D1352" s="16" t="s">
        <v>1691</v>
      </c>
      <c r="E1352" s="16" t="s">
        <v>1778</v>
      </c>
      <c r="F1352" s="16" t="s">
        <v>18</v>
      </c>
      <c r="G1352" s="16" t="s">
        <v>539</v>
      </c>
      <c r="I1352" s="16" t="s">
        <v>1103</v>
      </c>
      <c r="J1352" s="16" t="s">
        <v>33</v>
      </c>
    </row>
    <row r="1353" spans="1:13" hidden="1" x14ac:dyDescent="0.3">
      <c r="A1353" s="16" t="s">
        <v>1638</v>
      </c>
      <c r="B1353" s="16"/>
      <c r="C1353" s="16"/>
      <c r="D1353" s="16" t="s">
        <v>1639</v>
      </c>
      <c r="E1353" s="16" t="s">
        <v>1779</v>
      </c>
      <c r="F1353" s="16" t="s">
        <v>18</v>
      </c>
      <c r="G1353" s="16" t="s">
        <v>539</v>
      </c>
      <c r="I1353" s="16" t="s">
        <v>1103</v>
      </c>
      <c r="J1353" s="16" t="s">
        <v>33</v>
      </c>
    </row>
    <row r="1354" spans="1:13" hidden="1" x14ac:dyDescent="0.3">
      <c r="A1354" s="16" t="s">
        <v>1736</v>
      </c>
      <c r="B1354" s="16"/>
      <c r="C1354" s="16"/>
      <c r="D1354" s="16" t="s">
        <v>1737</v>
      </c>
      <c r="E1354" s="16" t="s">
        <v>1779</v>
      </c>
      <c r="F1354" s="16" t="s">
        <v>18</v>
      </c>
      <c r="G1354" s="16" t="s">
        <v>539</v>
      </c>
      <c r="I1354" s="16" t="s">
        <v>1127</v>
      </c>
    </row>
    <row r="1355" spans="1:13" hidden="1" x14ac:dyDescent="0.3">
      <c r="A1355" s="16" t="s">
        <v>1738</v>
      </c>
      <c r="B1355" s="16"/>
      <c r="C1355" s="16"/>
      <c r="D1355" s="16" t="s">
        <v>1739</v>
      </c>
      <c r="E1355" s="16" t="s">
        <v>1779</v>
      </c>
      <c r="F1355" s="16" t="s">
        <v>18</v>
      </c>
      <c r="G1355" s="16" t="s">
        <v>539</v>
      </c>
      <c r="I1355" s="16" t="s">
        <v>1127</v>
      </c>
    </row>
    <row r="1356" spans="1:13" hidden="1" x14ac:dyDescent="0.3">
      <c r="A1356" s="16" t="s">
        <v>1692</v>
      </c>
      <c r="B1356" s="16"/>
      <c r="C1356" s="16"/>
      <c r="D1356" s="16" t="s">
        <v>1693</v>
      </c>
      <c r="E1356" s="16" t="s">
        <v>1778</v>
      </c>
      <c r="F1356" s="16" t="s">
        <v>18</v>
      </c>
      <c r="G1356" s="16" t="s">
        <v>539</v>
      </c>
      <c r="I1356" s="16" t="s">
        <v>1127</v>
      </c>
    </row>
    <row r="1357" spans="1:13" hidden="1" x14ac:dyDescent="0.3">
      <c r="A1357" s="16" t="s">
        <v>1694</v>
      </c>
      <c r="B1357" s="16"/>
      <c r="C1357" s="16"/>
      <c r="D1357" s="16" t="s">
        <v>1695</v>
      </c>
      <c r="E1357" s="16" t="s">
        <v>1778</v>
      </c>
      <c r="F1357" s="16" t="s">
        <v>18</v>
      </c>
      <c r="G1357" s="16" t="s">
        <v>617</v>
      </c>
      <c r="I1357" s="16" t="s">
        <v>1127</v>
      </c>
    </row>
    <row r="1358" spans="1:13" hidden="1" x14ac:dyDescent="0.3">
      <c r="A1358" s="16" t="s">
        <v>3368</v>
      </c>
      <c r="B1358" s="16"/>
      <c r="C1358" s="16"/>
      <c r="D1358" s="16" t="s">
        <v>214</v>
      </c>
      <c r="E1358" s="16" t="s">
        <v>1779</v>
      </c>
      <c r="F1358" s="16" t="s">
        <v>388</v>
      </c>
      <c r="G1358" s="16" t="s">
        <v>539</v>
      </c>
      <c r="L1358" s="16" t="s">
        <v>32</v>
      </c>
    </row>
    <row r="1359" spans="1:13" hidden="1" x14ac:dyDescent="0.3">
      <c r="A1359" s="16" t="s">
        <v>3369</v>
      </c>
      <c r="B1359" s="16"/>
      <c r="C1359" s="16"/>
      <c r="D1359" s="16" t="s">
        <v>141</v>
      </c>
      <c r="E1359" s="16" t="s">
        <v>1779</v>
      </c>
      <c r="F1359" s="16" t="s">
        <v>388</v>
      </c>
      <c r="G1359" s="16" t="s">
        <v>539</v>
      </c>
      <c r="L1359" s="16" t="s">
        <v>32</v>
      </c>
    </row>
    <row r="1360" spans="1:13" hidden="1" x14ac:dyDescent="0.3">
      <c r="A1360" s="16" t="s">
        <v>3370</v>
      </c>
      <c r="B1360" s="16"/>
      <c r="C1360" s="16"/>
      <c r="D1360" s="16" t="s">
        <v>217</v>
      </c>
      <c r="E1360" s="16" t="s">
        <v>1779</v>
      </c>
      <c r="F1360" s="16" t="s">
        <v>388</v>
      </c>
      <c r="G1360" s="16" t="s">
        <v>539</v>
      </c>
      <c r="L1360" s="16" t="s">
        <v>1988</v>
      </c>
    </row>
    <row r="1361" spans="1:13" hidden="1" x14ac:dyDescent="0.3">
      <c r="A1361" s="16" t="s">
        <v>3371</v>
      </c>
      <c r="B1361" s="16"/>
      <c r="C1361" s="16"/>
      <c r="D1361" s="16" t="s">
        <v>3372</v>
      </c>
      <c r="E1361" s="16" t="s">
        <v>2092</v>
      </c>
      <c r="F1361" s="16" t="s">
        <v>388</v>
      </c>
      <c r="G1361" s="16" t="s">
        <v>539</v>
      </c>
      <c r="L1361" s="16" t="s">
        <v>32</v>
      </c>
    </row>
    <row r="1362" spans="1:13" hidden="1" x14ac:dyDescent="0.3">
      <c r="A1362" s="16" t="s">
        <v>3373</v>
      </c>
      <c r="B1362" s="16"/>
      <c r="C1362" s="16"/>
      <c r="D1362" s="16" t="s">
        <v>3374</v>
      </c>
      <c r="E1362" s="16" t="s">
        <v>1779</v>
      </c>
      <c r="F1362" s="16" t="s">
        <v>388</v>
      </c>
      <c r="G1362" s="16" t="s">
        <v>539</v>
      </c>
      <c r="L1362" s="16" t="s">
        <v>32</v>
      </c>
      <c r="M1362" s="16" t="s">
        <v>3375</v>
      </c>
    </row>
    <row r="1363" spans="1:13" hidden="1" x14ac:dyDescent="0.3">
      <c r="A1363" s="16" t="s">
        <v>1189</v>
      </c>
      <c r="B1363" s="16"/>
      <c r="C1363" s="16"/>
      <c r="D1363" s="16" t="s">
        <v>1190</v>
      </c>
      <c r="E1363" s="16" t="s">
        <v>1777</v>
      </c>
      <c r="F1363" s="16" t="s">
        <v>18</v>
      </c>
      <c r="G1363" s="16" t="s">
        <v>539</v>
      </c>
      <c r="I1363" s="16" t="s">
        <v>1127</v>
      </c>
    </row>
    <row r="1364" spans="1:13" hidden="1" x14ac:dyDescent="0.3">
      <c r="A1364" s="16" t="s">
        <v>1696</v>
      </c>
      <c r="B1364" s="16"/>
      <c r="C1364" s="16"/>
      <c r="D1364" s="16" t="s">
        <v>1697</v>
      </c>
      <c r="E1364" s="16" t="s">
        <v>1778</v>
      </c>
      <c r="F1364" s="16" t="s">
        <v>18</v>
      </c>
      <c r="G1364" s="16" t="s">
        <v>539</v>
      </c>
      <c r="I1364" s="16" t="s">
        <v>1127</v>
      </c>
    </row>
    <row r="1365" spans="1:13" hidden="1" x14ac:dyDescent="0.3">
      <c r="A1365" s="16" t="s">
        <v>1640</v>
      </c>
      <c r="B1365" s="16"/>
      <c r="C1365" s="16"/>
      <c r="D1365" s="16" t="s">
        <v>1641</v>
      </c>
      <c r="E1365" s="16" t="s">
        <v>1779</v>
      </c>
      <c r="F1365" s="16" t="s">
        <v>18</v>
      </c>
      <c r="G1365" s="16" t="s">
        <v>661</v>
      </c>
      <c r="I1365" s="16" t="s">
        <v>1103</v>
      </c>
      <c r="J1365" s="16" t="s">
        <v>33</v>
      </c>
    </row>
    <row r="1366" spans="1:13" hidden="1" x14ac:dyDescent="0.3">
      <c r="A1366" s="16" t="s">
        <v>1698</v>
      </c>
      <c r="B1366" s="16"/>
      <c r="C1366" s="16"/>
      <c r="D1366" s="16" t="s">
        <v>1699</v>
      </c>
      <c r="E1366" s="16" t="s">
        <v>1778</v>
      </c>
      <c r="F1366" s="16" t="s">
        <v>18</v>
      </c>
      <c r="G1366" s="16" t="s">
        <v>588</v>
      </c>
      <c r="I1366" s="16" t="s">
        <v>1127</v>
      </c>
    </row>
    <row r="1367" spans="1:13" hidden="1" x14ac:dyDescent="0.3">
      <c r="A1367" s="16" t="s">
        <v>1700</v>
      </c>
      <c r="B1367" s="16"/>
      <c r="C1367" s="16"/>
      <c r="D1367" s="16" t="s">
        <v>1701</v>
      </c>
      <c r="E1367" s="16" t="s">
        <v>1778</v>
      </c>
      <c r="F1367" s="16" t="s">
        <v>18</v>
      </c>
      <c r="G1367" s="16" t="s">
        <v>588</v>
      </c>
      <c r="I1367" s="16" t="s">
        <v>1127</v>
      </c>
    </row>
    <row r="1368" spans="1:13" hidden="1" x14ac:dyDescent="0.3">
      <c r="A1368" s="16" t="s">
        <v>1702</v>
      </c>
      <c r="B1368" s="16"/>
      <c r="C1368" s="16"/>
      <c r="D1368" s="16" t="s">
        <v>1703</v>
      </c>
      <c r="E1368" s="16" t="s">
        <v>1778</v>
      </c>
      <c r="F1368" s="16" t="s">
        <v>18</v>
      </c>
      <c r="G1368" s="16" t="s">
        <v>588</v>
      </c>
      <c r="I1368" s="16" t="s">
        <v>1127</v>
      </c>
    </row>
    <row r="1369" spans="1:13" hidden="1" x14ac:dyDescent="0.3">
      <c r="A1369" s="16" t="s">
        <v>1740</v>
      </c>
      <c r="B1369" s="16"/>
      <c r="C1369" s="16"/>
      <c r="D1369" s="16" t="s">
        <v>1741</v>
      </c>
      <c r="E1369" s="16" t="s">
        <v>1779</v>
      </c>
      <c r="F1369" s="16" t="s">
        <v>18</v>
      </c>
      <c r="G1369" s="16" t="s">
        <v>539</v>
      </c>
      <c r="I1369" s="16" t="s">
        <v>1127</v>
      </c>
    </row>
    <row r="1370" spans="1:13" hidden="1" x14ac:dyDescent="0.3">
      <c r="A1370" s="16" t="s">
        <v>1742</v>
      </c>
      <c r="B1370" s="16"/>
      <c r="C1370" s="16"/>
      <c r="D1370" s="16" t="s">
        <v>1743</v>
      </c>
      <c r="E1370" s="16" t="s">
        <v>1779</v>
      </c>
      <c r="F1370" s="16" t="s">
        <v>18</v>
      </c>
      <c r="G1370" s="16" t="s">
        <v>588</v>
      </c>
      <c r="I1370" s="16" t="s">
        <v>1127</v>
      </c>
    </row>
    <row r="1371" spans="1:13" hidden="1" x14ac:dyDescent="0.3">
      <c r="A1371" s="16" t="s">
        <v>1744</v>
      </c>
      <c r="B1371" s="16"/>
      <c r="C1371" s="16"/>
      <c r="D1371" s="16" t="s">
        <v>1745</v>
      </c>
      <c r="E1371" s="16" t="s">
        <v>1779</v>
      </c>
      <c r="F1371" s="16" t="s">
        <v>18</v>
      </c>
      <c r="G1371" s="16" t="s">
        <v>539</v>
      </c>
      <c r="I1371" s="16" t="s">
        <v>1127</v>
      </c>
    </row>
    <row r="1372" spans="1:13" hidden="1" x14ac:dyDescent="0.3">
      <c r="A1372" s="16" t="s">
        <v>1746</v>
      </c>
      <c r="B1372" s="16"/>
      <c r="C1372" s="16"/>
      <c r="D1372" s="16" t="s">
        <v>1747</v>
      </c>
      <c r="E1372" s="16" t="s">
        <v>1779</v>
      </c>
      <c r="F1372" s="16" t="s">
        <v>18</v>
      </c>
      <c r="G1372" s="16" t="s">
        <v>588</v>
      </c>
      <c r="I1372" s="16" t="s">
        <v>1127</v>
      </c>
    </row>
    <row r="1373" spans="1:13" hidden="1" x14ac:dyDescent="0.3">
      <c r="A1373" s="16" t="s">
        <v>1748</v>
      </c>
      <c r="B1373" s="16"/>
      <c r="C1373" s="16"/>
      <c r="D1373" s="16" t="s">
        <v>1749</v>
      </c>
      <c r="E1373" s="16" t="s">
        <v>1779</v>
      </c>
      <c r="F1373" s="16" t="s">
        <v>18</v>
      </c>
      <c r="G1373" s="16" t="s">
        <v>539</v>
      </c>
      <c r="I1373" s="16" t="s">
        <v>1127</v>
      </c>
    </row>
    <row r="1374" spans="1:13" hidden="1" x14ac:dyDescent="0.3">
      <c r="A1374" s="16" t="s">
        <v>1750</v>
      </c>
      <c r="B1374" s="16"/>
      <c r="C1374" s="16"/>
      <c r="D1374" s="16" t="s">
        <v>1751</v>
      </c>
      <c r="E1374" s="16" t="s">
        <v>1779</v>
      </c>
      <c r="F1374" s="16" t="s">
        <v>18</v>
      </c>
      <c r="G1374" s="16" t="s">
        <v>588</v>
      </c>
      <c r="I1374" s="16" t="s">
        <v>1127</v>
      </c>
    </row>
    <row r="1375" spans="1:13" hidden="1" x14ac:dyDescent="0.3">
      <c r="A1375" s="16" t="s">
        <v>1752</v>
      </c>
      <c r="B1375" s="16"/>
      <c r="C1375" s="16"/>
      <c r="D1375" s="16" t="s">
        <v>1753</v>
      </c>
      <c r="E1375" s="16" t="s">
        <v>1779</v>
      </c>
      <c r="F1375" s="16" t="s">
        <v>18</v>
      </c>
      <c r="G1375" s="16" t="s">
        <v>539</v>
      </c>
      <c r="I1375" s="16" t="s">
        <v>1127</v>
      </c>
    </row>
    <row r="1376" spans="1:13" hidden="1" x14ac:dyDescent="0.3">
      <c r="A1376" s="16" t="s">
        <v>1754</v>
      </c>
      <c r="B1376" s="16"/>
      <c r="C1376" s="16"/>
      <c r="D1376" s="16" t="s">
        <v>1755</v>
      </c>
      <c r="E1376" s="16" t="s">
        <v>1779</v>
      </c>
      <c r="F1376" s="16" t="s">
        <v>18</v>
      </c>
      <c r="G1376" s="16" t="s">
        <v>588</v>
      </c>
      <c r="I1376" s="16" t="s">
        <v>1127</v>
      </c>
    </row>
    <row r="1377" spans="1:12" hidden="1" x14ac:dyDescent="0.3">
      <c r="A1377" s="16" t="s">
        <v>3376</v>
      </c>
      <c r="B1377" s="16"/>
      <c r="C1377" s="16"/>
      <c r="D1377" s="16" t="s">
        <v>3377</v>
      </c>
      <c r="E1377" s="16" t="s">
        <v>1779</v>
      </c>
      <c r="F1377" s="16" t="s">
        <v>388</v>
      </c>
      <c r="G1377" s="16" t="s">
        <v>539</v>
      </c>
      <c r="L1377" s="16" t="s">
        <v>1988</v>
      </c>
    </row>
    <row r="1378" spans="1:12" hidden="1" x14ac:dyDescent="0.3">
      <c r="A1378" s="16" t="s">
        <v>1412</v>
      </c>
      <c r="B1378" s="16"/>
      <c r="C1378" s="16"/>
      <c r="D1378" s="16" t="s">
        <v>1413</v>
      </c>
      <c r="E1378" s="16" t="s">
        <v>1778</v>
      </c>
      <c r="F1378" s="16" t="s">
        <v>18</v>
      </c>
      <c r="G1378" s="16" t="s">
        <v>539</v>
      </c>
      <c r="I1378" s="16" t="s">
        <v>1127</v>
      </c>
    </row>
    <row r="1379" spans="1:12" hidden="1" x14ac:dyDescent="0.3">
      <c r="A1379" s="16" t="s">
        <v>1704</v>
      </c>
      <c r="B1379" s="16"/>
      <c r="C1379" s="16"/>
      <c r="D1379" s="16" t="s">
        <v>1705</v>
      </c>
      <c r="E1379" s="16" t="s">
        <v>1778</v>
      </c>
      <c r="F1379" s="16" t="s">
        <v>18</v>
      </c>
      <c r="G1379" s="16" t="s">
        <v>539</v>
      </c>
      <c r="I1379" s="16" t="s">
        <v>1127</v>
      </c>
    </row>
    <row r="1380" spans="1:12" hidden="1" x14ac:dyDescent="0.3">
      <c r="A1380" s="16" t="s">
        <v>3378</v>
      </c>
      <c r="B1380" s="16"/>
      <c r="C1380" s="16"/>
      <c r="D1380" s="16" t="s">
        <v>3379</v>
      </c>
      <c r="E1380" s="16" t="s">
        <v>1778</v>
      </c>
      <c r="F1380" s="16" t="s">
        <v>18</v>
      </c>
      <c r="G1380" s="16" t="s">
        <v>539</v>
      </c>
      <c r="I1380" s="16" t="s">
        <v>1770</v>
      </c>
      <c r="J1380" s="16" t="s">
        <v>33</v>
      </c>
    </row>
    <row r="1381" spans="1:12" hidden="1" x14ac:dyDescent="0.3">
      <c r="A1381" s="16" t="s">
        <v>1642</v>
      </c>
      <c r="B1381" s="16"/>
      <c r="C1381" s="16"/>
      <c r="D1381" s="16" t="s">
        <v>1643</v>
      </c>
      <c r="E1381" s="16" t="s">
        <v>1779</v>
      </c>
      <c r="F1381" s="16" t="s">
        <v>18</v>
      </c>
      <c r="G1381" s="16" t="s">
        <v>1791</v>
      </c>
      <c r="I1381" s="16" t="s">
        <v>1127</v>
      </c>
    </row>
    <row r="1382" spans="1:12" hidden="1" x14ac:dyDescent="0.3">
      <c r="A1382" s="16" t="s">
        <v>1644</v>
      </c>
      <c r="B1382" s="16"/>
      <c r="C1382" s="16"/>
      <c r="D1382" s="16" t="s">
        <v>1645</v>
      </c>
      <c r="E1382" s="16" t="s">
        <v>1779</v>
      </c>
      <c r="F1382" s="16" t="s">
        <v>18</v>
      </c>
      <c r="G1382" s="16" t="s">
        <v>1791</v>
      </c>
      <c r="I1382" s="16" t="s">
        <v>1127</v>
      </c>
    </row>
    <row r="1383" spans="1:12" hidden="1" x14ac:dyDescent="0.3">
      <c r="A1383" s="16" t="s">
        <v>3380</v>
      </c>
      <c r="B1383" s="16"/>
      <c r="C1383" s="16"/>
      <c r="D1383" s="16" t="s">
        <v>3381</v>
      </c>
      <c r="E1383" s="16" t="s">
        <v>1779</v>
      </c>
      <c r="F1383" s="16" t="s">
        <v>388</v>
      </c>
      <c r="G1383" s="16" t="s">
        <v>539</v>
      </c>
      <c r="L1383" s="16" t="s">
        <v>32</v>
      </c>
    </row>
    <row r="1384" spans="1:12" hidden="1" x14ac:dyDescent="0.3">
      <c r="A1384" s="16" t="s">
        <v>1706</v>
      </c>
      <c r="B1384" s="16"/>
      <c r="C1384" s="16"/>
      <c r="D1384" s="16" t="s">
        <v>1707</v>
      </c>
      <c r="E1384" s="16" t="s">
        <v>1778</v>
      </c>
      <c r="F1384" s="16" t="s">
        <v>18</v>
      </c>
      <c r="G1384" s="16" t="s">
        <v>555</v>
      </c>
      <c r="I1384" s="16" t="s">
        <v>1127</v>
      </c>
    </row>
    <row r="1385" spans="1:12" hidden="1" x14ac:dyDescent="0.3">
      <c r="A1385" s="16" t="s">
        <v>1708</v>
      </c>
      <c r="B1385" s="16"/>
      <c r="C1385" s="16"/>
      <c r="D1385" s="16" t="s">
        <v>1709</v>
      </c>
      <c r="E1385" s="16" t="s">
        <v>1778</v>
      </c>
      <c r="F1385" s="16" t="s">
        <v>18</v>
      </c>
      <c r="G1385" s="16" t="s">
        <v>555</v>
      </c>
      <c r="I1385" s="16" t="s">
        <v>1127</v>
      </c>
    </row>
    <row r="1386" spans="1:12" hidden="1" x14ac:dyDescent="0.3">
      <c r="A1386" s="16" t="s">
        <v>1710</v>
      </c>
      <c r="B1386" s="16"/>
      <c r="C1386" s="16"/>
      <c r="D1386" s="16" t="s">
        <v>1711</v>
      </c>
      <c r="E1386" s="16" t="s">
        <v>1778</v>
      </c>
      <c r="F1386" s="16" t="s">
        <v>18</v>
      </c>
      <c r="G1386" s="16" t="s">
        <v>555</v>
      </c>
      <c r="I1386" s="16" t="s">
        <v>1127</v>
      </c>
    </row>
    <row r="1387" spans="1:12" hidden="1" x14ac:dyDescent="0.3">
      <c r="A1387" s="16" t="s">
        <v>1712</v>
      </c>
      <c r="B1387" s="16"/>
      <c r="C1387" s="16"/>
      <c r="D1387" s="16" t="s">
        <v>1713</v>
      </c>
      <c r="E1387" s="16" t="s">
        <v>1778</v>
      </c>
      <c r="F1387" s="16" t="s">
        <v>18</v>
      </c>
      <c r="G1387" s="16" t="s">
        <v>555</v>
      </c>
      <c r="I1387" s="16" t="s">
        <v>1127</v>
      </c>
    </row>
    <row r="1388" spans="1:12" hidden="1" x14ac:dyDescent="0.3">
      <c r="A1388" s="16" t="s">
        <v>1714</v>
      </c>
      <c r="B1388" s="16"/>
      <c r="C1388" s="16"/>
      <c r="D1388" s="16" t="s">
        <v>1715</v>
      </c>
      <c r="E1388" s="16" t="s">
        <v>1778</v>
      </c>
      <c r="F1388" s="16" t="s">
        <v>18</v>
      </c>
      <c r="G1388" s="16" t="s">
        <v>555</v>
      </c>
      <c r="I1388" s="16" t="s">
        <v>1127</v>
      </c>
    </row>
    <row r="1389" spans="1:12" hidden="1" x14ac:dyDescent="0.3">
      <c r="A1389" s="16" t="s">
        <v>1716</v>
      </c>
      <c r="B1389" s="16"/>
      <c r="C1389" s="16"/>
      <c r="D1389" s="16" t="s">
        <v>1717</v>
      </c>
      <c r="E1389" s="16" t="s">
        <v>1778</v>
      </c>
      <c r="F1389" s="16" t="s">
        <v>18</v>
      </c>
      <c r="G1389" s="16" t="s">
        <v>555</v>
      </c>
      <c r="I1389" s="16" t="s">
        <v>1127</v>
      </c>
    </row>
    <row r="1390" spans="1:12" hidden="1" x14ac:dyDescent="0.3">
      <c r="A1390" s="16" t="s">
        <v>1756</v>
      </c>
      <c r="B1390" s="16"/>
      <c r="C1390" s="16"/>
      <c r="D1390" s="16" t="s">
        <v>1757</v>
      </c>
      <c r="E1390" s="16" t="s">
        <v>1779</v>
      </c>
      <c r="F1390" s="16" t="s">
        <v>18</v>
      </c>
      <c r="G1390" s="16" t="s">
        <v>555</v>
      </c>
      <c r="I1390" s="16" t="s">
        <v>1127</v>
      </c>
    </row>
    <row r="1391" spans="1:12" hidden="1" x14ac:dyDescent="0.3">
      <c r="A1391" s="16" t="s">
        <v>3382</v>
      </c>
      <c r="B1391" s="16"/>
      <c r="C1391" s="16"/>
      <c r="D1391" s="16" t="s">
        <v>3383</v>
      </c>
      <c r="E1391" s="16" t="s">
        <v>1779</v>
      </c>
      <c r="F1391" s="16" t="s">
        <v>388</v>
      </c>
      <c r="G1391" s="16" t="s">
        <v>539</v>
      </c>
      <c r="L1391" s="16" t="s">
        <v>32</v>
      </c>
    </row>
    <row r="1392" spans="1:12" hidden="1" x14ac:dyDescent="0.3">
      <c r="A1392" s="16" t="s">
        <v>3382</v>
      </c>
      <c r="B1392" s="16"/>
      <c r="C1392" s="16"/>
      <c r="D1392" s="16" t="s">
        <v>3383</v>
      </c>
      <c r="E1392" s="16" t="s">
        <v>1777</v>
      </c>
      <c r="F1392" s="16" t="s">
        <v>388</v>
      </c>
      <c r="G1392" s="16" t="s">
        <v>539</v>
      </c>
      <c r="L1392" s="16" t="s">
        <v>32</v>
      </c>
    </row>
    <row r="1393" spans="1:12" hidden="1" x14ac:dyDescent="0.3">
      <c r="A1393" s="16" t="s">
        <v>1667</v>
      </c>
      <c r="B1393" s="16"/>
      <c r="C1393" s="16"/>
      <c r="D1393" s="16" t="s">
        <v>1668</v>
      </c>
      <c r="E1393" s="16" t="s">
        <v>1777</v>
      </c>
      <c r="F1393" s="16" t="s">
        <v>18</v>
      </c>
      <c r="G1393" s="16" t="s">
        <v>1791</v>
      </c>
      <c r="I1393" s="16" t="s">
        <v>1127</v>
      </c>
    </row>
    <row r="1394" spans="1:12" hidden="1" x14ac:dyDescent="0.3">
      <c r="A1394" s="16" t="s">
        <v>1667</v>
      </c>
      <c r="B1394" s="16"/>
      <c r="C1394" s="16"/>
      <c r="D1394" s="16" t="s">
        <v>1718</v>
      </c>
      <c r="E1394" s="16" t="s">
        <v>1778</v>
      </c>
      <c r="F1394" s="16" t="s">
        <v>18</v>
      </c>
      <c r="G1394" s="16" t="s">
        <v>1791</v>
      </c>
      <c r="I1394" s="16" t="s">
        <v>1127</v>
      </c>
    </row>
    <row r="1395" spans="1:12" hidden="1" x14ac:dyDescent="0.3">
      <c r="A1395" s="16" t="s">
        <v>1646</v>
      </c>
      <c r="B1395" s="16"/>
      <c r="C1395" s="16"/>
      <c r="D1395" s="16" t="s">
        <v>1647</v>
      </c>
      <c r="E1395" s="16" t="s">
        <v>1779</v>
      </c>
      <c r="F1395" s="16" t="s">
        <v>18</v>
      </c>
      <c r="G1395" s="16" t="s">
        <v>539</v>
      </c>
      <c r="I1395" s="16" t="s">
        <v>1103</v>
      </c>
      <c r="J1395" s="16" t="s">
        <v>33</v>
      </c>
    </row>
    <row r="1396" spans="1:12" hidden="1" x14ac:dyDescent="0.3">
      <c r="A1396" s="16" t="s">
        <v>1719</v>
      </c>
      <c r="B1396" s="16"/>
      <c r="C1396" s="16"/>
      <c r="D1396" s="16" t="s">
        <v>1720</v>
      </c>
      <c r="E1396" s="16" t="s">
        <v>1778</v>
      </c>
      <c r="F1396" s="16" t="s">
        <v>18</v>
      </c>
      <c r="G1396" s="16" t="s">
        <v>1791</v>
      </c>
      <c r="I1396" s="16" t="s">
        <v>1127</v>
      </c>
    </row>
    <row r="1397" spans="1:12" hidden="1" x14ac:dyDescent="0.3">
      <c r="A1397" s="16" t="s">
        <v>1719</v>
      </c>
      <c r="B1397" s="16"/>
      <c r="C1397" s="16"/>
      <c r="D1397" s="16" t="s">
        <v>1758</v>
      </c>
      <c r="E1397" s="16" t="s">
        <v>1779</v>
      </c>
      <c r="F1397" s="16" t="s">
        <v>18</v>
      </c>
      <c r="G1397" s="16" t="s">
        <v>1791</v>
      </c>
      <c r="I1397" s="16" t="s">
        <v>1127</v>
      </c>
    </row>
    <row r="1398" spans="1:12" hidden="1" x14ac:dyDescent="0.3">
      <c r="A1398" s="16" t="s">
        <v>3384</v>
      </c>
      <c r="B1398" s="16"/>
      <c r="C1398" s="16"/>
      <c r="D1398" s="16" t="s">
        <v>3385</v>
      </c>
      <c r="E1398" s="16" t="s">
        <v>1779</v>
      </c>
      <c r="F1398" s="16" t="s">
        <v>388</v>
      </c>
      <c r="G1398" s="16" t="s">
        <v>539</v>
      </c>
      <c r="L1398" s="16" t="s">
        <v>32</v>
      </c>
    </row>
    <row r="1399" spans="1:12" hidden="1" x14ac:dyDescent="0.3">
      <c r="A1399" s="16" t="s">
        <v>3384</v>
      </c>
      <c r="B1399" s="16"/>
      <c r="C1399" s="16"/>
      <c r="D1399" s="16" t="s">
        <v>3385</v>
      </c>
      <c r="E1399" s="16" t="s">
        <v>1777</v>
      </c>
      <c r="F1399" s="16" t="s">
        <v>388</v>
      </c>
      <c r="G1399" s="16" t="s">
        <v>539</v>
      </c>
      <c r="L1399" s="16" t="s">
        <v>32</v>
      </c>
    </row>
    <row r="1400" spans="1:12" hidden="1" x14ac:dyDescent="0.3">
      <c r="A1400" s="16" t="s">
        <v>1199</v>
      </c>
      <c r="B1400" s="16"/>
      <c r="C1400" s="16"/>
      <c r="D1400" s="16" t="s">
        <v>1200</v>
      </c>
      <c r="E1400" s="16" t="s">
        <v>3072</v>
      </c>
      <c r="F1400" s="16" t="s">
        <v>18</v>
      </c>
      <c r="G1400" s="16" t="s">
        <v>1791</v>
      </c>
      <c r="I1400" s="16" t="s">
        <v>1103</v>
      </c>
    </row>
    <row r="1401" spans="1:12" hidden="1" x14ac:dyDescent="0.3">
      <c r="A1401" s="16" t="s">
        <v>3386</v>
      </c>
      <c r="B1401" s="16"/>
      <c r="C1401" s="16"/>
      <c r="D1401" s="16" t="s">
        <v>3387</v>
      </c>
      <c r="E1401" s="16" t="s">
        <v>1779</v>
      </c>
      <c r="F1401" s="16" t="s">
        <v>388</v>
      </c>
      <c r="G1401" s="16" t="s">
        <v>539</v>
      </c>
      <c r="L1401" s="16" t="s">
        <v>32</v>
      </c>
    </row>
    <row r="1402" spans="1:12" hidden="1" x14ac:dyDescent="0.3">
      <c r="A1402" s="16" t="s">
        <v>1125</v>
      </c>
      <c r="B1402" s="16"/>
      <c r="C1402" s="16"/>
      <c r="D1402" s="16" t="s">
        <v>1126</v>
      </c>
      <c r="E1402" s="16" t="s">
        <v>2092</v>
      </c>
      <c r="F1402" s="16" t="s">
        <v>18</v>
      </c>
      <c r="G1402" s="16" t="s">
        <v>539</v>
      </c>
      <c r="I1402" s="16" t="s">
        <v>1127</v>
      </c>
    </row>
    <row r="1403" spans="1:12" hidden="1" x14ac:dyDescent="0.3">
      <c r="A1403" s="16" t="s">
        <v>1128</v>
      </c>
      <c r="B1403" s="16"/>
      <c r="C1403" s="16"/>
      <c r="D1403" s="16" t="s">
        <v>1129</v>
      </c>
      <c r="E1403" s="16" t="s">
        <v>2092</v>
      </c>
      <c r="F1403" s="16" t="s">
        <v>18</v>
      </c>
      <c r="G1403" s="16" t="s">
        <v>588</v>
      </c>
      <c r="I1403" s="16" t="s">
        <v>1127</v>
      </c>
    </row>
    <row r="1404" spans="1:12" hidden="1" x14ac:dyDescent="0.3">
      <c r="A1404" s="16" t="s">
        <v>3388</v>
      </c>
      <c r="B1404" s="16"/>
      <c r="C1404" s="16"/>
      <c r="D1404" s="16" t="s">
        <v>3389</v>
      </c>
      <c r="E1404" s="16" t="s">
        <v>1779</v>
      </c>
      <c r="F1404" s="16" t="s">
        <v>388</v>
      </c>
      <c r="G1404" s="16" t="s">
        <v>539</v>
      </c>
      <c r="L1404" s="16" t="s">
        <v>32</v>
      </c>
    </row>
    <row r="1405" spans="1:12" hidden="1" x14ac:dyDescent="0.3">
      <c r="A1405" s="16" t="s">
        <v>1648</v>
      </c>
      <c r="B1405" s="16"/>
      <c r="C1405" s="16"/>
      <c r="D1405" s="16" t="s">
        <v>1649</v>
      </c>
      <c r="E1405" s="16" t="s">
        <v>1779</v>
      </c>
      <c r="F1405" s="16" t="s">
        <v>18</v>
      </c>
      <c r="G1405" s="16" t="s">
        <v>539</v>
      </c>
      <c r="I1405" s="16" t="s">
        <v>1127</v>
      </c>
    </row>
    <row r="1406" spans="1:12" hidden="1" x14ac:dyDescent="0.3">
      <c r="A1406" s="16" t="s">
        <v>1648</v>
      </c>
      <c r="B1406" s="16"/>
      <c r="C1406" s="16"/>
      <c r="D1406" s="16" t="s">
        <v>3390</v>
      </c>
      <c r="E1406" s="16" t="s">
        <v>1779</v>
      </c>
      <c r="F1406" s="16" t="s">
        <v>388</v>
      </c>
      <c r="G1406" s="16" t="s">
        <v>539</v>
      </c>
      <c r="L1406" s="16" t="s">
        <v>32</v>
      </c>
    </row>
    <row r="1407" spans="1:12" hidden="1" x14ac:dyDescent="0.3">
      <c r="A1407" s="16" t="s">
        <v>1648</v>
      </c>
      <c r="B1407" s="16"/>
      <c r="C1407" s="16"/>
      <c r="D1407" s="16" t="s">
        <v>3390</v>
      </c>
      <c r="E1407" s="16" t="s">
        <v>1915</v>
      </c>
      <c r="F1407" s="16" t="s">
        <v>388</v>
      </c>
      <c r="G1407" s="16" t="s">
        <v>539</v>
      </c>
      <c r="J1407" s="16" t="s">
        <v>33</v>
      </c>
      <c r="L1407" s="16" t="s">
        <v>32</v>
      </c>
    </row>
    <row r="1408" spans="1:12" hidden="1" x14ac:dyDescent="0.3">
      <c r="A1408" s="16" t="s">
        <v>1650</v>
      </c>
      <c r="B1408" s="16"/>
      <c r="C1408" s="16"/>
      <c r="D1408" s="16" t="s">
        <v>1651</v>
      </c>
      <c r="E1408" s="16" t="s">
        <v>1779</v>
      </c>
      <c r="F1408" s="16" t="s">
        <v>18</v>
      </c>
      <c r="G1408" s="16" t="s">
        <v>588</v>
      </c>
      <c r="I1408" s="16" t="s">
        <v>1103</v>
      </c>
      <c r="J1408" s="16" t="s">
        <v>33</v>
      </c>
    </row>
    <row r="1409" spans="1:12" hidden="1" x14ac:dyDescent="0.3">
      <c r="A1409" s="16" t="s">
        <v>1652</v>
      </c>
      <c r="B1409" s="16"/>
      <c r="C1409" s="16"/>
      <c r="D1409" s="16" t="s">
        <v>1653</v>
      </c>
      <c r="E1409" s="16" t="s">
        <v>1779</v>
      </c>
      <c r="F1409" s="16" t="s">
        <v>18</v>
      </c>
      <c r="G1409" s="16" t="s">
        <v>588</v>
      </c>
      <c r="I1409" s="16" t="s">
        <v>1103</v>
      </c>
      <c r="J1409" s="16" t="s">
        <v>33</v>
      </c>
    </row>
    <row r="1410" spans="1:12" hidden="1" x14ac:dyDescent="0.3">
      <c r="A1410" s="16" t="s">
        <v>3391</v>
      </c>
      <c r="B1410" s="16"/>
      <c r="C1410" s="16"/>
      <c r="D1410" s="16" t="s">
        <v>3392</v>
      </c>
      <c r="E1410" s="16" t="s">
        <v>1779</v>
      </c>
      <c r="F1410" s="16" t="s">
        <v>388</v>
      </c>
      <c r="G1410" s="16" t="s">
        <v>539</v>
      </c>
      <c r="J1410" s="16" t="s">
        <v>33</v>
      </c>
      <c r="L1410" s="16" t="s">
        <v>32</v>
      </c>
    </row>
    <row r="1411" spans="1:12" hidden="1" x14ac:dyDescent="0.3">
      <c r="A1411" s="16" t="s">
        <v>3391</v>
      </c>
      <c r="B1411" s="16"/>
      <c r="C1411" s="16"/>
      <c r="D1411" s="16" t="s">
        <v>3392</v>
      </c>
      <c r="E1411" s="16" t="s">
        <v>1804</v>
      </c>
      <c r="F1411" s="16" t="s">
        <v>388</v>
      </c>
      <c r="G1411" s="16" t="s">
        <v>539</v>
      </c>
      <c r="J1411" s="16" t="s">
        <v>33</v>
      </c>
      <c r="L1411" s="16" t="s">
        <v>32</v>
      </c>
    </row>
    <row r="1412" spans="1:12" hidden="1" x14ac:dyDescent="0.3">
      <c r="A1412" s="16" t="s">
        <v>3391</v>
      </c>
      <c r="B1412" s="16"/>
      <c r="C1412" s="16"/>
      <c r="D1412" s="16" t="s">
        <v>3392</v>
      </c>
      <c r="E1412" s="16" t="s">
        <v>1777</v>
      </c>
      <c r="F1412" s="16" t="s">
        <v>388</v>
      </c>
      <c r="G1412" s="16" t="s">
        <v>539</v>
      </c>
      <c r="J1412" s="16" t="s">
        <v>33</v>
      </c>
      <c r="L1412" s="16" t="s">
        <v>32</v>
      </c>
    </row>
    <row r="1413" spans="1:12" hidden="1" x14ac:dyDescent="0.3">
      <c r="A1413" s="16" t="s">
        <v>1130</v>
      </c>
      <c r="B1413" s="16"/>
      <c r="C1413" s="16"/>
      <c r="D1413" s="16" t="s">
        <v>1131</v>
      </c>
      <c r="E1413" s="16" t="s">
        <v>2092</v>
      </c>
      <c r="F1413" s="16" t="s">
        <v>18</v>
      </c>
      <c r="G1413" s="16" t="s">
        <v>539</v>
      </c>
      <c r="I1413" s="16" t="s">
        <v>1103</v>
      </c>
    </row>
    <row r="1414" spans="1:12" hidden="1" x14ac:dyDescent="0.3">
      <c r="A1414" s="16" t="s">
        <v>1201</v>
      </c>
      <c r="B1414" s="16"/>
      <c r="C1414" s="16"/>
      <c r="D1414" s="16" t="s">
        <v>1202</v>
      </c>
      <c r="E1414" s="16" t="s">
        <v>3072</v>
      </c>
      <c r="F1414" s="16" t="s">
        <v>18</v>
      </c>
      <c r="G1414" s="16" t="s">
        <v>539</v>
      </c>
      <c r="I1414" s="16" t="s">
        <v>1103</v>
      </c>
    </row>
    <row r="1415" spans="1:12" hidden="1" x14ac:dyDescent="0.3">
      <c r="A1415" s="16" t="s">
        <v>1132</v>
      </c>
      <c r="B1415" s="16"/>
      <c r="C1415" s="16"/>
      <c r="D1415" s="16" t="s">
        <v>1133</v>
      </c>
      <c r="E1415" s="16" t="s">
        <v>2092</v>
      </c>
      <c r="F1415" s="16" t="s">
        <v>18</v>
      </c>
      <c r="G1415" s="16" t="s">
        <v>588</v>
      </c>
      <c r="I1415" s="16" t="s">
        <v>1103</v>
      </c>
    </row>
    <row r="1416" spans="1:12" hidden="1" x14ac:dyDescent="0.3">
      <c r="A1416" s="16" t="s">
        <v>1721</v>
      </c>
      <c r="B1416" s="16"/>
      <c r="C1416" s="16"/>
      <c r="D1416" s="16" t="s">
        <v>1722</v>
      </c>
      <c r="E1416" s="16" t="s">
        <v>1778</v>
      </c>
      <c r="F1416" s="16" t="s">
        <v>18</v>
      </c>
      <c r="G1416" s="16" t="s">
        <v>539</v>
      </c>
      <c r="I1416" s="16" t="s">
        <v>1127</v>
      </c>
    </row>
    <row r="1417" spans="1:12" hidden="1" x14ac:dyDescent="0.3">
      <c r="A1417" s="16" t="s">
        <v>1723</v>
      </c>
      <c r="B1417" s="16"/>
      <c r="C1417" s="16"/>
      <c r="D1417" s="16" t="s">
        <v>1724</v>
      </c>
      <c r="E1417" s="16" t="s">
        <v>1778</v>
      </c>
      <c r="F1417" s="16" t="s">
        <v>18</v>
      </c>
      <c r="G1417" s="16" t="s">
        <v>539</v>
      </c>
      <c r="I1417" s="16" t="s">
        <v>1127</v>
      </c>
    </row>
    <row r="1418" spans="1:12" hidden="1" x14ac:dyDescent="0.3">
      <c r="A1418" s="16" t="s">
        <v>1725</v>
      </c>
      <c r="B1418" s="16"/>
      <c r="C1418" s="16"/>
      <c r="D1418" s="16" t="s">
        <v>1726</v>
      </c>
      <c r="E1418" s="16" t="s">
        <v>1778</v>
      </c>
      <c r="F1418" s="16" t="s">
        <v>18</v>
      </c>
      <c r="G1418" s="16" t="s">
        <v>539</v>
      </c>
      <c r="I1418" s="16" t="s">
        <v>1127</v>
      </c>
    </row>
    <row r="1419" spans="1:12" hidden="1" x14ac:dyDescent="0.3">
      <c r="A1419" s="16" t="s">
        <v>1203</v>
      </c>
      <c r="B1419" s="16"/>
      <c r="C1419" s="16"/>
      <c r="D1419" s="16" t="s">
        <v>1204</v>
      </c>
      <c r="E1419" s="16" t="s">
        <v>3072</v>
      </c>
      <c r="F1419" s="16" t="s">
        <v>18</v>
      </c>
      <c r="G1419" s="16" t="s">
        <v>539</v>
      </c>
      <c r="I1419" s="16" t="s">
        <v>1103</v>
      </c>
    </row>
    <row r="1420" spans="1:12" hidden="1" x14ac:dyDescent="0.3">
      <c r="A1420" s="16" t="s">
        <v>1205</v>
      </c>
      <c r="B1420" s="16"/>
      <c r="C1420" s="16"/>
      <c r="D1420" s="16" t="s">
        <v>1206</v>
      </c>
      <c r="E1420" s="16" t="s">
        <v>3072</v>
      </c>
      <c r="F1420" s="16" t="s">
        <v>18</v>
      </c>
      <c r="G1420" s="16" t="s">
        <v>539</v>
      </c>
      <c r="I1420" s="16" t="s">
        <v>1103</v>
      </c>
    </row>
    <row r="1421" spans="1:12" hidden="1" x14ac:dyDescent="0.3">
      <c r="A1421" s="16" t="s">
        <v>1207</v>
      </c>
      <c r="B1421" s="16"/>
      <c r="C1421" s="16"/>
      <c r="D1421" s="16" t="s">
        <v>1208</v>
      </c>
      <c r="E1421" s="16" t="s">
        <v>3072</v>
      </c>
      <c r="F1421" s="16" t="s">
        <v>18</v>
      </c>
      <c r="G1421" s="16" t="s">
        <v>555</v>
      </c>
      <c r="I1421" s="16" t="s">
        <v>1103</v>
      </c>
    </row>
    <row r="1422" spans="1:12" hidden="1" x14ac:dyDescent="0.3">
      <c r="A1422" s="16" t="s">
        <v>3393</v>
      </c>
      <c r="B1422" s="16"/>
      <c r="C1422" s="16"/>
      <c r="D1422" s="16" t="s">
        <v>3394</v>
      </c>
      <c r="E1422" s="16" t="s">
        <v>1779</v>
      </c>
      <c r="F1422" s="16" t="s">
        <v>388</v>
      </c>
      <c r="G1422" s="16" t="s">
        <v>539</v>
      </c>
      <c r="J1422" s="16" t="s">
        <v>33</v>
      </c>
      <c r="L1422" s="16" t="s">
        <v>32</v>
      </c>
    </row>
    <row r="1423" spans="1:12" hidden="1" x14ac:dyDescent="0.3">
      <c r="A1423" s="16" t="s">
        <v>3395</v>
      </c>
      <c r="B1423" s="16"/>
      <c r="C1423" s="16"/>
      <c r="D1423" s="16" t="s">
        <v>3396</v>
      </c>
      <c r="E1423" s="16" t="s">
        <v>1779</v>
      </c>
      <c r="F1423" s="16" t="s">
        <v>388</v>
      </c>
      <c r="G1423" s="16" t="s">
        <v>539</v>
      </c>
      <c r="L1423" s="16" t="s">
        <v>32</v>
      </c>
    </row>
    <row r="1424" spans="1:12" hidden="1" x14ac:dyDescent="0.3">
      <c r="A1424" s="16" t="s">
        <v>1654</v>
      </c>
      <c r="B1424" s="16"/>
      <c r="C1424" s="16"/>
      <c r="D1424" s="16" t="s">
        <v>1655</v>
      </c>
      <c r="E1424" s="16" t="s">
        <v>1779</v>
      </c>
      <c r="F1424" s="16" t="s">
        <v>18</v>
      </c>
      <c r="G1424" s="16" t="s">
        <v>588</v>
      </c>
      <c r="I1424" s="16" t="s">
        <v>1127</v>
      </c>
    </row>
    <row r="1425" spans="1:12" hidden="1" x14ac:dyDescent="0.3">
      <c r="A1425" s="16" t="s">
        <v>3397</v>
      </c>
      <c r="B1425" s="16"/>
      <c r="C1425" s="16"/>
      <c r="D1425" s="16" t="s">
        <v>3398</v>
      </c>
      <c r="E1425" s="16" t="s">
        <v>1779</v>
      </c>
      <c r="F1425" s="16" t="s">
        <v>388</v>
      </c>
      <c r="G1425" s="16" t="s">
        <v>539</v>
      </c>
      <c r="J1425" s="16" t="s">
        <v>33</v>
      </c>
      <c r="L1425" s="16" t="s">
        <v>32</v>
      </c>
    </row>
    <row r="1426" spans="1:12" hidden="1" x14ac:dyDescent="0.3">
      <c r="A1426" s="16" t="s">
        <v>3399</v>
      </c>
      <c r="B1426" s="16"/>
      <c r="C1426" s="16"/>
      <c r="D1426" s="16" t="s">
        <v>3400</v>
      </c>
      <c r="E1426" s="16" t="s">
        <v>1779</v>
      </c>
      <c r="F1426" s="16" t="s">
        <v>388</v>
      </c>
      <c r="G1426" s="16" t="s">
        <v>539</v>
      </c>
      <c r="J1426" s="16" t="s">
        <v>33</v>
      </c>
      <c r="L1426" s="16" t="s">
        <v>32</v>
      </c>
    </row>
    <row r="1427" spans="1:12" hidden="1" x14ac:dyDescent="0.3">
      <c r="A1427" s="16" t="s">
        <v>3401</v>
      </c>
      <c r="B1427" s="16"/>
      <c r="C1427" s="16"/>
      <c r="D1427" s="16" t="s">
        <v>3402</v>
      </c>
      <c r="E1427" s="16" t="s">
        <v>1777</v>
      </c>
      <c r="F1427" s="16" t="s">
        <v>388</v>
      </c>
      <c r="G1427" s="16" t="s">
        <v>539</v>
      </c>
      <c r="L1427" s="16" t="s">
        <v>1988</v>
      </c>
    </row>
    <row r="1428" spans="1:12" hidden="1" x14ac:dyDescent="0.3">
      <c r="A1428" s="16" t="s">
        <v>1727</v>
      </c>
      <c r="B1428" s="16"/>
      <c r="C1428" s="16"/>
      <c r="D1428" s="16" t="s">
        <v>1728</v>
      </c>
      <c r="E1428" s="16" t="s">
        <v>1778</v>
      </c>
      <c r="F1428" s="16" t="s">
        <v>18</v>
      </c>
      <c r="G1428" s="16" t="s">
        <v>1791</v>
      </c>
      <c r="I1428" s="16" t="s">
        <v>1127</v>
      </c>
    </row>
    <row r="1429" spans="1:12" hidden="1" x14ac:dyDescent="0.3">
      <c r="A1429" s="16" t="s">
        <v>3403</v>
      </c>
      <c r="B1429" s="16"/>
      <c r="C1429" s="16"/>
      <c r="D1429" s="16" t="s">
        <v>3404</v>
      </c>
      <c r="E1429" s="16" t="s">
        <v>1779</v>
      </c>
      <c r="F1429" s="16" t="s">
        <v>388</v>
      </c>
      <c r="G1429" s="16" t="s">
        <v>539</v>
      </c>
      <c r="L1429" s="16" t="s">
        <v>32</v>
      </c>
    </row>
    <row r="1430" spans="1:12" hidden="1" x14ac:dyDescent="0.3">
      <c r="A1430" s="16" t="s">
        <v>3405</v>
      </c>
      <c r="B1430" s="16"/>
      <c r="C1430" s="16"/>
      <c r="D1430" s="16" t="s">
        <v>3406</v>
      </c>
      <c r="E1430" s="16" t="s">
        <v>1777</v>
      </c>
      <c r="F1430" s="16" t="s">
        <v>388</v>
      </c>
      <c r="G1430" s="16" t="s">
        <v>539</v>
      </c>
      <c r="L1430" s="16" t="s">
        <v>1988</v>
      </c>
    </row>
    <row r="1431" spans="1:12" hidden="1" x14ac:dyDescent="0.3">
      <c r="A1431" s="16" t="s">
        <v>3407</v>
      </c>
      <c r="B1431" s="16"/>
      <c r="C1431" s="16"/>
      <c r="D1431" s="16" t="s">
        <v>3408</v>
      </c>
      <c r="E1431" s="16" t="s">
        <v>1779</v>
      </c>
      <c r="F1431" s="16" t="s">
        <v>388</v>
      </c>
      <c r="G1431" s="16" t="s">
        <v>539</v>
      </c>
      <c r="L1431" s="16" t="s">
        <v>32</v>
      </c>
    </row>
    <row r="1432" spans="1:12" hidden="1" x14ac:dyDescent="0.3">
      <c r="A1432" s="16" t="s">
        <v>3407</v>
      </c>
      <c r="B1432" s="16"/>
      <c r="C1432" s="16"/>
      <c r="D1432" s="16" t="s">
        <v>3408</v>
      </c>
      <c r="E1432" s="16" t="s">
        <v>1777</v>
      </c>
      <c r="F1432" s="16" t="s">
        <v>388</v>
      </c>
      <c r="G1432" s="16" t="s">
        <v>539</v>
      </c>
      <c r="L1432" s="16" t="s">
        <v>32</v>
      </c>
    </row>
    <row r="1433" spans="1:12" hidden="1" x14ac:dyDescent="0.3">
      <c r="A1433" s="16" t="s">
        <v>1729</v>
      </c>
      <c r="B1433" s="16"/>
      <c r="C1433" s="16"/>
      <c r="D1433" s="16" t="s">
        <v>1730</v>
      </c>
      <c r="E1433" s="16" t="s">
        <v>1778</v>
      </c>
      <c r="F1433" s="16" t="s">
        <v>18</v>
      </c>
      <c r="G1433" s="16" t="s">
        <v>617</v>
      </c>
      <c r="I1433" s="16" t="s">
        <v>1127</v>
      </c>
    </row>
    <row r="1434" spans="1:12" hidden="1" x14ac:dyDescent="0.3">
      <c r="A1434" s="16" t="s">
        <v>3409</v>
      </c>
      <c r="B1434" s="16"/>
      <c r="C1434" s="16"/>
      <c r="D1434" s="16" t="s">
        <v>3410</v>
      </c>
      <c r="E1434" s="16" t="s">
        <v>1779</v>
      </c>
      <c r="F1434" s="16" t="s">
        <v>388</v>
      </c>
      <c r="G1434" s="16" t="s">
        <v>539</v>
      </c>
      <c r="L1434" s="16" t="s">
        <v>32</v>
      </c>
    </row>
    <row r="1435" spans="1:12" hidden="1" x14ac:dyDescent="0.3">
      <c r="A1435" s="16" t="s">
        <v>1656</v>
      </c>
      <c r="B1435" s="16"/>
      <c r="C1435" s="16"/>
      <c r="D1435" s="16" t="s">
        <v>1657</v>
      </c>
      <c r="E1435" s="16" t="s">
        <v>1779</v>
      </c>
      <c r="F1435" s="16" t="s">
        <v>18</v>
      </c>
      <c r="G1435" s="16" t="s">
        <v>539</v>
      </c>
      <c r="I1435" s="16" t="s">
        <v>1127</v>
      </c>
    </row>
    <row r="1436" spans="1:12" hidden="1" x14ac:dyDescent="0.3">
      <c r="A1436" s="16" t="s">
        <v>3411</v>
      </c>
      <c r="B1436" s="16"/>
      <c r="C1436" s="16"/>
      <c r="D1436" s="16" t="s">
        <v>153</v>
      </c>
      <c r="E1436" s="16" t="s">
        <v>1779</v>
      </c>
      <c r="F1436" s="16" t="s">
        <v>388</v>
      </c>
      <c r="G1436" s="16" t="s">
        <v>539</v>
      </c>
      <c r="L1436" s="16" t="s">
        <v>32</v>
      </c>
    </row>
    <row r="1437" spans="1:12" hidden="1" x14ac:dyDescent="0.3">
      <c r="A1437" s="16" t="s">
        <v>3412</v>
      </c>
      <c r="B1437" s="16"/>
      <c r="C1437" s="16"/>
      <c r="D1437" s="16" t="s">
        <v>3413</v>
      </c>
      <c r="E1437" s="16" t="s">
        <v>1779</v>
      </c>
      <c r="F1437" s="16" t="s">
        <v>388</v>
      </c>
      <c r="G1437" s="16" t="s">
        <v>539</v>
      </c>
      <c r="L1437" s="16" t="s">
        <v>32</v>
      </c>
    </row>
    <row r="1438" spans="1:12" hidden="1" x14ac:dyDescent="0.3">
      <c r="A1438" s="16" t="s">
        <v>3414</v>
      </c>
      <c r="B1438" s="16"/>
      <c r="C1438" s="16"/>
      <c r="D1438" s="16" t="s">
        <v>3415</v>
      </c>
      <c r="E1438" s="16" t="s">
        <v>1779</v>
      </c>
      <c r="F1438" s="16" t="s">
        <v>388</v>
      </c>
      <c r="G1438" s="16" t="s">
        <v>539</v>
      </c>
      <c r="L1438" s="16" t="s">
        <v>32</v>
      </c>
    </row>
    <row r="1439" spans="1:12" hidden="1" x14ac:dyDescent="0.3">
      <c r="A1439" s="16" t="s">
        <v>1414</v>
      </c>
      <c r="B1439" s="16"/>
      <c r="C1439" s="16"/>
      <c r="D1439" s="16" t="s">
        <v>1415</v>
      </c>
      <c r="E1439" s="16" t="s">
        <v>1778</v>
      </c>
      <c r="F1439" s="16" t="s">
        <v>18</v>
      </c>
      <c r="G1439" s="16" t="s">
        <v>1791</v>
      </c>
      <c r="I1439" s="16" t="s">
        <v>1127</v>
      </c>
    </row>
    <row r="1440" spans="1:12" hidden="1" x14ac:dyDescent="0.3">
      <c r="A1440" s="16" t="s">
        <v>1658</v>
      </c>
      <c r="B1440" s="16"/>
      <c r="C1440" s="16"/>
      <c r="D1440" s="16" t="s">
        <v>1659</v>
      </c>
      <c r="E1440" s="16" t="s">
        <v>1779</v>
      </c>
      <c r="F1440" s="16" t="s">
        <v>18</v>
      </c>
      <c r="G1440" s="16" t="s">
        <v>1791</v>
      </c>
      <c r="I1440" s="16" t="s">
        <v>1127</v>
      </c>
    </row>
    <row r="1441" spans="1:12" hidden="1" x14ac:dyDescent="0.3">
      <c r="A1441" s="16" t="s">
        <v>1416</v>
      </c>
      <c r="B1441" s="16"/>
      <c r="C1441" s="16"/>
      <c r="D1441" s="16" t="s">
        <v>1417</v>
      </c>
      <c r="E1441" s="16" t="s">
        <v>1778</v>
      </c>
      <c r="F1441" s="16" t="s">
        <v>18</v>
      </c>
      <c r="G1441" s="16" t="s">
        <v>1791</v>
      </c>
      <c r="I1441" s="16" t="s">
        <v>1127</v>
      </c>
    </row>
    <row r="1442" spans="1:12" hidden="1" x14ac:dyDescent="0.3">
      <c r="A1442" s="16" t="s">
        <v>1660</v>
      </c>
      <c r="B1442" s="16"/>
      <c r="C1442" s="16"/>
      <c r="D1442" s="16" t="s">
        <v>1661</v>
      </c>
      <c r="E1442" s="16" t="s">
        <v>1779</v>
      </c>
      <c r="F1442" s="16" t="s">
        <v>18</v>
      </c>
      <c r="G1442" s="16" t="s">
        <v>1791</v>
      </c>
      <c r="I1442" s="16" t="s">
        <v>1127</v>
      </c>
    </row>
    <row r="1443" spans="1:12" hidden="1" x14ac:dyDescent="0.3">
      <c r="A1443" s="16" t="s">
        <v>1662</v>
      </c>
      <c r="B1443" s="16"/>
      <c r="C1443" s="16"/>
      <c r="D1443" s="16" t="s">
        <v>1663</v>
      </c>
      <c r="E1443" s="16" t="s">
        <v>1779</v>
      </c>
      <c r="F1443" s="16" t="s">
        <v>18</v>
      </c>
      <c r="G1443" s="16" t="s">
        <v>1791</v>
      </c>
      <c r="I1443" s="16" t="s">
        <v>1127</v>
      </c>
    </row>
    <row r="1444" spans="1:12" hidden="1" x14ac:dyDescent="0.3">
      <c r="A1444" s="16" t="s">
        <v>1418</v>
      </c>
      <c r="B1444" s="16"/>
      <c r="C1444" s="16"/>
      <c r="D1444" s="16" t="s">
        <v>1419</v>
      </c>
      <c r="E1444" s="16" t="s">
        <v>1778</v>
      </c>
      <c r="F1444" s="16" t="s">
        <v>18</v>
      </c>
      <c r="G1444" s="16" t="s">
        <v>1791</v>
      </c>
      <c r="I1444" s="16" t="s">
        <v>1127</v>
      </c>
    </row>
    <row r="1445" spans="1:12" hidden="1" x14ac:dyDescent="0.3">
      <c r="A1445" s="16" t="s">
        <v>3416</v>
      </c>
      <c r="B1445" s="16"/>
      <c r="C1445" s="16"/>
      <c r="D1445" s="16" t="s">
        <v>3417</v>
      </c>
      <c r="E1445" s="16" t="s">
        <v>1777</v>
      </c>
      <c r="F1445" s="16" t="s">
        <v>388</v>
      </c>
      <c r="G1445" s="16" t="s">
        <v>539</v>
      </c>
      <c r="J1445" s="16" t="s">
        <v>33</v>
      </c>
      <c r="L1445" s="16" t="s">
        <v>1988</v>
      </c>
    </row>
    <row r="1446" spans="1:12" hidden="1" x14ac:dyDescent="0.3">
      <c r="A1446" s="16" t="s">
        <v>3418</v>
      </c>
      <c r="B1446" s="16"/>
      <c r="C1446" s="16"/>
      <c r="D1446" s="16" t="s">
        <v>3419</v>
      </c>
      <c r="E1446" s="16" t="s">
        <v>1779</v>
      </c>
      <c r="F1446" s="16" t="s">
        <v>388</v>
      </c>
      <c r="G1446" s="16" t="s">
        <v>539</v>
      </c>
      <c r="L1446" s="16" t="s">
        <v>32</v>
      </c>
    </row>
    <row r="1447" spans="1:12" hidden="1" x14ac:dyDescent="0.3">
      <c r="A1447" s="16" t="s">
        <v>3418</v>
      </c>
      <c r="B1447" s="16"/>
      <c r="C1447" s="16"/>
      <c r="D1447" s="16" t="s">
        <v>3419</v>
      </c>
      <c r="E1447" s="16" t="s">
        <v>1777</v>
      </c>
      <c r="F1447" s="16" t="s">
        <v>388</v>
      </c>
      <c r="G1447" s="16" t="s">
        <v>539</v>
      </c>
      <c r="L1447" s="16" t="s">
        <v>32</v>
      </c>
    </row>
  </sheetData>
  <pageMargins left="0.75" right="0.75" top="0.75" bottom="0.5" header="0.5" footer="0.7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CADA8-C8D9-4FCD-AB4A-0875206E0F90}">
  <sheetPr>
    <tabColor rgb="FFFFFF00"/>
  </sheetPr>
  <dimension ref="A1:L1519"/>
  <sheetViews>
    <sheetView topLeftCell="A701" workbookViewId="0">
      <selection activeCell="B727" sqref="B727"/>
    </sheetView>
  </sheetViews>
  <sheetFormatPr defaultColWidth="8.77734375" defaultRowHeight="14.4" x14ac:dyDescent="0.3"/>
  <cols>
    <col min="1" max="1" width="47.21875" style="17" customWidth="1"/>
    <col min="2" max="2" width="19.33203125" style="17" customWidth="1"/>
    <col min="3" max="3" width="27.33203125" style="17" customWidth="1"/>
    <col min="4" max="4" width="20.77734375" style="17" customWidth="1"/>
    <col min="5" max="5" width="14" style="17" customWidth="1"/>
    <col min="6" max="6" width="16.21875" style="17" customWidth="1"/>
    <col min="7" max="9" width="14" style="17" customWidth="1"/>
    <col min="10" max="10" width="14.77734375" style="17" customWidth="1"/>
    <col min="11" max="11" width="20.77734375" style="17" customWidth="1"/>
    <col min="12" max="12" width="17.88671875" style="17" customWidth="1"/>
    <col min="13" max="16384" width="8.77734375" style="15"/>
  </cols>
  <sheetData>
    <row r="1" spans="1:12" x14ac:dyDescent="0.3">
      <c r="A1" s="14" t="s">
        <v>1759</v>
      </c>
      <c r="B1" s="14" t="s">
        <v>1119</v>
      </c>
      <c r="C1" s="14" t="s">
        <v>1098</v>
      </c>
      <c r="D1" s="14" t="s">
        <v>1762</v>
      </c>
      <c r="E1" s="14" t="s">
        <v>527</v>
      </c>
      <c r="F1" s="14" t="s">
        <v>1763</v>
      </c>
      <c r="G1" s="14" t="s">
        <v>1764</v>
      </c>
      <c r="H1" s="14" t="s">
        <v>1100</v>
      </c>
      <c r="I1" s="14" t="s">
        <v>10</v>
      </c>
      <c r="J1" s="14" t="s">
        <v>12</v>
      </c>
      <c r="K1" s="14" t="s">
        <v>1765</v>
      </c>
      <c r="L1" s="14" t="s">
        <v>1766</v>
      </c>
    </row>
    <row r="2" spans="1:12" x14ac:dyDescent="0.3">
      <c r="A2" s="16" t="s">
        <v>1767</v>
      </c>
      <c r="B2" s="16" t="s">
        <v>1768</v>
      </c>
      <c r="C2" s="16" t="s">
        <v>1769</v>
      </c>
      <c r="D2" s="16" t="s">
        <v>18</v>
      </c>
      <c r="E2" s="16" t="s">
        <v>539</v>
      </c>
      <c r="G2" s="16" t="s">
        <v>1770</v>
      </c>
      <c r="H2" s="16" t="s">
        <v>33</v>
      </c>
    </row>
    <row r="3" spans="1:12" x14ac:dyDescent="0.3">
      <c r="A3" s="16" t="s">
        <v>1771</v>
      </c>
      <c r="B3" s="16" t="s">
        <v>1772</v>
      </c>
      <c r="C3" s="16" t="s">
        <v>1769</v>
      </c>
      <c r="D3" s="16" t="s">
        <v>18</v>
      </c>
      <c r="E3" s="16" t="s">
        <v>539</v>
      </c>
      <c r="G3" s="16" t="s">
        <v>1770</v>
      </c>
      <c r="H3" s="16" t="s">
        <v>33</v>
      </c>
    </row>
    <row r="4" spans="1:12" x14ac:dyDescent="0.3">
      <c r="A4" s="16" t="s">
        <v>1773</v>
      </c>
      <c r="B4" s="16" t="s">
        <v>1774</v>
      </c>
      <c r="C4" s="16" t="s">
        <v>1769</v>
      </c>
      <c r="D4" s="16" t="s">
        <v>18</v>
      </c>
      <c r="E4" s="16" t="s">
        <v>539</v>
      </c>
      <c r="G4" s="16" t="s">
        <v>1770</v>
      </c>
      <c r="H4" s="16" t="s">
        <v>33</v>
      </c>
    </row>
    <row r="5" spans="1:12" x14ac:dyDescent="0.3">
      <c r="A5" s="16" t="s">
        <v>1775</v>
      </c>
      <c r="B5" s="16" t="s">
        <v>1776</v>
      </c>
      <c r="C5" s="16" t="s">
        <v>1769</v>
      </c>
      <c r="D5" s="16" t="s">
        <v>18</v>
      </c>
      <c r="E5" s="16" t="s">
        <v>539</v>
      </c>
      <c r="G5" s="16" t="s">
        <v>1770</v>
      </c>
      <c r="H5" s="16" t="s">
        <v>33</v>
      </c>
    </row>
    <row r="6" spans="1:12" x14ac:dyDescent="0.3">
      <c r="A6" s="16" t="s">
        <v>319</v>
      </c>
      <c r="B6" s="16" t="s">
        <v>438</v>
      </c>
      <c r="C6" s="16" t="s">
        <v>1777</v>
      </c>
      <c r="D6" s="16" t="s">
        <v>18</v>
      </c>
      <c r="E6" s="16" t="s">
        <v>539</v>
      </c>
      <c r="G6" s="16" t="s">
        <v>1127</v>
      </c>
      <c r="H6" s="16" t="s">
        <v>33</v>
      </c>
    </row>
    <row r="7" spans="1:12" x14ac:dyDescent="0.3">
      <c r="A7" s="16" t="s">
        <v>319</v>
      </c>
      <c r="B7" s="16" t="s">
        <v>1209</v>
      </c>
      <c r="C7" s="16" t="s">
        <v>1778</v>
      </c>
      <c r="D7" s="16" t="s">
        <v>18</v>
      </c>
      <c r="E7" s="16" t="s">
        <v>539</v>
      </c>
      <c r="G7" s="16" t="s">
        <v>1127</v>
      </c>
      <c r="H7" s="16" t="s">
        <v>33</v>
      </c>
    </row>
    <row r="8" spans="1:12" x14ac:dyDescent="0.3">
      <c r="A8" s="16" t="s">
        <v>1780</v>
      </c>
      <c r="B8" s="16" t="s">
        <v>1781</v>
      </c>
      <c r="C8" s="16" t="s">
        <v>1782</v>
      </c>
      <c r="D8" s="16" t="s">
        <v>388</v>
      </c>
      <c r="E8" s="16" t="s">
        <v>539</v>
      </c>
      <c r="H8" s="16" t="s">
        <v>33</v>
      </c>
      <c r="J8" s="16" t="s">
        <v>32</v>
      </c>
      <c r="K8" s="16" t="s">
        <v>1783</v>
      </c>
    </row>
    <row r="9" spans="1:12" x14ac:dyDescent="0.3">
      <c r="A9" s="16" t="s">
        <v>1784</v>
      </c>
      <c r="B9" s="16" t="s">
        <v>1785</v>
      </c>
      <c r="C9" s="16" t="s">
        <v>1782</v>
      </c>
      <c r="D9" s="16" t="s">
        <v>388</v>
      </c>
      <c r="E9" s="16" t="s">
        <v>539</v>
      </c>
      <c r="H9" s="16" t="s">
        <v>33</v>
      </c>
      <c r="J9" s="16" t="s">
        <v>32</v>
      </c>
      <c r="K9" s="16" t="s">
        <v>1786</v>
      </c>
    </row>
    <row r="10" spans="1:12" x14ac:dyDescent="0.3">
      <c r="A10" s="16" t="s">
        <v>1787</v>
      </c>
      <c r="B10" s="16" t="s">
        <v>1788</v>
      </c>
      <c r="C10" s="16" t="s">
        <v>1782</v>
      </c>
      <c r="D10" s="16" t="s">
        <v>388</v>
      </c>
      <c r="E10" s="16" t="s">
        <v>539</v>
      </c>
      <c r="H10" s="16" t="s">
        <v>33</v>
      </c>
      <c r="J10" s="16" t="s">
        <v>32</v>
      </c>
      <c r="K10" s="16" t="s">
        <v>898</v>
      </c>
    </row>
    <row r="11" spans="1:12" x14ac:dyDescent="0.3">
      <c r="A11" s="16" t="s">
        <v>1789</v>
      </c>
      <c r="B11" s="16" t="s">
        <v>1790</v>
      </c>
      <c r="C11" s="16" t="s">
        <v>1779</v>
      </c>
      <c r="D11" s="16" t="s">
        <v>133</v>
      </c>
      <c r="E11" s="16" t="s">
        <v>1791</v>
      </c>
      <c r="H11" s="16" t="s">
        <v>33</v>
      </c>
    </row>
    <row r="12" spans="1:12" x14ac:dyDescent="0.3">
      <c r="A12" s="16" t="s">
        <v>1792</v>
      </c>
      <c r="B12" s="16" t="s">
        <v>1793</v>
      </c>
      <c r="C12" s="16" t="s">
        <v>1779</v>
      </c>
      <c r="D12" s="16" t="s">
        <v>133</v>
      </c>
      <c r="E12" s="16" t="s">
        <v>1791</v>
      </c>
      <c r="H12" s="16" t="s">
        <v>33</v>
      </c>
    </row>
    <row r="13" spans="1:12" x14ac:dyDescent="0.3">
      <c r="A13" s="16" t="s">
        <v>1794</v>
      </c>
      <c r="B13" s="16" t="s">
        <v>1795</v>
      </c>
      <c r="C13" s="16" t="s">
        <v>1779</v>
      </c>
      <c r="D13" s="16" t="s">
        <v>133</v>
      </c>
      <c r="E13" s="16" t="s">
        <v>1791</v>
      </c>
      <c r="H13" s="16" t="s">
        <v>33</v>
      </c>
    </row>
    <row r="14" spans="1:12" x14ac:dyDescent="0.3">
      <c r="A14" s="16" t="s">
        <v>1134</v>
      </c>
      <c r="B14" s="16" t="s">
        <v>1135</v>
      </c>
      <c r="C14" s="16" t="s">
        <v>1796</v>
      </c>
      <c r="D14" s="16" t="s">
        <v>18</v>
      </c>
      <c r="E14" s="16" t="s">
        <v>539</v>
      </c>
      <c r="G14" s="16" t="s">
        <v>1103</v>
      </c>
      <c r="H14" s="16" t="s">
        <v>33</v>
      </c>
    </row>
    <row r="15" spans="1:12" x14ac:dyDescent="0.3">
      <c r="A15" s="16" t="s">
        <v>1797</v>
      </c>
      <c r="B15" s="16" t="s">
        <v>1798</v>
      </c>
      <c r="C15" s="16" t="s">
        <v>1779</v>
      </c>
      <c r="D15" s="16" t="s">
        <v>133</v>
      </c>
      <c r="E15" s="16" t="s">
        <v>661</v>
      </c>
      <c r="G15" s="16" t="s">
        <v>662</v>
      </c>
      <c r="H15" s="16" t="s">
        <v>33</v>
      </c>
    </row>
    <row r="16" spans="1:12" x14ac:dyDescent="0.3">
      <c r="A16" s="16" t="s">
        <v>1799</v>
      </c>
      <c r="B16" s="16" t="s">
        <v>1800</v>
      </c>
      <c r="C16" s="16" t="s">
        <v>1782</v>
      </c>
      <c r="D16" s="16" t="s">
        <v>133</v>
      </c>
      <c r="E16" s="16" t="s">
        <v>588</v>
      </c>
      <c r="H16" s="16" t="s">
        <v>33</v>
      </c>
    </row>
    <row r="17" spans="1:8" x14ac:dyDescent="0.3">
      <c r="A17" s="16" t="s">
        <v>1801</v>
      </c>
      <c r="B17" s="16" t="s">
        <v>1802</v>
      </c>
      <c r="C17" s="16" t="s">
        <v>1782</v>
      </c>
      <c r="D17" s="16" t="s">
        <v>18</v>
      </c>
      <c r="E17" s="16" t="s">
        <v>661</v>
      </c>
      <c r="G17" s="16" t="s">
        <v>1103</v>
      </c>
      <c r="H17" s="16" t="s">
        <v>33</v>
      </c>
    </row>
    <row r="18" spans="1:8" x14ac:dyDescent="0.3">
      <c r="A18" s="16" t="s">
        <v>1801</v>
      </c>
      <c r="B18" s="16" t="s">
        <v>1803</v>
      </c>
      <c r="C18" s="16" t="s">
        <v>1804</v>
      </c>
      <c r="D18" s="16" t="s">
        <v>18</v>
      </c>
      <c r="E18" s="16" t="s">
        <v>661</v>
      </c>
      <c r="G18" s="16" t="s">
        <v>1770</v>
      </c>
      <c r="H18" s="16" t="s">
        <v>33</v>
      </c>
    </row>
    <row r="19" spans="1:8" x14ac:dyDescent="0.3">
      <c r="A19" s="16" t="s">
        <v>1805</v>
      </c>
      <c r="B19" s="16" t="s">
        <v>1806</v>
      </c>
      <c r="C19" s="16" t="s">
        <v>1779</v>
      </c>
      <c r="D19" s="16" t="s">
        <v>133</v>
      </c>
      <c r="E19" s="16" t="s">
        <v>539</v>
      </c>
      <c r="H19" s="16" t="s">
        <v>33</v>
      </c>
    </row>
    <row r="20" spans="1:8" x14ac:dyDescent="0.3">
      <c r="A20" s="16" t="s">
        <v>263</v>
      </c>
      <c r="B20" s="16" t="s">
        <v>264</v>
      </c>
      <c r="C20" s="16" t="s">
        <v>1779</v>
      </c>
      <c r="D20" s="16" t="s">
        <v>133</v>
      </c>
      <c r="E20" s="16" t="s">
        <v>588</v>
      </c>
      <c r="H20" s="16" t="s">
        <v>33</v>
      </c>
    </row>
    <row r="21" spans="1:8" x14ac:dyDescent="0.3">
      <c r="A21" s="16" t="s">
        <v>263</v>
      </c>
      <c r="B21" s="16" t="s">
        <v>1807</v>
      </c>
      <c r="C21" s="16" t="s">
        <v>1808</v>
      </c>
      <c r="D21" s="16" t="s">
        <v>133</v>
      </c>
      <c r="E21" s="16" t="s">
        <v>588</v>
      </c>
      <c r="H21" s="16" t="s">
        <v>33</v>
      </c>
    </row>
    <row r="22" spans="1:8" x14ac:dyDescent="0.3">
      <c r="A22" s="16" t="s">
        <v>261</v>
      </c>
      <c r="B22" s="16" t="s">
        <v>262</v>
      </c>
      <c r="C22" s="16" t="s">
        <v>1779</v>
      </c>
      <c r="D22" s="16" t="s">
        <v>133</v>
      </c>
      <c r="E22" s="16" t="s">
        <v>588</v>
      </c>
      <c r="H22" s="16" t="s">
        <v>33</v>
      </c>
    </row>
    <row r="23" spans="1:8" x14ac:dyDescent="0.3">
      <c r="A23" s="16" t="s">
        <v>261</v>
      </c>
      <c r="B23" s="16" t="s">
        <v>1809</v>
      </c>
      <c r="C23" s="16" t="s">
        <v>1808</v>
      </c>
      <c r="D23" s="16" t="s">
        <v>133</v>
      </c>
      <c r="E23" s="16" t="s">
        <v>588</v>
      </c>
      <c r="H23" s="16" t="s">
        <v>33</v>
      </c>
    </row>
    <row r="24" spans="1:8" x14ac:dyDescent="0.3">
      <c r="A24" s="16" t="s">
        <v>1810</v>
      </c>
      <c r="B24" s="16" t="s">
        <v>1811</v>
      </c>
      <c r="C24" s="16" t="s">
        <v>1779</v>
      </c>
      <c r="D24" s="16" t="s">
        <v>133</v>
      </c>
      <c r="E24" s="16" t="s">
        <v>661</v>
      </c>
      <c r="G24" s="16" t="s">
        <v>662</v>
      </c>
      <c r="H24" s="16" t="s">
        <v>33</v>
      </c>
    </row>
    <row r="25" spans="1:8" x14ac:dyDescent="0.3">
      <c r="A25" s="16" t="s">
        <v>187</v>
      </c>
      <c r="B25" s="16" t="s">
        <v>188</v>
      </c>
      <c r="C25" s="16" t="s">
        <v>1779</v>
      </c>
      <c r="D25" s="16" t="s">
        <v>133</v>
      </c>
      <c r="E25" s="16" t="s">
        <v>588</v>
      </c>
      <c r="H25" s="16" t="s">
        <v>33</v>
      </c>
    </row>
    <row r="26" spans="1:8" x14ac:dyDescent="0.3">
      <c r="A26" s="16" t="s">
        <v>185</v>
      </c>
      <c r="B26" s="16" t="s">
        <v>186</v>
      </c>
      <c r="C26" s="16" t="s">
        <v>1779</v>
      </c>
      <c r="D26" s="16" t="s">
        <v>133</v>
      </c>
      <c r="E26" s="16" t="s">
        <v>588</v>
      </c>
      <c r="H26" s="16" t="s">
        <v>33</v>
      </c>
    </row>
    <row r="27" spans="1:8" x14ac:dyDescent="0.3">
      <c r="A27" s="16" t="s">
        <v>1101</v>
      </c>
      <c r="B27" s="16" t="s">
        <v>1102</v>
      </c>
      <c r="C27" s="16" t="s">
        <v>1812</v>
      </c>
      <c r="D27" s="16" t="s">
        <v>18</v>
      </c>
      <c r="E27" s="16" t="s">
        <v>555</v>
      </c>
      <c r="G27" s="16" t="s">
        <v>1103</v>
      </c>
      <c r="H27" s="16" t="s">
        <v>33</v>
      </c>
    </row>
    <row r="28" spans="1:8" x14ac:dyDescent="0.3">
      <c r="A28" s="16" t="s">
        <v>1813</v>
      </c>
      <c r="B28" s="16" t="s">
        <v>1814</v>
      </c>
      <c r="C28" s="16" t="s">
        <v>1808</v>
      </c>
      <c r="D28" s="16" t="s">
        <v>133</v>
      </c>
      <c r="E28" s="16" t="s">
        <v>539</v>
      </c>
      <c r="H28" s="16" t="s">
        <v>33</v>
      </c>
    </row>
    <row r="29" spans="1:8" x14ac:dyDescent="0.3">
      <c r="A29" s="16" t="s">
        <v>1815</v>
      </c>
      <c r="B29" s="16" t="s">
        <v>1816</v>
      </c>
      <c r="C29" s="16" t="s">
        <v>1778</v>
      </c>
      <c r="D29" s="16" t="s">
        <v>50</v>
      </c>
      <c r="E29" s="16" t="s">
        <v>555</v>
      </c>
      <c r="H29" s="16" t="s">
        <v>33</v>
      </c>
    </row>
    <row r="30" spans="1:8" x14ac:dyDescent="0.3">
      <c r="A30" s="16" t="s">
        <v>1815</v>
      </c>
      <c r="B30" s="16" t="s">
        <v>1818</v>
      </c>
      <c r="C30" s="16" t="s">
        <v>1778</v>
      </c>
      <c r="D30" s="16" t="s">
        <v>18</v>
      </c>
      <c r="E30" s="16" t="s">
        <v>555</v>
      </c>
      <c r="G30" s="16" t="s">
        <v>1770</v>
      </c>
      <c r="H30" s="16" t="s">
        <v>33</v>
      </c>
    </row>
    <row r="31" spans="1:8" x14ac:dyDescent="0.3">
      <c r="A31" s="16" t="s">
        <v>1819</v>
      </c>
      <c r="B31" s="16" t="s">
        <v>1820</v>
      </c>
      <c r="C31" s="16" t="s">
        <v>1778</v>
      </c>
      <c r="D31" s="16" t="s">
        <v>50</v>
      </c>
      <c r="E31" s="16" t="s">
        <v>555</v>
      </c>
      <c r="H31" s="16" t="s">
        <v>33</v>
      </c>
    </row>
    <row r="32" spans="1:8" x14ac:dyDescent="0.3">
      <c r="A32" s="16" t="s">
        <v>1819</v>
      </c>
      <c r="B32" s="16" t="s">
        <v>1821</v>
      </c>
      <c r="C32" s="16" t="s">
        <v>1778</v>
      </c>
      <c r="D32" s="16" t="s">
        <v>18</v>
      </c>
      <c r="E32" s="16" t="s">
        <v>555</v>
      </c>
      <c r="G32" s="16" t="s">
        <v>1770</v>
      </c>
      <c r="H32" s="16" t="s">
        <v>33</v>
      </c>
    </row>
    <row r="33" spans="1:8" x14ac:dyDescent="0.3">
      <c r="A33" s="16" t="s">
        <v>1822</v>
      </c>
      <c r="B33" s="16" t="s">
        <v>1823</v>
      </c>
      <c r="C33" s="16" t="s">
        <v>1778</v>
      </c>
      <c r="D33" s="16" t="s">
        <v>50</v>
      </c>
      <c r="E33" s="16" t="s">
        <v>555</v>
      </c>
      <c r="H33" s="16" t="s">
        <v>33</v>
      </c>
    </row>
    <row r="34" spans="1:8" x14ac:dyDescent="0.3">
      <c r="A34" s="16" t="s">
        <v>1822</v>
      </c>
      <c r="B34" s="16" t="s">
        <v>1824</v>
      </c>
      <c r="C34" s="16" t="s">
        <v>1778</v>
      </c>
      <c r="D34" s="16" t="s">
        <v>18</v>
      </c>
      <c r="E34" s="16" t="s">
        <v>555</v>
      </c>
      <c r="G34" s="16" t="s">
        <v>1770</v>
      </c>
      <c r="H34" s="16" t="s">
        <v>33</v>
      </c>
    </row>
    <row r="35" spans="1:8" x14ac:dyDescent="0.3">
      <c r="A35" s="16" t="s">
        <v>1825</v>
      </c>
      <c r="B35" s="16" t="s">
        <v>1826</v>
      </c>
      <c r="C35" s="16" t="s">
        <v>1778</v>
      </c>
      <c r="D35" s="16" t="s">
        <v>50</v>
      </c>
      <c r="E35" s="16" t="s">
        <v>555</v>
      </c>
      <c r="H35" s="16" t="s">
        <v>33</v>
      </c>
    </row>
    <row r="36" spans="1:8" x14ac:dyDescent="0.3">
      <c r="A36" s="16" t="s">
        <v>1825</v>
      </c>
      <c r="B36" s="16" t="s">
        <v>1827</v>
      </c>
      <c r="C36" s="16" t="s">
        <v>1778</v>
      </c>
      <c r="D36" s="16" t="s">
        <v>18</v>
      </c>
      <c r="E36" s="16" t="s">
        <v>555</v>
      </c>
      <c r="G36" s="16" t="s">
        <v>1770</v>
      </c>
      <c r="H36" s="16" t="s">
        <v>33</v>
      </c>
    </row>
    <row r="37" spans="1:8" x14ac:dyDescent="0.3">
      <c r="A37" s="16" t="s">
        <v>1828</v>
      </c>
      <c r="B37" s="16" t="s">
        <v>1829</v>
      </c>
      <c r="C37" s="16" t="s">
        <v>1778</v>
      </c>
      <c r="D37" s="16" t="s">
        <v>50</v>
      </c>
      <c r="E37" s="16" t="s">
        <v>555</v>
      </c>
      <c r="H37" s="16" t="s">
        <v>33</v>
      </c>
    </row>
    <row r="38" spans="1:8" x14ac:dyDescent="0.3">
      <c r="A38" s="16" t="s">
        <v>1828</v>
      </c>
      <c r="B38" s="16" t="s">
        <v>1830</v>
      </c>
      <c r="C38" s="16" t="s">
        <v>1778</v>
      </c>
      <c r="D38" s="16" t="s">
        <v>18</v>
      </c>
      <c r="E38" s="16" t="s">
        <v>555</v>
      </c>
      <c r="G38" s="16" t="s">
        <v>1770</v>
      </c>
      <c r="H38" s="16" t="s">
        <v>33</v>
      </c>
    </row>
    <row r="39" spans="1:8" x14ac:dyDescent="0.3">
      <c r="A39" s="16" t="s">
        <v>1831</v>
      </c>
      <c r="B39" s="16" t="s">
        <v>1832</v>
      </c>
      <c r="C39" s="16" t="s">
        <v>1778</v>
      </c>
      <c r="D39" s="16" t="s">
        <v>50</v>
      </c>
      <c r="E39" s="16" t="s">
        <v>555</v>
      </c>
      <c r="H39" s="16" t="s">
        <v>33</v>
      </c>
    </row>
    <row r="40" spans="1:8" x14ac:dyDescent="0.3">
      <c r="A40" s="16" t="s">
        <v>1831</v>
      </c>
      <c r="B40" s="16" t="s">
        <v>1833</v>
      </c>
      <c r="C40" s="16" t="s">
        <v>1778</v>
      </c>
      <c r="D40" s="16" t="s">
        <v>18</v>
      </c>
      <c r="E40" s="16" t="s">
        <v>555</v>
      </c>
      <c r="G40" s="16" t="s">
        <v>1770</v>
      </c>
      <c r="H40" s="16" t="s">
        <v>33</v>
      </c>
    </row>
    <row r="41" spans="1:8" x14ac:dyDescent="0.3">
      <c r="A41" s="16" t="s">
        <v>1834</v>
      </c>
      <c r="B41" s="16" t="s">
        <v>1835</v>
      </c>
      <c r="C41" s="16" t="s">
        <v>1778</v>
      </c>
      <c r="D41" s="16" t="s">
        <v>18</v>
      </c>
      <c r="E41" s="16" t="s">
        <v>555</v>
      </c>
      <c r="G41" s="16" t="s">
        <v>1770</v>
      </c>
      <c r="H41" s="16" t="s">
        <v>33</v>
      </c>
    </row>
    <row r="42" spans="1:8" x14ac:dyDescent="0.3">
      <c r="A42" s="16" t="s">
        <v>1836</v>
      </c>
      <c r="B42" s="16" t="s">
        <v>1837</v>
      </c>
      <c r="C42" s="16" t="s">
        <v>1778</v>
      </c>
      <c r="D42" s="16" t="s">
        <v>18</v>
      </c>
      <c r="E42" s="16" t="s">
        <v>555</v>
      </c>
      <c r="G42" s="16" t="s">
        <v>1770</v>
      </c>
      <c r="H42" s="16" t="s">
        <v>33</v>
      </c>
    </row>
    <row r="43" spans="1:8" x14ac:dyDescent="0.3">
      <c r="A43" s="16" t="s">
        <v>1838</v>
      </c>
      <c r="B43" s="16" t="s">
        <v>1839</v>
      </c>
      <c r="C43" s="16" t="s">
        <v>1778</v>
      </c>
      <c r="D43" s="16" t="s">
        <v>18</v>
      </c>
      <c r="E43" s="16" t="s">
        <v>555</v>
      </c>
      <c r="G43" s="16" t="s">
        <v>1770</v>
      </c>
      <c r="H43" s="16" t="s">
        <v>33</v>
      </c>
    </row>
    <row r="44" spans="1:8" x14ac:dyDescent="0.3">
      <c r="A44" s="16" t="s">
        <v>1840</v>
      </c>
      <c r="B44" s="16" t="s">
        <v>1841</v>
      </c>
      <c r="C44" s="16" t="s">
        <v>1778</v>
      </c>
      <c r="D44" s="16" t="s">
        <v>50</v>
      </c>
      <c r="E44" s="16" t="s">
        <v>555</v>
      </c>
      <c r="H44" s="16" t="s">
        <v>33</v>
      </c>
    </row>
    <row r="45" spans="1:8" x14ac:dyDescent="0.3">
      <c r="A45" s="16" t="s">
        <v>1842</v>
      </c>
      <c r="B45" s="16" t="s">
        <v>1843</v>
      </c>
      <c r="C45" s="16" t="s">
        <v>1778</v>
      </c>
      <c r="D45" s="16" t="s">
        <v>50</v>
      </c>
      <c r="E45" s="16" t="s">
        <v>555</v>
      </c>
      <c r="H45" s="16" t="s">
        <v>33</v>
      </c>
    </row>
    <row r="46" spans="1:8" x14ac:dyDescent="0.3">
      <c r="A46" s="16" t="s">
        <v>1844</v>
      </c>
      <c r="B46" s="16" t="s">
        <v>1845</v>
      </c>
      <c r="C46" s="16" t="s">
        <v>1778</v>
      </c>
      <c r="D46" s="16" t="s">
        <v>50</v>
      </c>
      <c r="E46" s="16" t="s">
        <v>555</v>
      </c>
      <c r="H46" s="16" t="s">
        <v>33</v>
      </c>
    </row>
    <row r="47" spans="1:8" x14ac:dyDescent="0.3">
      <c r="A47" s="16" t="s">
        <v>1846</v>
      </c>
      <c r="B47" s="16" t="s">
        <v>1847</v>
      </c>
      <c r="C47" s="16" t="s">
        <v>1778</v>
      </c>
      <c r="D47" s="16" t="s">
        <v>50</v>
      </c>
      <c r="E47" s="16" t="s">
        <v>555</v>
      </c>
      <c r="H47" s="16" t="s">
        <v>33</v>
      </c>
    </row>
    <row r="48" spans="1:8" x14ac:dyDescent="0.3">
      <c r="A48" s="16" t="s">
        <v>1846</v>
      </c>
      <c r="B48" s="16" t="s">
        <v>1848</v>
      </c>
      <c r="C48" s="16" t="s">
        <v>1778</v>
      </c>
      <c r="D48" s="16" t="s">
        <v>18</v>
      </c>
      <c r="E48" s="16" t="s">
        <v>555</v>
      </c>
      <c r="G48" s="16" t="s">
        <v>1770</v>
      </c>
      <c r="H48" s="16" t="s">
        <v>33</v>
      </c>
    </row>
    <row r="49" spans="1:8" x14ac:dyDescent="0.3">
      <c r="A49" s="16" t="s">
        <v>1849</v>
      </c>
      <c r="B49" s="16" t="s">
        <v>1850</v>
      </c>
      <c r="C49" s="16" t="s">
        <v>1778</v>
      </c>
      <c r="D49" s="16" t="s">
        <v>50</v>
      </c>
      <c r="E49" s="16" t="s">
        <v>555</v>
      </c>
      <c r="H49" s="16" t="s">
        <v>33</v>
      </c>
    </row>
    <row r="50" spans="1:8" x14ac:dyDescent="0.3">
      <c r="A50" s="16" t="s">
        <v>1849</v>
      </c>
      <c r="B50" s="16" t="s">
        <v>1851</v>
      </c>
      <c r="C50" s="16" t="s">
        <v>1778</v>
      </c>
      <c r="D50" s="16" t="s">
        <v>18</v>
      </c>
      <c r="E50" s="16" t="s">
        <v>555</v>
      </c>
      <c r="G50" s="16" t="s">
        <v>1770</v>
      </c>
      <c r="H50" s="16" t="s">
        <v>33</v>
      </c>
    </row>
    <row r="51" spans="1:8" x14ac:dyDescent="0.3">
      <c r="A51" s="16" t="s">
        <v>1852</v>
      </c>
      <c r="B51" s="16" t="s">
        <v>1853</v>
      </c>
      <c r="C51" s="16" t="s">
        <v>1778</v>
      </c>
      <c r="D51" s="16" t="s">
        <v>50</v>
      </c>
      <c r="E51" s="16" t="s">
        <v>555</v>
      </c>
      <c r="H51" s="16" t="s">
        <v>33</v>
      </c>
    </row>
    <row r="52" spans="1:8" x14ac:dyDescent="0.3">
      <c r="A52" s="16" t="s">
        <v>1852</v>
      </c>
      <c r="B52" s="16" t="s">
        <v>1854</v>
      </c>
      <c r="C52" s="16" t="s">
        <v>1778</v>
      </c>
      <c r="D52" s="16" t="s">
        <v>18</v>
      </c>
      <c r="E52" s="16" t="s">
        <v>555</v>
      </c>
      <c r="G52" s="16" t="s">
        <v>1770</v>
      </c>
      <c r="H52" s="16" t="s">
        <v>33</v>
      </c>
    </row>
    <row r="53" spans="1:8" x14ac:dyDescent="0.3">
      <c r="A53" s="16" t="s">
        <v>1855</v>
      </c>
      <c r="B53" s="16" t="s">
        <v>1856</v>
      </c>
      <c r="C53" s="16" t="s">
        <v>1778</v>
      </c>
      <c r="D53" s="16" t="s">
        <v>50</v>
      </c>
      <c r="E53" s="16" t="s">
        <v>555</v>
      </c>
      <c r="H53" s="16" t="s">
        <v>33</v>
      </c>
    </row>
    <row r="54" spans="1:8" x14ac:dyDescent="0.3">
      <c r="A54" s="16" t="s">
        <v>1855</v>
      </c>
      <c r="B54" s="16" t="s">
        <v>1857</v>
      </c>
      <c r="C54" s="16" t="s">
        <v>1778</v>
      </c>
      <c r="D54" s="16" t="s">
        <v>18</v>
      </c>
      <c r="E54" s="16" t="s">
        <v>555</v>
      </c>
      <c r="G54" s="16" t="s">
        <v>1770</v>
      </c>
      <c r="H54" s="16" t="s">
        <v>33</v>
      </c>
    </row>
    <row r="55" spans="1:8" x14ac:dyDescent="0.3">
      <c r="A55" s="16" t="s">
        <v>1858</v>
      </c>
      <c r="B55" s="16" t="s">
        <v>1859</v>
      </c>
      <c r="C55" s="16" t="s">
        <v>1778</v>
      </c>
      <c r="D55" s="16" t="s">
        <v>50</v>
      </c>
      <c r="E55" s="16" t="s">
        <v>555</v>
      </c>
      <c r="H55" s="16" t="s">
        <v>33</v>
      </c>
    </row>
    <row r="56" spans="1:8" x14ac:dyDescent="0.3">
      <c r="A56" s="16" t="s">
        <v>1858</v>
      </c>
      <c r="B56" s="16" t="s">
        <v>1860</v>
      </c>
      <c r="C56" s="16" t="s">
        <v>1778</v>
      </c>
      <c r="D56" s="16" t="s">
        <v>18</v>
      </c>
      <c r="E56" s="16" t="s">
        <v>555</v>
      </c>
      <c r="G56" s="16" t="s">
        <v>1770</v>
      </c>
      <c r="H56" s="16" t="s">
        <v>33</v>
      </c>
    </row>
    <row r="57" spans="1:8" x14ac:dyDescent="0.3">
      <c r="A57" s="16" t="s">
        <v>1861</v>
      </c>
      <c r="B57" s="16" t="s">
        <v>1862</v>
      </c>
      <c r="C57" s="16" t="s">
        <v>1778</v>
      </c>
      <c r="D57" s="16" t="s">
        <v>50</v>
      </c>
      <c r="E57" s="16" t="s">
        <v>555</v>
      </c>
      <c r="H57" s="16" t="s">
        <v>33</v>
      </c>
    </row>
    <row r="58" spans="1:8" x14ac:dyDescent="0.3">
      <c r="A58" s="16" t="s">
        <v>1861</v>
      </c>
      <c r="B58" s="16" t="s">
        <v>1863</v>
      </c>
      <c r="C58" s="16" t="s">
        <v>1778</v>
      </c>
      <c r="D58" s="16" t="s">
        <v>18</v>
      </c>
      <c r="E58" s="16" t="s">
        <v>555</v>
      </c>
      <c r="G58" s="16" t="s">
        <v>1770</v>
      </c>
      <c r="H58" s="16" t="s">
        <v>33</v>
      </c>
    </row>
    <row r="59" spans="1:8" x14ac:dyDescent="0.3">
      <c r="A59" s="16" t="s">
        <v>1864</v>
      </c>
      <c r="B59" s="16" t="s">
        <v>1865</v>
      </c>
      <c r="C59" s="16" t="s">
        <v>1778</v>
      </c>
      <c r="D59" s="16" t="s">
        <v>18</v>
      </c>
      <c r="E59" s="16" t="s">
        <v>555</v>
      </c>
      <c r="G59" s="16" t="s">
        <v>1770</v>
      </c>
      <c r="H59" s="16" t="s">
        <v>33</v>
      </c>
    </row>
    <row r="60" spans="1:8" x14ac:dyDescent="0.3">
      <c r="A60" s="16" t="s">
        <v>1866</v>
      </c>
      <c r="B60" s="16" t="s">
        <v>1867</v>
      </c>
      <c r="C60" s="16" t="s">
        <v>1778</v>
      </c>
      <c r="D60" s="16" t="s">
        <v>18</v>
      </c>
      <c r="E60" s="16" t="s">
        <v>555</v>
      </c>
      <c r="G60" s="16" t="s">
        <v>1770</v>
      </c>
      <c r="H60" s="16" t="s">
        <v>33</v>
      </c>
    </row>
    <row r="61" spans="1:8" x14ac:dyDescent="0.3">
      <c r="A61" s="16" t="s">
        <v>1868</v>
      </c>
      <c r="B61" s="16" t="s">
        <v>1869</v>
      </c>
      <c r="C61" s="16" t="s">
        <v>1778</v>
      </c>
      <c r="D61" s="16" t="s">
        <v>18</v>
      </c>
      <c r="E61" s="16" t="s">
        <v>555</v>
      </c>
      <c r="G61" s="16" t="s">
        <v>1770</v>
      </c>
      <c r="H61" s="16" t="s">
        <v>33</v>
      </c>
    </row>
    <row r="62" spans="1:8" x14ac:dyDescent="0.3">
      <c r="A62" s="16" t="s">
        <v>1870</v>
      </c>
      <c r="B62" s="16" t="s">
        <v>1871</v>
      </c>
      <c r="C62" s="16" t="s">
        <v>1778</v>
      </c>
      <c r="D62" s="16" t="s">
        <v>18</v>
      </c>
      <c r="E62" s="16" t="s">
        <v>555</v>
      </c>
      <c r="G62" s="16" t="s">
        <v>1770</v>
      </c>
      <c r="H62" s="16" t="s">
        <v>33</v>
      </c>
    </row>
    <row r="63" spans="1:8" x14ac:dyDescent="0.3">
      <c r="A63" s="16" t="s">
        <v>1872</v>
      </c>
      <c r="B63" s="16" t="s">
        <v>1873</v>
      </c>
      <c r="C63" s="16" t="s">
        <v>1778</v>
      </c>
      <c r="D63" s="16" t="s">
        <v>18</v>
      </c>
      <c r="E63" s="16" t="s">
        <v>555</v>
      </c>
      <c r="G63" s="16" t="s">
        <v>1770</v>
      </c>
      <c r="H63" s="16" t="s">
        <v>33</v>
      </c>
    </row>
    <row r="64" spans="1:8" x14ac:dyDescent="0.3">
      <c r="A64" s="16" t="s">
        <v>1874</v>
      </c>
      <c r="B64" s="16" t="s">
        <v>1875</v>
      </c>
      <c r="C64" s="16" t="s">
        <v>1778</v>
      </c>
      <c r="D64" s="16" t="s">
        <v>18</v>
      </c>
      <c r="E64" s="16" t="s">
        <v>555</v>
      </c>
      <c r="G64" s="16" t="s">
        <v>1770</v>
      </c>
      <c r="H64" s="16" t="s">
        <v>33</v>
      </c>
    </row>
    <row r="65" spans="1:12" x14ac:dyDescent="0.3">
      <c r="A65" s="16" t="s">
        <v>1420</v>
      </c>
      <c r="B65" s="16" t="s">
        <v>1421</v>
      </c>
      <c r="C65" s="16" t="s">
        <v>1779</v>
      </c>
      <c r="D65" s="16" t="s">
        <v>18</v>
      </c>
      <c r="E65" s="16" t="s">
        <v>1791</v>
      </c>
      <c r="G65" s="16" t="s">
        <v>1127</v>
      </c>
      <c r="H65" s="16" t="s">
        <v>33</v>
      </c>
    </row>
    <row r="66" spans="1:12" x14ac:dyDescent="0.3">
      <c r="A66" s="16" t="s">
        <v>1876</v>
      </c>
      <c r="B66" s="16" t="s">
        <v>1877</v>
      </c>
      <c r="C66" s="16" t="s">
        <v>1779</v>
      </c>
      <c r="D66" s="16" t="s">
        <v>388</v>
      </c>
      <c r="E66" s="16" t="s">
        <v>539</v>
      </c>
      <c r="H66" s="16" t="s">
        <v>33</v>
      </c>
      <c r="J66" s="16" t="s">
        <v>32</v>
      </c>
      <c r="L66" s="16" t="s">
        <v>33</v>
      </c>
    </row>
    <row r="67" spans="1:12" x14ac:dyDescent="0.3">
      <c r="A67" s="16" t="s">
        <v>1422</v>
      </c>
      <c r="B67" s="16" t="s">
        <v>1423</v>
      </c>
      <c r="C67" s="16" t="s">
        <v>1779</v>
      </c>
      <c r="D67" s="16" t="s">
        <v>18</v>
      </c>
      <c r="E67" s="16" t="s">
        <v>539</v>
      </c>
      <c r="G67" s="16" t="s">
        <v>1127</v>
      </c>
      <c r="H67" s="16" t="s">
        <v>33</v>
      </c>
    </row>
    <row r="68" spans="1:12" x14ac:dyDescent="0.3">
      <c r="A68" s="16" t="s">
        <v>1422</v>
      </c>
      <c r="B68" s="16" t="s">
        <v>1878</v>
      </c>
      <c r="C68" s="16" t="s">
        <v>1779</v>
      </c>
      <c r="D68" s="16" t="s">
        <v>388</v>
      </c>
      <c r="E68" s="16" t="s">
        <v>539</v>
      </c>
      <c r="H68" s="16" t="s">
        <v>33</v>
      </c>
      <c r="J68" s="16" t="s">
        <v>32</v>
      </c>
    </row>
    <row r="69" spans="1:12" x14ac:dyDescent="0.3">
      <c r="A69" s="16" t="s">
        <v>1424</v>
      </c>
      <c r="B69" s="16" t="s">
        <v>1425</v>
      </c>
      <c r="C69" s="16" t="s">
        <v>1779</v>
      </c>
      <c r="D69" s="16" t="s">
        <v>18</v>
      </c>
      <c r="E69" s="16" t="s">
        <v>539</v>
      </c>
      <c r="G69" s="16" t="s">
        <v>1127</v>
      </c>
      <c r="H69" s="16" t="s">
        <v>33</v>
      </c>
    </row>
    <row r="70" spans="1:12" x14ac:dyDescent="0.3">
      <c r="A70" s="16" t="s">
        <v>1210</v>
      </c>
      <c r="B70" s="16" t="s">
        <v>1426</v>
      </c>
      <c r="C70" s="16" t="s">
        <v>1779</v>
      </c>
      <c r="D70" s="16" t="s">
        <v>18</v>
      </c>
      <c r="E70" s="16" t="s">
        <v>1791</v>
      </c>
      <c r="G70" s="16" t="s">
        <v>1103</v>
      </c>
      <c r="H70" s="16" t="s">
        <v>33</v>
      </c>
    </row>
    <row r="71" spans="1:12" x14ac:dyDescent="0.3">
      <c r="A71" s="16" t="s">
        <v>1210</v>
      </c>
      <c r="B71" s="16" t="s">
        <v>1211</v>
      </c>
      <c r="C71" s="16" t="s">
        <v>1778</v>
      </c>
      <c r="D71" s="16" t="s">
        <v>18</v>
      </c>
      <c r="E71" s="16" t="s">
        <v>1791</v>
      </c>
      <c r="G71" s="16" t="s">
        <v>1103</v>
      </c>
      <c r="H71" s="16" t="s">
        <v>33</v>
      </c>
    </row>
    <row r="72" spans="1:12" x14ac:dyDescent="0.3">
      <c r="A72" s="16" t="s">
        <v>1427</v>
      </c>
      <c r="B72" s="16" t="s">
        <v>1428</v>
      </c>
      <c r="C72" s="16" t="s">
        <v>1779</v>
      </c>
      <c r="D72" s="16" t="s">
        <v>18</v>
      </c>
      <c r="E72" s="16" t="s">
        <v>617</v>
      </c>
      <c r="G72" s="16" t="s">
        <v>1127</v>
      </c>
      <c r="H72" s="16" t="s">
        <v>33</v>
      </c>
    </row>
    <row r="73" spans="1:12" x14ac:dyDescent="0.3">
      <c r="A73" s="16" t="s">
        <v>1879</v>
      </c>
      <c r="B73" s="16" t="s">
        <v>1880</v>
      </c>
      <c r="C73" s="16" t="s">
        <v>1779</v>
      </c>
      <c r="D73" s="16" t="s">
        <v>18</v>
      </c>
      <c r="E73" s="16" t="s">
        <v>539</v>
      </c>
      <c r="G73" s="16" t="s">
        <v>1770</v>
      </c>
      <c r="H73" s="16" t="s">
        <v>33</v>
      </c>
    </row>
    <row r="74" spans="1:12" x14ac:dyDescent="0.3">
      <c r="A74" s="16" t="s">
        <v>1212</v>
      </c>
      <c r="B74" s="16" t="s">
        <v>1429</v>
      </c>
      <c r="C74" s="16" t="s">
        <v>1779</v>
      </c>
      <c r="D74" s="16" t="s">
        <v>18</v>
      </c>
      <c r="E74" s="16" t="s">
        <v>539</v>
      </c>
      <c r="G74" s="16" t="s">
        <v>1103</v>
      </c>
      <c r="H74" s="16" t="s">
        <v>33</v>
      </c>
    </row>
    <row r="75" spans="1:12" x14ac:dyDescent="0.3">
      <c r="A75" s="16" t="s">
        <v>1212</v>
      </c>
      <c r="B75" s="16" t="s">
        <v>1213</v>
      </c>
      <c r="C75" s="16" t="s">
        <v>1778</v>
      </c>
      <c r="D75" s="16" t="s">
        <v>18</v>
      </c>
      <c r="E75" s="16" t="s">
        <v>539</v>
      </c>
      <c r="G75" s="16" t="s">
        <v>1103</v>
      </c>
      <c r="H75" s="16" t="s">
        <v>33</v>
      </c>
    </row>
    <row r="76" spans="1:12" x14ac:dyDescent="0.3">
      <c r="A76" s="16" t="s">
        <v>300</v>
      </c>
      <c r="B76" s="16" t="s">
        <v>301</v>
      </c>
      <c r="C76" s="16" t="s">
        <v>1779</v>
      </c>
      <c r="D76" s="16" t="s">
        <v>18</v>
      </c>
      <c r="E76" s="16" t="s">
        <v>539</v>
      </c>
      <c r="G76" s="16" t="s">
        <v>1127</v>
      </c>
      <c r="H76" s="16" t="s">
        <v>33</v>
      </c>
    </row>
    <row r="77" spans="1:12" x14ac:dyDescent="0.3">
      <c r="A77" s="16" t="s">
        <v>304</v>
      </c>
      <c r="B77" s="16" t="s">
        <v>499</v>
      </c>
      <c r="C77" s="16" t="s">
        <v>1779</v>
      </c>
      <c r="D77" s="16" t="s">
        <v>50</v>
      </c>
      <c r="E77" s="16" t="s">
        <v>684</v>
      </c>
      <c r="H77" s="16" t="s">
        <v>33</v>
      </c>
    </row>
    <row r="78" spans="1:12" x14ac:dyDescent="0.3">
      <c r="A78" s="16" t="s">
        <v>1430</v>
      </c>
      <c r="B78" s="16" t="s">
        <v>1431</v>
      </c>
      <c r="C78" s="16" t="s">
        <v>1779</v>
      </c>
      <c r="D78" s="16" t="s">
        <v>18</v>
      </c>
      <c r="E78" s="16" t="s">
        <v>588</v>
      </c>
      <c r="G78" s="16" t="s">
        <v>1103</v>
      </c>
      <c r="H78" s="16" t="s">
        <v>33</v>
      </c>
    </row>
    <row r="79" spans="1:12" x14ac:dyDescent="0.3">
      <c r="A79" s="16" t="s">
        <v>1432</v>
      </c>
      <c r="B79" s="16" t="s">
        <v>1433</v>
      </c>
      <c r="C79" s="16" t="s">
        <v>1779</v>
      </c>
      <c r="D79" s="16" t="s">
        <v>18</v>
      </c>
      <c r="E79" s="16" t="s">
        <v>588</v>
      </c>
      <c r="G79" s="16" t="s">
        <v>1103</v>
      </c>
      <c r="H79" s="16" t="s">
        <v>33</v>
      </c>
    </row>
    <row r="80" spans="1:12" x14ac:dyDescent="0.3">
      <c r="A80" s="16" t="s">
        <v>1434</v>
      </c>
      <c r="B80" s="16" t="s">
        <v>1435</v>
      </c>
      <c r="C80" s="16" t="s">
        <v>1779</v>
      </c>
      <c r="D80" s="16" t="s">
        <v>133</v>
      </c>
      <c r="E80" s="16" t="s">
        <v>588</v>
      </c>
      <c r="H80" s="16" t="s">
        <v>33</v>
      </c>
    </row>
    <row r="81" spans="1:8" x14ac:dyDescent="0.3">
      <c r="A81" s="16" t="s">
        <v>1436</v>
      </c>
      <c r="B81" s="16" t="s">
        <v>1437</v>
      </c>
      <c r="C81" s="16" t="s">
        <v>1779</v>
      </c>
      <c r="D81" s="16" t="s">
        <v>133</v>
      </c>
      <c r="E81" s="16" t="s">
        <v>588</v>
      </c>
      <c r="H81" s="16" t="s">
        <v>33</v>
      </c>
    </row>
    <row r="82" spans="1:8" x14ac:dyDescent="0.3">
      <c r="A82" s="16" t="s">
        <v>1438</v>
      </c>
      <c r="B82" s="16" t="s">
        <v>1439</v>
      </c>
      <c r="C82" s="16" t="s">
        <v>1779</v>
      </c>
      <c r="D82" s="16" t="s">
        <v>18</v>
      </c>
      <c r="E82" s="16" t="s">
        <v>1791</v>
      </c>
      <c r="G82" s="16" t="s">
        <v>1127</v>
      </c>
      <c r="H82" s="16" t="s">
        <v>33</v>
      </c>
    </row>
    <row r="83" spans="1:8" x14ac:dyDescent="0.3">
      <c r="A83" s="16" t="s">
        <v>1440</v>
      </c>
      <c r="B83" s="16" t="s">
        <v>1441</v>
      </c>
      <c r="C83" s="16" t="s">
        <v>1779</v>
      </c>
      <c r="D83" s="16" t="s">
        <v>18</v>
      </c>
      <c r="E83" s="16" t="s">
        <v>1791</v>
      </c>
      <c r="G83" s="16" t="s">
        <v>1127</v>
      </c>
      <c r="H83" s="16" t="s">
        <v>33</v>
      </c>
    </row>
    <row r="84" spans="1:8" x14ac:dyDescent="0.3">
      <c r="A84" s="16" t="s">
        <v>1881</v>
      </c>
      <c r="B84" s="16" t="s">
        <v>1882</v>
      </c>
      <c r="C84" s="16" t="s">
        <v>1779</v>
      </c>
      <c r="D84" s="16" t="s">
        <v>50</v>
      </c>
      <c r="E84" s="16" t="s">
        <v>617</v>
      </c>
      <c r="H84" s="16" t="s">
        <v>33</v>
      </c>
    </row>
    <row r="85" spans="1:8" x14ac:dyDescent="0.3">
      <c r="A85" s="16" t="s">
        <v>1442</v>
      </c>
      <c r="B85" s="16" t="s">
        <v>1443</v>
      </c>
      <c r="C85" s="16" t="s">
        <v>1779</v>
      </c>
      <c r="D85" s="16" t="s">
        <v>18</v>
      </c>
      <c r="E85" s="16" t="s">
        <v>1791</v>
      </c>
      <c r="G85" s="16" t="s">
        <v>1127</v>
      </c>
      <c r="H85" s="16" t="s">
        <v>33</v>
      </c>
    </row>
    <row r="86" spans="1:8" x14ac:dyDescent="0.3">
      <c r="A86" s="16" t="s">
        <v>302</v>
      </c>
      <c r="B86" s="16" t="s">
        <v>303</v>
      </c>
      <c r="C86" s="16" t="s">
        <v>1779</v>
      </c>
      <c r="D86" s="16" t="s">
        <v>18</v>
      </c>
      <c r="E86" s="16" t="s">
        <v>617</v>
      </c>
      <c r="G86" s="16" t="s">
        <v>1127</v>
      </c>
      <c r="H86" s="16" t="s">
        <v>33</v>
      </c>
    </row>
    <row r="87" spans="1:8" x14ac:dyDescent="0.3">
      <c r="A87" s="16" t="s">
        <v>1883</v>
      </c>
      <c r="B87" s="16" t="s">
        <v>1884</v>
      </c>
      <c r="C87" s="16" t="s">
        <v>1808</v>
      </c>
      <c r="D87" s="16" t="s">
        <v>133</v>
      </c>
      <c r="E87" s="16" t="s">
        <v>1885</v>
      </c>
      <c r="H87" s="16" t="s">
        <v>33</v>
      </c>
    </row>
    <row r="88" spans="1:8" x14ac:dyDescent="0.3">
      <c r="A88" s="16" t="s">
        <v>1214</v>
      </c>
      <c r="B88" s="16" t="s">
        <v>1215</v>
      </c>
      <c r="C88" s="16" t="s">
        <v>1778</v>
      </c>
      <c r="D88" s="16" t="s">
        <v>18</v>
      </c>
      <c r="E88" s="16" t="s">
        <v>588</v>
      </c>
      <c r="G88" s="16" t="s">
        <v>1103</v>
      </c>
      <c r="H88" s="16" t="s">
        <v>33</v>
      </c>
    </row>
    <row r="89" spans="1:8" x14ac:dyDescent="0.3">
      <c r="A89" s="16" t="s">
        <v>1216</v>
      </c>
      <c r="B89" s="16" t="s">
        <v>1217</v>
      </c>
      <c r="C89" s="16" t="s">
        <v>1778</v>
      </c>
      <c r="D89" s="16" t="s">
        <v>18</v>
      </c>
      <c r="E89" s="16" t="s">
        <v>588</v>
      </c>
      <c r="G89" s="16" t="s">
        <v>1103</v>
      </c>
      <c r="H89" s="16" t="s">
        <v>33</v>
      </c>
    </row>
    <row r="90" spans="1:8" x14ac:dyDescent="0.3">
      <c r="A90" s="16" t="s">
        <v>1886</v>
      </c>
      <c r="B90" s="16" t="s">
        <v>1887</v>
      </c>
      <c r="C90" s="16" t="s">
        <v>1778</v>
      </c>
      <c r="D90" s="16" t="s">
        <v>133</v>
      </c>
      <c r="E90" s="16" t="s">
        <v>588</v>
      </c>
      <c r="H90" s="16" t="s">
        <v>33</v>
      </c>
    </row>
    <row r="91" spans="1:8" x14ac:dyDescent="0.3">
      <c r="A91" s="16" t="s">
        <v>1888</v>
      </c>
      <c r="B91" s="16" t="s">
        <v>1889</v>
      </c>
      <c r="C91" s="16" t="s">
        <v>1778</v>
      </c>
      <c r="D91" s="16" t="s">
        <v>133</v>
      </c>
      <c r="E91" s="16" t="s">
        <v>588</v>
      </c>
      <c r="H91" s="16" t="s">
        <v>33</v>
      </c>
    </row>
    <row r="92" spans="1:8" x14ac:dyDescent="0.3">
      <c r="A92" s="16" t="s">
        <v>1218</v>
      </c>
      <c r="B92" s="16" t="s">
        <v>1444</v>
      </c>
      <c r="C92" s="16" t="s">
        <v>1779</v>
      </c>
      <c r="D92" s="16" t="s">
        <v>18</v>
      </c>
      <c r="E92" s="16" t="s">
        <v>1791</v>
      </c>
      <c r="G92" s="16" t="s">
        <v>1103</v>
      </c>
      <c r="H92" s="16" t="s">
        <v>33</v>
      </c>
    </row>
    <row r="93" spans="1:8" x14ac:dyDescent="0.3">
      <c r="A93" s="16" t="s">
        <v>1218</v>
      </c>
      <c r="B93" s="16" t="s">
        <v>1219</v>
      </c>
      <c r="C93" s="16" t="s">
        <v>1778</v>
      </c>
      <c r="D93" s="16" t="s">
        <v>18</v>
      </c>
      <c r="E93" s="16" t="s">
        <v>1791</v>
      </c>
      <c r="G93" s="16" t="s">
        <v>1103</v>
      </c>
      <c r="H93" s="16" t="s">
        <v>33</v>
      </c>
    </row>
    <row r="94" spans="1:8" x14ac:dyDescent="0.3">
      <c r="A94" s="16" t="s">
        <v>1220</v>
      </c>
      <c r="B94" s="16" t="s">
        <v>1221</v>
      </c>
      <c r="C94" s="16" t="s">
        <v>1778</v>
      </c>
      <c r="D94" s="16" t="s">
        <v>18</v>
      </c>
      <c r="E94" s="16" t="s">
        <v>539</v>
      </c>
      <c r="G94" s="16" t="s">
        <v>1103</v>
      </c>
      <c r="H94" s="16" t="s">
        <v>33</v>
      </c>
    </row>
    <row r="95" spans="1:8" x14ac:dyDescent="0.3">
      <c r="A95" s="16" t="s">
        <v>1222</v>
      </c>
      <c r="B95" s="16" t="s">
        <v>1223</v>
      </c>
      <c r="C95" s="16" t="s">
        <v>1778</v>
      </c>
      <c r="D95" s="16" t="s">
        <v>18</v>
      </c>
      <c r="E95" s="16" t="s">
        <v>539</v>
      </c>
      <c r="G95" s="16" t="s">
        <v>1103</v>
      </c>
      <c r="H95" s="16" t="s">
        <v>33</v>
      </c>
    </row>
    <row r="96" spans="1:8" x14ac:dyDescent="0.3">
      <c r="A96" s="16" t="s">
        <v>1222</v>
      </c>
      <c r="B96" s="16" t="s">
        <v>1445</v>
      </c>
      <c r="C96" s="16" t="s">
        <v>1779</v>
      </c>
      <c r="D96" s="16" t="s">
        <v>18</v>
      </c>
      <c r="E96" s="16" t="s">
        <v>539</v>
      </c>
      <c r="G96" s="16" t="s">
        <v>1103</v>
      </c>
      <c r="H96" s="16" t="s">
        <v>33</v>
      </c>
    </row>
    <row r="97" spans="1:8" x14ac:dyDescent="0.3">
      <c r="A97" s="16" t="s">
        <v>1224</v>
      </c>
      <c r="B97" s="16" t="s">
        <v>1446</v>
      </c>
      <c r="C97" s="16" t="s">
        <v>1779</v>
      </c>
      <c r="D97" s="16" t="s">
        <v>18</v>
      </c>
      <c r="E97" s="16" t="s">
        <v>539</v>
      </c>
      <c r="G97" s="16" t="s">
        <v>1103</v>
      </c>
      <c r="H97" s="16" t="s">
        <v>33</v>
      </c>
    </row>
    <row r="98" spans="1:8" x14ac:dyDescent="0.3">
      <c r="A98" s="16" t="s">
        <v>1224</v>
      </c>
      <c r="B98" s="16" t="s">
        <v>1225</v>
      </c>
      <c r="C98" s="16" t="s">
        <v>1778</v>
      </c>
      <c r="D98" s="16" t="s">
        <v>18</v>
      </c>
      <c r="E98" s="16" t="s">
        <v>539</v>
      </c>
      <c r="G98" s="16" t="s">
        <v>1103</v>
      </c>
      <c r="H98" s="16" t="s">
        <v>33</v>
      </c>
    </row>
    <row r="99" spans="1:8" x14ac:dyDescent="0.3">
      <c r="A99" s="16" t="s">
        <v>1226</v>
      </c>
      <c r="B99" s="16" t="s">
        <v>1447</v>
      </c>
      <c r="C99" s="16" t="s">
        <v>1779</v>
      </c>
      <c r="D99" s="16" t="s">
        <v>18</v>
      </c>
      <c r="E99" s="16" t="s">
        <v>1791</v>
      </c>
      <c r="G99" s="16" t="s">
        <v>1103</v>
      </c>
      <c r="H99" s="16" t="s">
        <v>33</v>
      </c>
    </row>
    <row r="100" spans="1:8" x14ac:dyDescent="0.3">
      <c r="A100" s="16" t="s">
        <v>1226</v>
      </c>
      <c r="B100" s="16" t="s">
        <v>1227</v>
      </c>
      <c r="C100" s="16" t="s">
        <v>1778</v>
      </c>
      <c r="D100" s="16" t="s">
        <v>18</v>
      </c>
      <c r="E100" s="16" t="s">
        <v>1791</v>
      </c>
      <c r="G100" s="16" t="s">
        <v>1103</v>
      </c>
      <c r="H100" s="16" t="s">
        <v>33</v>
      </c>
    </row>
    <row r="101" spans="1:8" x14ac:dyDescent="0.3">
      <c r="A101" s="16" t="s">
        <v>1228</v>
      </c>
      <c r="B101" s="16" t="s">
        <v>1448</v>
      </c>
      <c r="C101" s="16" t="s">
        <v>1779</v>
      </c>
      <c r="D101" s="16" t="s">
        <v>18</v>
      </c>
      <c r="E101" s="16" t="s">
        <v>539</v>
      </c>
      <c r="G101" s="16" t="s">
        <v>1103</v>
      </c>
      <c r="H101" s="16" t="s">
        <v>33</v>
      </c>
    </row>
    <row r="102" spans="1:8" x14ac:dyDescent="0.3">
      <c r="A102" s="16" t="s">
        <v>1228</v>
      </c>
      <c r="B102" s="16" t="s">
        <v>1229</v>
      </c>
      <c r="C102" s="16" t="s">
        <v>1778</v>
      </c>
      <c r="D102" s="16" t="s">
        <v>18</v>
      </c>
      <c r="E102" s="16" t="s">
        <v>539</v>
      </c>
      <c r="G102" s="16" t="s">
        <v>1103</v>
      </c>
      <c r="H102" s="16" t="s">
        <v>33</v>
      </c>
    </row>
    <row r="103" spans="1:8" x14ac:dyDescent="0.3">
      <c r="A103" s="16" t="s">
        <v>1230</v>
      </c>
      <c r="B103" s="16" t="s">
        <v>1449</v>
      </c>
      <c r="C103" s="16" t="s">
        <v>1779</v>
      </c>
      <c r="D103" s="16" t="s">
        <v>18</v>
      </c>
      <c r="E103" s="16" t="s">
        <v>1791</v>
      </c>
      <c r="G103" s="16" t="s">
        <v>1103</v>
      </c>
      <c r="H103" s="16" t="s">
        <v>33</v>
      </c>
    </row>
    <row r="104" spans="1:8" x14ac:dyDescent="0.3">
      <c r="A104" s="16" t="s">
        <v>1230</v>
      </c>
      <c r="B104" s="16" t="s">
        <v>1231</v>
      </c>
      <c r="C104" s="16" t="s">
        <v>1778</v>
      </c>
      <c r="D104" s="16" t="s">
        <v>18</v>
      </c>
      <c r="E104" s="16" t="s">
        <v>1791</v>
      </c>
      <c r="G104" s="16" t="s">
        <v>1103</v>
      </c>
      <c r="H104" s="16" t="s">
        <v>33</v>
      </c>
    </row>
    <row r="105" spans="1:8" x14ac:dyDescent="0.3">
      <c r="A105" s="16" t="s">
        <v>1232</v>
      </c>
      <c r="B105" s="16" t="s">
        <v>1450</v>
      </c>
      <c r="C105" s="16" t="s">
        <v>1779</v>
      </c>
      <c r="D105" s="16" t="s">
        <v>18</v>
      </c>
      <c r="E105" s="16" t="s">
        <v>1791</v>
      </c>
      <c r="G105" s="16" t="s">
        <v>1103</v>
      </c>
      <c r="H105" s="16" t="s">
        <v>33</v>
      </c>
    </row>
    <row r="106" spans="1:8" x14ac:dyDescent="0.3">
      <c r="A106" s="16" t="s">
        <v>1232</v>
      </c>
      <c r="B106" s="16" t="s">
        <v>1233</v>
      </c>
      <c r="C106" s="16" t="s">
        <v>1778</v>
      </c>
      <c r="D106" s="16" t="s">
        <v>18</v>
      </c>
      <c r="E106" s="16" t="s">
        <v>1791</v>
      </c>
      <c r="G106" s="16" t="s">
        <v>1103</v>
      </c>
      <c r="H106" s="16" t="s">
        <v>33</v>
      </c>
    </row>
    <row r="107" spans="1:8" x14ac:dyDescent="0.3">
      <c r="A107" s="16" t="s">
        <v>1234</v>
      </c>
      <c r="B107" s="16" t="s">
        <v>1235</v>
      </c>
      <c r="C107" s="16" t="s">
        <v>1778</v>
      </c>
      <c r="D107" s="16" t="s">
        <v>18</v>
      </c>
      <c r="E107" s="16" t="s">
        <v>588</v>
      </c>
      <c r="G107" s="16" t="s">
        <v>1103</v>
      </c>
      <c r="H107" s="16" t="s">
        <v>33</v>
      </c>
    </row>
    <row r="108" spans="1:8" x14ac:dyDescent="0.3">
      <c r="A108" s="16" t="s">
        <v>1234</v>
      </c>
      <c r="B108" s="16" t="s">
        <v>1451</v>
      </c>
      <c r="C108" s="16" t="s">
        <v>1779</v>
      </c>
      <c r="D108" s="16" t="s">
        <v>18</v>
      </c>
      <c r="E108" s="16" t="s">
        <v>588</v>
      </c>
      <c r="G108" s="16" t="s">
        <v>1103</v>
      </c>
      <c r="H108" s="16" t="s">
        <v>33</v>
      </c>
    </row>
    <row r="109" spans="1:8" x14ac:dyDescent="0.3">
      <c r="A109" s="16" t="s">
        <v>1236</v>
      </c>
      <c r="B109" s="16" t="s">
        <v>1237</v>
      </c>
      <c r="C109" s="16" t="s">
        <v>1778</v>
      </c>
      <c r="D109" s="16" t="s">
        <v>18</v>
      </c>
      <c r="E109" s="16" t="s">
        <v>588</v>
      </c>
      <c r="G109" s="16" t="s">
        <v>1103</v>
      </c>
      <c r="H109" s="16" t="s">
        <v>33</v>
      </c>
    </row>
    <row r="110" spans="1:8" x14ac:dyDescent="0.3">
      <c r="A110" s="16" t="s">
        <v>1236</v>
      </c>
      <c r="B110" s="16" t="s">
        <v>1452</v>
      </c>
      <c r="C110" s="16" t="s">
        <v>1779</v>
      </c>
      <c r="D110" s="16" t="s">
        <v>18</v>
      </c>
      <c r="E110" s="16" t="s">
        <v>588</v>
      </c>
      <c r="G110" s="16" t="s">
        <v>1103</v>
      </c>
      <c r="H110" s="16" t="s">
        <v>33</v>
      </c>
    </row>
    <row r="111" spans="1:8" x14ac:dyDescent="0.3">
      <c r="A111" s="16" t="s">
        <v>1238</v>
      </c>
      <c r="B111" s="16" t="s">
        <v>1453</v>
      </c>
      <c r="C111" s="16" t="s">
        <v>1779</v>
      </c>
      <c r="D111" s="16" t="s">
        <v>18</v>
      </c>
      <c r="E111" s="16" t="s">
        <v>1791</v>
      </c>
      <c r="G111" s="16" t="s">
        <v>1103</v>
      </c>
      <c r="H111" s="16" t="s">
        <v>33</v>
      </c>
    </row>
    <row r="112" spans="1:8" x14ac:dyDescent="0.3">
      <c r="A112" s="16" t="s">
        <v>1238</v>
      </c>
      <c r="B112" s="16" t="s">
        <v>1239</v>
      </c>
      <c r="C112" s="16" t="s">
        <v>1778</v>
      </c>
      <c r="D112" s="16" t="s">
        <v>18</v>
      </c>
      <c r="E112" s="16" t="s">
        <v>1791</v>
      </c>
      <c r="G112" s="16" t="s">
        <v>1103</v>
      </c>
      <c r="H112" s="16" t="s">
        <v>33</v>
      </c>
    </row>
    <row r="113" spans="1:8" x14ac:dyDescent="0.3">
      <c r="A113" s="16" t="s">
        <v>1240</v>
      </c>
      <c r="B113" s="16" t="s">
        <v>1454</v>
      </c>
      <c r="C113" s="16" t="s">
        <v>1779</v>
      </c>
      <c r="D113" s="16" t="s">
        <v>18</v>
      </c>
      <c r="E113" s="16" t="s">
        <v>1791</v>
      </c>
      <c r="G113" s="16" t="s">
        <v>1103</v>
      </c>
      <c r="H113" s="16" t="s">
        <v>33</v>
      </c>
    </row>
    <row r="114" spans="1:8" x14ac:dyDescent="0.3">
      <c r="A114" s="16" t="s">
        <v>1240</v>
      </c>
      <c r="B114" s="16" t="s">
        <v>1241</v>
      </c>
      <c r="C114" s="16" t="s">
        <v>1778</v>
      </c>
      <c r="D114" s="16" t="s">
        <v>18</v>
      </c>
      <c r="E114" s="16" t="s">
        <v>1791</v>
      </c>
      <c r="G114" s="16" t="s">
        <v>1103</v>
      </c>
      <c r="H114" s="16" t="s">
        <v>33</v>
      </c>
    </row>
    <row r="115" spans="1:8" x14ac:dyDescent="0.3">
      <c r="A115" s="16" t="s">
        <v>1242</v>
      </c>
      <c r="B115" s="16" t="s">
        <v>1243</v>
      </c>
      <c r="C115" s="16" t="s">
        <v>1778</v>
      </c>
      <c r="D115" s="16" t="s">
        <v>18</v>
      </c>
      <c r="E115" s="16" t="s">
        <v>1791</v>
      </c>
      <c r="G115" s="16" t="s">
        <v>1103</v>
      </c>
      <c r="H115" s="16" t="s">
        <v>33</v>
      </c>
    </row>
    <row r="116" spans="1:8" x14ac:dyDescent="0.3">
      <c r="A116" s="16" t="s">
        <v>1242</v>
      </c>
      <c r="B116" s="16" t="s">
        <v>1455</v>
      </c>
      <c r="C116" s="16" t="s">
        <v>1779</v>
      </c>
      <c r="D116" s="16" t="s">
        <v>18</v>
      </c>
      <c r="E116" s="16" t="s">
        <v>1791</v>
      </c>
      <c r="G116" s="16" t="s">
        <v>1103</v>
      </c>
      <c r="H116" s="16" t="s">
        <v>33</v>
      </c>
    </row>
    <row r="117" spans="1:8" x14ac:dyDescent="0.3">
      <c r="A117" s="16" t="s">
        <v>1244</v>
      </c>
      <c r="B117" s="16" t="s">
        <v>1456</v>
      </c>
      <c r="C117" s="16" t="s">
        <v>1779</v>
      </c>
      <c r="D117" s="16" t="s">
        <v>18</v>
      </c>
      <c r="E117" s="16" t="s">
        <v>588</v>
      </c>
      <c r="G117" s="16" t="s">
        <v>1103</v>
      </c>
      <c r="H117" s="16" t="s">
        <v>33</v>
      </c>
    </row>
    <row r="118" spans="1:8" x14ac:dyDescent="0.3">
      <c r="A118" s="16" t="s">
        <v>1244</v>
      </c>
      <c r="B118" s="16" t="s">
        <v>1245</v>
      </c>
      <c r="C118" s="16" t="s">
        <v>1778</v>
      </c>
      <c r="D118" s="16" t="s">
        <v>18</v>
      </c>
      <c r="E118" s="16" t="s">
        <v>588</v>
      </c>
      <c r="G118" s="16" t="s">
        <v>1103</v>
      </c>
      <c r="H118" s="16" t="s">
        <v>33</v>
      </c>
    </row>
    <row r="119" spans="1:8" x14ac:dyDescent="0.3">
      <c r="A119" s="16" t="s">
        <v>1246</v>
      </c>
      <c r="B119" s="16" t="s">
        <v>1457</v>
      </c>
      <c r="C119" s="16" t="s">
        <v>1779</v>
      </c>
      <c r="D119" s="16" t="s">
        <v>18</v>
      </c>
      <c r="E119" s="16" t="s">
        <v>588</v>
      </c>
      <c r="G119" s="16" t="s">
        <v>1103</v>
      </c>
      <c r="H119" s="16" t="s">
        <v>33</v>
      </c>
    </row>
    <row r="120" spans="1:8" x14ac:dyDescent="0.3">
      <c r="A120" s="16" t="s">
        <v>1246</v>
      </c>
      <c r="B120" s="16" t="s">
        <v>1247</v>
      </c>
      <c r="C120" s="16" t="s">
        <v>1778</v>
      </c>
      <c r="D120" s="16" t="s">
        <v>18</v>
      </c>
      <c r="E120" s="16" t="s">
        <v>588</v>
      </c>
      <c r="G120" s="16" t="s">
        <v>1103</v>
      </c>
      <c r="H120" s="16" t="s">
        <v>33</v>
      </c>
    </row>
    <row r="121" spans="1:8" x14ac:dyDescent="0.3">
      <c r="A121" s="16" t="s">
        <v>1248</v>
      </c>
      <c r="B121" s="16" t="s">
        <v>1249</v>
      </c>
      <c r="C121" s="16" t="s">
        <v>1778</v>
      </c>
      <c r="D121" s="16" t="s">
        <v>18</v>
      </c>
      <c r="E121" s="16" t="s">
        <v>1791</v>
      </c>
      <c r="G121" s="16" t="s">
        <v>1103</v>
      </c>
      <c r="H121" s="16" t="s">
        <v>33</v>
      </c>
    </row>
    <row r="122" spans="1:8" x14ac:dyDescent="0.3">
      <c r="A122" s="16" t="s">
        <v>1248</v>
      </c>
      <c r="B122" s="16" t="s">
        <v>1458</v>
      </c>
      <c r="C122" s="16" t="s">
        <v>1779</v>
      </c>
      <c r="D122" s="16" t="s">
        <v>18</v>
      </c>
      <c r="E122" s="16" t="s">
        <v>1791</v>
      </c>
      <c r="G122" s="16" t="s">
        <v>1103</v>
      </c>
      <c r="H122" s="16" t="s">
        <v>33</v>
      </c>
    </row>
    <row r="123" spans="1:8" x14ac:dyDescent="0.3">
      <c r="A123" s="16" t="s">
        <v>1250</v>
      </c>
      <c r="B123" s="16" t="s">
        <v>1251</v>
      </c>
      <c r="C123" s="16" t="s">
        <v>1778</v>
      </c>
      <c r="D123" s="16" t="s">
        <v>18</v>
      </c>
      <c r="E123" s="16" t="s">
        <v>1791</v>
      </c>
      <c r="G123" s="16" t="s">
        <v>1103</v>
      </c>
      <c r="H123" s="16" t="s">
        <v>33</v>
      </c>
    </row>
    <row r="124" spans="1:8" x14ac:dyDescent="0.3">
      <c r="A124" s="16" t="s">
        <v>1250</v>
      </c>
      <c r="B124" s="16" t="s">
        <v>1459</v>
      </c>
      <c r="C124" s="16" t="s">
        <v>1779</v>
      </c>
      <c r="D124" s="16" t="s">
        <v>18</v>
      </c>
      <c r="E124" s="16" t="s">
        <v>1791</v>
      </c>
      <c r="G124" s="16" t="s">
        <v>1103</v>
      </c>
      <c r="H124" s="16" t="s">
        <v>33</v>
      </c>
    </row>
    <row r="125" spans="1:8" x14ac:dyDescent="0.3">
      <c r="A125" s="16" t="s">
        <v>1252</v>
      </c>
      <c r="B125" s="16" t="s">
        <v>1460</v>
      </c>
      <c r="C125" s="16" t="s">
        <v>1779</v>
      </c>
      <c r="D125" s="16" t="s">
        <v>18</v>
      </c>
      <c r="E125" s="16" t="s">
        <v>1791</v>
      </c>
      <c r="G125" s="16" t="s">
        <v>1103</v>
      </c>
      <c r="H125" s="16" t="s">
        <v>33</v>
      </c>
    </row>
    <row r="126" spans="1:8" x14ac:dyDescent="0.3">
      <c r="A126" s="16" t="s">
        <v>1252</v>
      </c>
      <c r="B126" s="16" t="s">
        <v>1253</v>
      </c>
      <c r="C126" s="16" t="s">
        <v>1778</v>
      </c>
      <c r="D126" s="16" t="s">
        <v>18</v>
      </c>
      <c r="E126" s="16" t="s">
        <v>1791</v>
      </c>
      <c r="G126" s="16" t="s">
        <v>1103</v>
      </c>
      <c r="H126" s="16" t="s">
        <v>33</v>
      </c>
    </row>
    <row r="127" spans="1:8" x14ac:dyDescent="0.3">
      <c r="A127" s="16" t="s">
        <v>1254</v>
      </c>
      <c r="B127" s="16" t="s">
        <v>1255</v>
      </c>
      <c r="C127" s="16" t="s">
        <v>1778</v>
      </c>
      <c r="D127" s="16" t="s">
        <v>18</v>
      </c>
      <c r="E127" s="16" t="s">
        <v>1791</v>
      </c>
      <c r="G127" s="16" t="s">
        <v>1103</v>
      </c>
      <c r="H127" s="16" t="s">
        <v>33</v>
      </c>
    </row>
    <row r="128" spans="1:8" x14ac:dyDescent="0.3">
      <c r="A128" s="16" t="s">
        <v>1254</v>
      </c>
      <c r="B128" s="16" t="s">
        <v>1461</v>
      </c>
      <c r="C128" s="16" t="s">
        <v>1779</v>
      </c>
      <c r="D128" s="16" t="s">
        <v>18</v>
      </c>
      <c r="E128" s="16" t="s">
        <v>1791</v>
      </c>
      <c r="G128" s="16" t="s">
        <v>1103</v>
      </c>
      <c r="H128" s="16" t="s">
        <v>33</v>
      </c>
    </row>
    <row r="129" spans="1:10" x14ac:dyDescent="0.3">
      <c r="A129" s="16" t="s">
        <v>1256</v>
      </c>
      <c r="B129" s="16" t="s">
        <v>1257</v>
      </c>
      <c r="C129" s="16" t="s">
        <v>1778</v>
      </c>
      <c r="D129" s="16" t="s">
        <v>18</v>
      </c>
      <c r="E129" s="16" t="s">
        <v>588</v>
      </c>
      <c r="G129" s="16" t="s">
        <v>1103</v>
      </c>
      <c r="H129" s="16" t="s">
        <v>33</v>
      </c>
    </row>
    <row r="130" spans="1:10" x14ac:dyDescent="0.3">
      <c r="A130" s="16" t="s">
        <v>1256</v>
      </c>
      <c r="B130" s="16" t="s">
        <v>1462</v>
      </c>
      <c r="C130" s="16" t="s">
        <v>1779</v>
      </c>
      <c r="D130" s="16" t="s">
        <v>18</v>
      </c>
      <c r="E130" s="16" t="s">
        <v>588</v>
      </c>
      <c r="G130" s="16" t="s">
        <v>1103</v>
      </c>
      <c r="H130" s="16" t="s">
        <v>33</v>
      </c>
    </row>
    <row r="131" spans="1:10" x14ac:dyDescent="0.3">
      <c r="A131" s="16" t="s">
        <v>1258</v>
      </c>
      <c r="B131" s="16" t="s">
        <v>1463</v>
      </c>
      <c r="C131" s="16" t="s">
        <v>1779</v>
      </c>
      <c r="D131" s="16" t="s">
        <v>18</v>
      </c>
      <c r="E131" s="16" t="s">
        <v>588</v>
      </c>
      <c r="G131" s="16" t="s">
        <v>1103</v>
      </c>
      <c r="H131" s="16" t="s">
        <v>33</v>
      </c>
    </row>
    <row r="132" spans="1:10" x14ac:dyDescent="0.3">
      <c r="A132" s="16" t="s">
        <v>1258</v>
      </c>
      <c r="B132" s="16" t="s">
        <v>1259</v>
      </c>
      <c r="C132" s="16" t="s">
        <v>1778</v>
      </c>
      <c r="D132" s="16" t="s">
        <v>18</v>
      </c>
      <c r="E132" s="16" t="s">
        <v>588</v>
      </c>
      <c r="G132" s="16" t="s">
        <v>1103</v>
      </c>
      <c r="H132" s="16" t="s">
        <v>33</v>
      </c>
    </row>
    <row r="133" spans="1:10" x14ac:dyDescent="0.3">
      <c r="A133" s="16" t="s">
        <v>1260</v>
      </c>
      <c r="B133" s="16" t="s">
        <v>1464</v>
      </c>
      <c r="C133" s="16" t="s">
        <v>1779</v>
      </c>
      <c r="D133" s="16" t="s">
        <v>18</v>
      </c>
      <c r="E133" s="16" t="s">
        <v>539</v>
      </c>
      <c r="G133" s="16" t="s">
        <v>1103</v>
      </c>
      <c r="H133" s="16" t="s">
        <v>33</v>
      </c>
    </row>
    <row r="134" spans="1:10" x14ac:dyDescent="0.3">
      <c r="A134" s="16" t="s">
        <v>1260</v>
      </c>
      <c r="B134" s="16" t="s">
        <v>1261</v>
      </c>
      <c r="C134" s="16" t="s">
        <v>1778</v>
      </c>
      <c r="D134" s="16" t="s">
        <v>18</v>
      </c>
      <c r="E134" s="16" t="s">
        <v>539</v>
      </c>
      <c r="G134" s="16" t="s">
        <v>1103</v>
      </c>
      <c r="H134" s="16" t="s">
        <v>33</v>
      </c>
    </row>
    <row r="135" spans="1:10" x14ac:dyDescent="0.3">
      <c r="A135" s="16" t="s">
        <v>1262</v>
      </c>
      <c r="B135" s="16" t="s">
        <v>1465</v>
      </c>
      <c r="C135" s="16" t="s">
        <v>1779</v>
      </c>
      <c r="D135" s="16" t="s">
        <v>18</v>
      </c>
      <c r="E135" s="16" t="s">
        <v>588</v>
      </c>
      <c r="G135" s="16" t="s">
        <v>1103</v>
      </c>
      <c r="H135" s="16" t="s">
        <v>33</v>
      </c>
    </row>
    <row r="136" spans="1:10" x14ac:dyDescent="0.3">
      <c r="A136" s="16" t="s">
        <v>1262</v>
      </c>
      <c r="B136" s="16" t="s">
        <v>1263</v>
      </c>
      <c r="C136" s="16" t="s">
        <v>1778</v>
      </c>
      <c r="D136" s="16" t="s">
        <v>18</v>
      </c>
      <c r="E136" s="16" t="s">
        <v>588</v>
      </c>
      <c r="G136" s="16" t="s">
        <v>1103</v>
      </c>
      <c r="H136" s="16" t="s">
        <v>33</v>
      </c>
    </row>
    <row r="137" spans="1:10" x14ac:dyDescent="0.3">
      <c r="A137" s="16" t="s">
        <v>1264</v>
      </c>
      <c r="B137" s="16" t="s">
        <v>1265</v>
      </c>
      <c r="C137" s="16" t="s">
        <v>1778</v>
      </c>
      <c r="D137" s="16" t="s">
        <v>18</v>
      </c>
      <c r="E137" s="16" t="s">
        <v>539</v>
      </c>
      <c r="G137" s="16" t="s">
        <v>1103</v>
      </c>
      <c r="H137" s="16" t="s">
        <v>33</v>
      </c>
    </row>
    <row r="138" spans="1:10" x14ac:dyDescent="0.3">
      <c r="A138" s="16" t="s">
        <v>1264</v>
      </c>
      <c r="B138" s="16" t="s">
        <v>1466</v>
      </c>
      <c r="C138" s="16" t="s">
        <v>1779</v>
      </c>
      <c r="D138" s="16" t="s">
        <v>18</v>
      </c>
      <c r="E138" s="16" t="s">
        <v>539</v>
      </c>
      <c r="G138" s="16" t="s">
        <v>1103</v>
      </c>
      <c r="H138" s="16" t="s">
        <v>33</v>
      </c>
    </row>
    <row r="139" spans="1:10" x14ac:dyDescent="0.3">
      <c r="A139" s="16" t="s">
        <v>183</v>
      </c>
      <c r="B139" s="16" t="s">
        <v>184</v>
      </c>
      <c r="C139" s="16" t="s">
        <v>1779</v>
      </c>
      <c r="D139" s="16" t="s">
        <v>18</v>
      </c>
      <c r="E139" s="16" t="s">
        <v>617</v>
      </c>
      <c r="G139" s="16" t="s">
        <v>1127</v>
      </c>
      <c r="H139" s="16" t="s">
        <v>33</v>
      </c>
    </row>
    <row r="140" spans="1:10" x14ac:dyDescent="0.3">
      <c r="A140" s="16" t="s">
        <v>39</v>
      </c>
      <c r="B140" s="16" t="s">
        <v>3420</v>
      </c>
      <c r="C140" s="16" t="s">
        <v>1779</v>
      </c>
      <c r="D140" s="16" t="s">
        <v>18</v>
      </c>
      <c r="E140" s="16" t="s">
        <v>539</v>
      </c>
      <c r="G140" s="16" t="s">
        <v>1770</v>
      </c>
      <c r="H140" s="16" t="s">
        <v>33</v>
      </c>
    </row>
    <row r="141" spans="1:10" x14ac:dyDescent="0.3">
      <c r="A141" s="16" t="s">
        <v>39</v>
      </c>
      <c r="B141" s="16" t="s">
        <v>3421</v>
      </c>
      <c r="C141" s="16" t="s">
        <v>1778</v>
      </c>
      <c r="D141" s="16" t="s">
        <v>18</v>
      </c>
      <c r="E141" s="16" t="s">
        <v>539</v>
      </c>
      <c r="G141" s="16" t="s">
        <v>1770</v>
      </c>
      <c r="H141" s="16" t="s">
        <v>33</v>
      </c>
    </row>
    <row r="142" spans="1:10" x14ac:dyDescent="0.3">
      <c r="A142" s="16" t="s">
        <v>1890</v>
      </c>
      <c r="B142" s="16" t="s">
        <v>1891</v>
      </c>
      <c r="C142" s="16" t="s">
        <v>1777</v>
      </c>
      <c r="D142" s="16" t="s">
        <v>388</v>
      </c>
      <c r="E142" s="16" t="s">
        <v>539</v>
      </c>
      <c r="H142" s="16" t="s">
        <v>33</v>
      </c>
      <c r="J142" s="16" t="s">
        <v>32</v>
      </c>
    </row>
    <row r="143" spans="1:10" x14ac:dyDescent="0.3">
      <c r="A143" s="16" t="s">
        <v>1892</v>
      </c>
      <c r="B143" s="16" t="s">
        <v>1893</v>
      </c>
      <c r="C143" s="16" t="s">
        <v>1778</v>
      </c>
      <c r="D143" s="16" t="s">
        <v>18</v>
      </c>
      <c r="E143" s="16" t="s">
        <v>539</v>
      </c>
      <c r="G143" s="16" t="s">
        <v>1770</v>
      </c>
      <c r="H143" s="16" t="s">
        <v>33</v>
      </c>
    </row>
    <row r="144" spans="1:10" x14ac:dyDescent="0.3">
      <c r="A144" s="16" t="s">
        <v>1894</v>
      </c>
      <c r="B144" s="16" t="s">
        <v>1895</v>
      </c>
      <c r="C144" s="16" t="s">
        <v>1779</v>
      </c>
      <c r="D144" s="16" t="s">
        <v>18</v>
      </c>
      <c r="E144" s="16" t="s">
        <v>539</v>
      </c>
      <c r="G144" s="16" t="s">
        <v>1770</v>
      </c>
      <c r="H144" s="16" t="s">
        <v>33</v>
      </c>
    </row>
    <row r="145" spans="1:10" x14ac:dyDescent="0.3">
      <c r="A145" s="16" t="s">
        <v>1896</v>
      </c>
      <c r="B145" s="16" t="s">
        <v>1897</v>
      </c>
      <c r="C145" s="16" t="s">
        <v>1779</v>
      </c>
      <c r="D145" s="16" t="s">
        <v>133</v>
      </c>
      <c r="E145" s="16" t="s">
        <v>1791</v>
      </c>
      <c r="H145" s="16" t="s">
        <v>33</v>
      </c>
    </row>
    <row r="146" spans="1:10" x14ac:dyDescent="0.3">
      <c r="A146" s="16" t="s">
        <v>307</v>
      </c>
      <c r="B146" s="16" t="s">
        <v>150</v>
      </c>
      <c r="C146" s="16" t="s">
        <v>1779</v>
      </c>
      <c r="D146" s="16" t="s">
        <v>133</v>
      </c>
      <c r="E146" s="16" t="s">
        <v>539</v>
      </c>
      <c r="H146" s="16" t="s">
        <v>33</v>
      </c>
    </row>
    <row r="147" spans="1:10" x14ac:dyDescent="0.3">
      <c r="A147" s="16" t="s">
        <v>305</v>
      </c>
      <c r="B147" s="16" t="s">
        <v>306</v>
      </c>
      <c r="C147" s="16" t="s">
        <v>1779</v>
      </c>
      <c r="D147" s="16" t="s">
        <v>18</v>
      </c>
      <c r="E147" s="16" t="s">
        <v>539</v>
      </c>
      <c r="G147" s="16" t="s">
        <v>1770</v>
      </c>
      <c r="H147" s="16" t="s">
        <v>33</v>
      </c>
    </row>
    <row r="148" spans="1:10" x14ac:dyDescent="0.3">
      <c r="A148" s="16" t="s">
        <v>1900</v>
      </c>
      <c r="B148" s="16" t="s">
        <v>1901</v>
      </c>
      <c r="C148" s="16" t="s">
        <v>1779</v>
      </c>
      <c r="D148" s="16" t="s">
        <v>18</v>
      </c>
      <c r="E148" s="16" t="s">
        <v>539</v>
      </c>
      <c r="G148" s="16" t="s">
        <v>1770</v>
      </c>
      <c r="H148" s="16" t="s">
        <v>33</v>
      </c>
    </row>
    <row r="149" spans="1:10" x14ac:dyDescent="0.3">
      <c r="A149" s="16" t="s">
        <v>1902</v>
      </c>
      <c r="B149" s="16" t="s">
        <v>1903</v>
      </c>
      <c r="C149" s="16" t="s">
        <v>1808</v>
      </c>
      <c r="D149" s="16" t="s">
        <v>133</v>
      </c>
      <c r="E149" s="16" t="s">
        <v>1885</v>
      </c>
      <c r="H149" s="16" t="s">
        <v>33</v>
      </c>
    </row>
    <row r="150" spans="1:10" x14ac:dyDescent="0.3">
      <c r="A150" s="16" t="s">
        <v>1904</v>
      </c>
      <c r="B150" s="16" t="s">
        <v>1905</v>
      </c>
      <c r="C150" s="16" t="s">
        <v>1779</v>
      </c>
      <c r="D150" s="16" t="s">
        <v>133</v>
      </c>
      <c r="E150" s="16" t="s">
        <v>1791</v>
      </c>
      <c r="H150" s="16" t="s">
        <v>33</v>
      </c>
    </row>
    <row r="151" spans="1:10" x14ac:dyDescent="0.3">
      <c r="A151" s="16" t="s">
        <v>1906</v>
      </c>
      <c r="B151" s="16" t="s">
        <v>1907</v>
      </c>
      <c r="C151" s="16" t="s">
        <v>1779</v>
      </c>
      <c r="D151" s="16" t="s">
        <v>133</v>
      </c>
      <c r="E151" s="16" t="s">
        <v>661</v>
      </c>
      <c r="G151" s="16" t="s">
        <v>662</v>
      </c>
      <c r="H151" s="16" t="s">
        <v>33</v>
      </c>
    </row>
    <row r="152" spans="1:10" x14ac:dyDescent="0.3">
      <c r="A152" s="16" t="s">
        <v>1908</v>
      </c>
      <c r="B152" s="16" t="s">
        <v>1909</v>
      </c>
      <c r="C152" s="16" t="s">
        <v>1910</v>
      </c>
      <c r="D152" s="16" t="s">
        <v>388</v>
      </c>
      <c r="E152" s="16" t="s">
        <v>539</v>
      </c>
      <c r="H152" s="16" t="s">
        <v>33</v>
      </c>
      <c r="J152" s="16" t="s">
        <v>32</v>
      </c>
    </row>
    <row r="153" spans="1:10" x14ac:dyDescent="0.3">
      <c r="A153" s="16" t="s">
        <v>413</v>
      </c>
      <c r="B153" s="16" t="s">
        <v>414</v>
      </c>
      <c r="C153" s="16" t="s">
        <v>1777</v>
      </c>
      <c r="D153" s="16" t="s">
        <v>18</v>
      </c>
      <c r="E153" s="16" t="s">
        <v>539</v>
      </c>
      <c r="G153" s="16" t="s">
        <v>1127</v>
      </c>
      <c r="H153" s="16" t="s">
        <v>33</v>
      </c>
    </row>
    <row r="154" spans="1:10" x14ac:dyDescent="0.3">
      <c r="A154" s="16" t="s">
        <v>413</v>
      </c>
      <c r="B154" s="16" t="s">
        <v>1266</v>
      </c>
      <c r="C154" s="16" t="s">
        <v>1778</v>
      </c>
      <c r="D154" s="16" t="s">
        <v>18</v>
      </c>
      <c r="E154" s="16" t="s">
        <v>539</v>
      </c>
      <c r="G154" s="16" t="s">
        <v>1127</v>
      </c>
      <c r="H154" s="16" t="s">
        <v>33</v>
      </c>
    </row>
    <row r="155" spans="1:10" x14ac:dyDescent="0.3">
      <c r="A155" s="16" t="s">
        <v>413</v>
      </c>
      <c r="B155" s="16" t="s">
        <v>415</v>
      </c>
      <c r="C155" s="16" t="s">
        <v>1779</v>
      </c>
      <c r="D155" s="16" t="s">
        <v>18</v>
      </c>
      <c r="E155" s="16" t="s">
        <v>539</v>
      </c>
      <c r="G155" s="16" t="s">
        <v>1127</v>
      </c>
      <c r="H155" s="16" t="s">
        <v>33</v>
      </c>
    </row>
    <row r="156" spans="1:10" x14ac:dyDescent="0.3">
      <c r="A156" s="16" t="s">
        <v>1911</v>
      </c>
      <c r="B156" s="16" t="s">
        <v>1912</v>
      </c>
      <c r="C156" s="16" t="s">
        <v>1779</v>
      </c>
      <c r="D156" s="16" t="s">
        <v>133</v>
      </c>
      <c r="E156" s="16" t="s">
        <v>1791</v>
      </c>
      <c r="H156" s="16" t="s">
        <v>33</v>
      </c>
    </row>
    <row r="157" spans="1:10" x14ac:dyDescent="0.3">
      <c r="A157" s="16" t="s">
        <v>1913</v>
      </c>
      <c r="B157" s="16" t="s">
        <v>1914</v>
      </c>
      <c r="C157" s="16" t="s">
        <v>1915</v>
      </c>
      <c r="D157" s="16" t="s">
        <v>133</v>
      </c>
      <c r="E157" s="16" t="s">
        <v>1791</v>
      </c>
      <c r="H157" s="16" t="s">
        <v>33</v>
      </c>
    </row>
    <row r="158" spans="1:10" x14ac:dyDescent="0.3">
      <c r="A158" s="16" t="s">
        <v>1916</v>
      </c>
      <c r="B158" s="16" t="s">
        <v>1917</v>
      </c>
      <c r="C158" s="16" t="s">
        <v>1779</v>
      </c>
      <c r="D158" s="16" t="s">
        <v>388</v>
      </c>
      <c r="E158" s="16" t="s">
        <v>539</v>
      </c>
      <c r="H158" s="16" t="s">
        <v>33</v>
      </c>
      <c r="J158" s="16" t="s">
        <v>32</v>
      </c>
    </row>
    <row r="159" spans="1:10" x14ac:dyDescent="0.3">
      <c r="A159" s="16" t="s">
        <v>1918</v>
      </c>
      <c r="B159" s="16" t="s">
        <v>1919</v>
      </c>
      <c r="C159" s="16" t="s">
        <v>1779</v>
      </c>
      <c r="D159" s="16" t="s">
        <v>133</v>
      </c>
      <c r="E159" s="16" t="s">
        <v>661</v>
      </c>
      <c r="G159" s="16" t="s">
        <v>662</v>
      </c>
      <c r="H159" s="16" t="s">
        <v>33</v>
      </c>
    </row>
    <row r="160" spans="1:10" x14ac:dyDescent="0.3">
      <c r="A160" s="16" t="s">
        <v>1920</v>
      </c>
      <c r="B160" s="16" t="s">
        <v>1921</v>
      </c>
      <c r="C160" s="16" t="s">
        <v>1779</v>
      </c>
      <c r="D160" s="16" t="s">
        <v>133</v>
      </c>
      <c r="E160" s="16" t="s">
        <v>661</v>
      </c>
      <c r="G160" s="16" t="s">
        <v>662</v>
      </c>
      <c r="H160" s="16" t="s">
        <v>33</v>
      </c>
    </row>
    <row r="161" spans="1:10" x14ac:dyDescent="0.3">
      <c r="A161" s="16" t="s">
        <v>1922</v>
      </c>
      <c r="B161" s="16" t="s">
        <v>1923</v>
      </c>
      <c r="C161" s="16" t="s">
        <v>1779</v>
      </c>
      <c r="D161" s="16" t="s">
        <v>133</v>
      </c>
      <c r="E161" s="16" t="s">
        <v>661</v>
      </c>
      <c r="G161" s="16" t="s">
        <v>662</v>
      </c>
      <c r="H161" s="16" t="s">
        <v>33</v>
      </c>
    </row>
    <row r="162" spans="1:10" x14ac:dyDescent="0.3">
      <c r="A162" s="16" t="s">
        <v>1924</v>
      </c>
      <c r="B162" s="16" t="s">
        <v>1925</v>
      </c>
      <c r="C162" s="16" t="s">
        <v>1779</v>
      </c>
      <c r="D162" s="16" t="s">
        <v>133</v>
      </c>
      <c r="E162" s="16" t="s">
        <v>661</v>
      </c>
      <c r="G162" s="16" t="s">
        <v>662</v>
      </c>
      <c r="H162" s="16" t="s">
        <v>33</v>
      </c>
    </row>
    <row r="163" spans="1:10" x14ac:dyDescent="0.3">
      <c r="A163" s="16" t="s">
        <v>1926</v>
      </c>
      <c r="B163" s="16" t="s">
        <v>1927</v>
      </c>
      <c r="C163" s="16" t="s">
        <v>1779</v>
      </c>
      <c r="D163" s="16" t="s">
        <v>133</v>
      </c>
      <c r="E163" s="16" t="s">
        <v>661</v>
      </c>
      <c r="H163" s="16" t="s">
        <v>33</v>
      </c>
    </row>
    <row r="164" spans="1:10" x14ac:dyDescent="0.3">
      <c r="A164" s="16" t="s">
        <v>1926</v>
      </c>
      <c r="B164" s="16" t="s">
        <v>1928</v>
      </c>
      <c r="C164" s="16" t="s">
        <v>1915</v>
      </c>
      <c r="D164" s="16" t="s">
        <v>133</v>
      </c>
      <c r="E164" s="16" t="s">
        <v>661</v>
      </c>
      <c r="H164" s="16" t="s">
        <v>33</v>
      </c>
    </row>
    <row r="165" spans="1:10" x14ac:dyDescent="0.3">
      <c r="A165" s="16" t="s">
        <v>1929</v>
      </c>
      <c r="B165" s="16" t="s">
        <v>1930</v>
      </c>
      <c r="C165" s="16" t="s">
        <v>1779</v>
      </c>
      <c r="D165" s="16" t="s">
        <v>133</v>
      </c>
      <c r="E165" s="16" t="s">
        <v>661</v>
      </c>
      <c r="H165" s="16" t="s">
        <v>33</v>
      </c>
    </row>
    <row r="166" spans="1:10" x14ac:dyDescent="0.3">
      <c r="A166" s="16" t="s">
        <v>1929</v>
      </c>
      <c r="B166" s="16" t="s">
        <v>1931</v>
      </c>
      <c r="C166" s="16" t="s">
        <v>1778</v>
      </c>
      <c r="D166" s="16" t="s">
        <v>133</v>
      </c>
      <c r="E166" s="16" t="s">
        <v>661</v>
      </c>
      <c r="H166" s="16" t="s">
        <v>33</v>
      </c>
    </row>
    <row r="167" spans="1:10" x14ac:dyDescent="0.3">
      <c r="A167" s="16" t="s">
        <v>1932</v>
      </c>
      <c r="B167" s="16" t="s">
        <v>1933</v>
      </c>
      <c r="C167" s="16" t="s">
        <v>1779</v>
      </c>
      <c r="D167" s="16" t="s">
        <v>133</v>
      </c>
      <c r="E167" s="16" t="s">
        <v>255</v>
      </c>
      <c r="H167" s="16" t="s">
        <v>33</v>
      </c>
    </row>
    <row r="168" spans="1:10" x14ac:dyDescent="0.3">
      <c r="A168" s="16" t="s">
        <v>1934</v>
      </c>
      <c r="B168" s="16" t="s">
        <v>1935</v>
      </c>
      <c r="C168" s="16" t="s">
        <v>1779</v>
      </c>
      <c r="D168" s="16" t="s">
        <v>133</v>
      </c>
      <c r="E168" s="16" t="s">
        <v>661</v>
      </c>
      <c r="H168" s="16" t="s">
        <v>33</v>
      </c>
    </row>
    <row r="169" spans="1:10" x14ac:dyDescent="0.3">
      <c r="A169" s="16" t="s">
        <v>1934</v>
      </c>
      <c r="B169" s="16" t="s">
        <v>1936</v>
      </c>
      <c r="C169" s="16" t="s">
        <v>1915</v>
      </c>
      <c r="D169" s="16" t="s">
        <v>133</v>
      </c>
      <c r="E169" s="16" t="s">
        <v>661</v>
      </c>
      <c r="H169" s="16" t="s">
        <v>33</v>
      </c>
    </row>
    <row r="170" spans="1:10" x14ac:dyDescent="0.3">
      <c r="A170" s="16" t="s">
        <v>1937</v>
      </c>
      <c r="B170" s="16" t="s">
        <v>1938</v>
      </c>
      <c r="C170" s="16" t="s">
        <v>1779</v>
      </c>
      <c r="D170" s="16" t="s">
        <v>133</v>
      </c>
      <c r="E170" s="16" t="s">
        <v>661</v>
      </c>
      <c r="H170" s="16" t="s">
        <v>33</v>
      </c>
    </row>
    <row r="171" spans="1:10" x14ac:dyDescent="0.3">
      <c r="A171" s="16" t="s">
        <v>1939</v>
      </c>
      <c r="B171" s="16" t="s">
        <v>1940</v>
      </c>
      <c r="C171" s="16" t="s">
        <v>1779</v>
      </c>
      <c r="D171" s="16" t="s">
        <v>133</v>
      </c>
      <c r="E171" s="16" t="s">
        <v>588</v>
      </c>
      <c r="H171" s="16" t="s">
        <v>33</v>
      </c>
    </row>
    <row r="172" spans="1:10" x14ac:dyDescent="0.3">
      <c r="A172" s="16" t="s">
        <v>482</v>
      </c>
      <c r="B172" s="16" t="s">
        <v>192</v>
      </c>
      <c r="C172" s="16" t="s">
        <v>1779</v>
      </c>
      <c r="D172" s="16" t="s">
        <v>388</v>
      </c>
      <c r="E172" s="16" t="s">
        <v>539</v>
      </c>
      <c r="H172" s="16" t="s">
        <v>33</v>
      </c>
      <c r="J172" s="16" t="s">
        <v>32</v>
      </c>
    </row>
    <row r="173" spans="1:10" x14ac:dyDescent="0.3">
      <c r="A173" s="16" t="s">
        <v>1941</v>
      </c>
      <c r="B173" s="16" t="s">
        <v>1942</v>
      </c>
      <c r="C173" s="16" t="s">
        <v>1779</v>
      </c>
      <c r="D173" s="16" t="s">
        <v>133</v>
      </c>
      <c r="E173" s="16" t="s">
        <v>1791</v>
      </c>
      <c r="H173" s="16" t="s">
        <v>33</v>
      </c>
    </row>
    <row r="174" spans="1:10" x14ac:dyDescent="0.3">
      <c r="A174" s="16" t="s">
        <v>1943</v>
      </c>
      <c r="B174" s="16" t="s">
        <v>1944</v>
      </c>
      <c r="C174" s="16" t="s">
        <v>1779</v>
      </c>
      <c r="D174" s="16" t="s">
        <v>133</v>
      </c>
      <c r="E174" s="16" t="s">
        <v>1791</v>
      </c>
      <c r="H174" s="16" t="s">
        <v>33</v>
      </c>
    </row>
    <row r="175" spans="1:10" x14ac:dyDescent="0.3">
      <c r="A175" s="16" t="s">
        <v>1945</v>
      </c>
      <c r="B175" s="16" t="s">
        <v>1946</v>
      </c>
      <c r="C175" s="16" t="s">
        <v>1779</v>
      </c>
      <c r="D175" s="16" t="s">
        <v>133</v>
      </c>
      <c r="E175" s="16" t="s">
        <v>661</v>
      </c>
      <c r="H175" s="16" t="s">
        <v>33</v>
      </c>
    </row>
    <row r="176" spans="1:10" x14ac:dyDescent="0.3">
      <c r="A176" s="16" t="s">
        <v>1945</v>
      </c>
      <c r="B176" s="16" t="s">
        <v>1947</v>
      </c>
      <c r="C176" s="16" t="s">
        <v>1915</v>
      </c>
      <c r="D176" s="16" t="s">
        <v>133</v>
      </c>
      <c r="E176" s="16" t="s">
        <v>661</v>
      </c>
      <c r="H176" s="16" t="s">
        <v>33</v>
      </c>
    </row>
    <row r="177" spans="1:9" x14ac:dyDescent="0.3">
      <c r="A177" s="16" t="s">
        <v>1948</v>
      </c>
      <c r="B177" s="16" t="s">
        <v>1949</v>
      </c>
      <c r="C177" s="16" t="s">
        <v>1779</v>
      </c>
      <c r="D177" s="16" t="s">
        <v>133</v>
      </c>
      <c r="E177" s="16" t="s">
        <v>661</v>
      </c>
      <c r="H177" s="16" t="s">
        <v>33</v>
      </c>
    </row>
    <row r="178" spans="1:9" x14ac:dyDescent="0.3">
      <c r="A178" s="16" t="s">
        <v>1948</v>
      </c>
      <c r="B178" s="16" t="s">
        <v>1950</v>
      </c>
      <c r="C178" s="16" t="s">
        <v>1778</v>
      </c>
      <c r="D178" s="16" t="s">
        <v>133</v>
      </c>
      <c r="E178" s="16" t="s">
        <v>661</v>
      </c>
      <c r="H178" s="16" t="s">
        <v>33</v>
      </c>
    </row>
    <row r="179" spans="1:9" x14ac:dyDescent="0.3">
      <c r="A179" s="16" t="s">
        <v>1951</v>
      </c>
      <c r="B179" s="16" t="s">
        <v>1952</v>
      </c>
      <c r="C179" s="16" t="s">
        <v>1779</v>
      </c>
      <c r="D179" s="16" t="s">
        <v>133</v>
      </c>
      <c r="E179" s="16" t="s">
        <v>661</v>
      </c>
      <c r="H179" s="16" t="s">
        <v>33</v>
      </c>
    </row>
    <row r="180" spans="1:9" x14ac:dyDescent="0.3">
      <c r="A180" s="16" t="s">
        <v>1951</v>
      </c>
      <c r="B180" s="16" t="s">
        <v>1953</v>
      </c>
      <c r="C180" s="16" t="s">
        <v>1915</v>
      </c>
      <c r="D180" s="16" t="s">
        <v>133</v>
      </c>
      <c r="E180" s="16" t="s">
        <v>661</v>
      </c>
      <c r="H180" s="16" t="s">
        <v>33</v>
      </c>
    </row>
    <row r="181" spans="1:9" x14ac:dyDescent="0.3">
      <c r="A181" s="16" t="s">
        <v>1954</v>
      </c>
      <c r="B181" s="16" t="s">
        <v>1955</v>
      </c>
      <c r="C181" s="16" t="s">
        <v>1779</v>
      </c>
      <c r="D181" s="16" t="s">
        <v>133</v>
      </c>
      <c r="E181" s="16" t="s">
        <v>661</v>
      </c>
      <c r="H181" s="16" t="s">
        <v>33</v>
      </c>
    </row>
    <row r="182" spans="1:9" x14ac:dyDescent="0.3">
      <c r="A182" s="16" t="s">
        <v>1954</v>
      </c>
      <c r="B182" s="16" t="s">
        <v>1956</v>
      </c>
      <c r="C182" s="16" t="s">
        <v>1778</v>
      </c>
      <c r="D182" s="16" t="s">
        <v>133</v>
      </c>
      <c r="E182" s="16" t="s">
        <v>661</v>
      </c>
      <c r="H182" s="16" t="s">
        <v>33</v>
      </c>
    </row>
    <row r="183" spans="1:9" x14ac:dyDescent="0.3">
      <c r="A183" s="16" t="s">
        <v>1957</v>
      </c>
      <c r="B183" s="16" t="s">
        <v>1958</v>
      </c>
      <c r="C183" s="16" t="s">
        <v>1779</v>
      </c>
      <c r="D183" s="16" t="s">
        <v>133</v>
      </c>
      <c r="E183" s="16" t="s">
        <v>539</v>
      </c>
      <c r="H183" s="16" t="s">
        <v>33</v>
      </c>
    </row>
    <row r="184" spans="1:9" x14ac:dyDescent="0.3">
      <c r="A184" s="16" t="s">
        <v>1959</v>
      </c>
      <c r="B184" s="16" t="s">
        <v>1960</v>
      </c>
      <c r="C184" s="16" t="s">
        <v>1779</v>
      </c>
      <c r="D184" s="16" t="s">
        <v>133</v>
      </c>
      <c r="E184" s="16" t="s">
        <v>588</v>
      </c>
      <c r="H184" s="16" t="s">
        <v>33</v>
      </c>
    </row>
    <row r="185" spans="1:9" x14ac:dyDescent="0.3">
      <c r="A185" s="16" t="s">
        <v>1267</v>
      </c>
      <c r="B185" s="16" t="s">
        <v>1268</v>
      </c>
      <c r="C185" s="16" t="s">
        <v>1778</v>
      </c>
      <c r="D185" s="16" t="s">
        <v>18</v>
      </c>
      <c r="E185" s="16" t="s">
        <v>539</v>
      </c>
      <c r="G185" s="16" t="s">
        <v>1127</v>
      </c>
      <c r="H185" s="16" t="s">
        <v>33</v>
      </c>
    </row>
    <row r="186" spans="1:9" x14ac:dyDescent="0.3">
      <c r="A186" s="16" t="s">
        <v>1961</v>
      </c>
      <c r="B186" s="16" t="s">
        <v>1962</v>
      </c>
      <c r="C186" s="16" t="s">
        <v>1963</v>
      </c>
      <c r="D186" s="16" t="s">
        <v>18</v>
      </c>
      <c r="E186" s="16" t="s">
        <v>555</v>
      </c>
      <c r="G186" s="16" t="s">
        <v>1127</v>
      </c>
      <c r="H186" s="16" t="s">
        <v>33</v>
      </c>
    </row>
    <row r="187" spans="1:9" x14ac:dyDescent="0.3">
      <c r="A187" s="16" t="s">
        <v>1106</v>
      </c>
      <c r="B187" s="16" t="s">
        <v>1107</v>
      </c>
      <c r="C187" s="16" t="s">
        <v>1812</v>
      </c>
      <c r="D187" s="16" t="s">
        <v>18</v>
      </c>
      <c r="E187" s="16" t="s">
        <v>539</v>
      </c>
      <c r="G187" s="16" t="s">
        <v>1103</v>
      </c>
      <c r="H187" s="16" t="s">
        <v>33</v>
      </c>
    </row>
    <row r="188" spans="1:9" x14ac:dyDescent="0.3">
      <c r="A188" s="16" t="s">
        <v>1467</v>
      </c>
      <c r="B188" s="16" t="s">
        <v>1468</v>
      </c>
      <c r="C188" s="16" t="s">
        <v>1779</v>
      </c>
      <c r="D188" s="16" t="s">
        <v>18</v>
      </c>
      <c r="E188" s="16" t="s">
        <v>539</v>
      </c>
      <c r="G188" s="16" t="s">
        <v>1103</v>
      </c>
      <c r="H188" s="16" t="s">
        <v>33</v>
      </c>
    </row>
    <row r="189" spans="1:9" x14ac:dyDescent="0.3">
      <c r="A189" s="16" t="s">
        <v>24</v>
      </c>
      <c r="B189" s="16" t="s">
        <v>1166</v>
      </c>
      <c r="C189" s="16" t="s">
        <v>1777</v>
      </c>
      <c r="D189" s="16" t="s">
        <v>18</v>
      </c>
      <c r="E189" s="16" t="s">
        <v>539</v>
      </c>
      <c r="G189" s="16" t="s">
        <v>1127</v>
      </c>
      <c r="H189" s="16" t="s">
        <v>33</v>
      </c>
      <c r="I189" s="16" t="s">
        <v>33</v>
      </c>
    </row>
    <row r="190" spans="1:9" x14ac:dyDescent="0.3">
      <c r="A190" s="16" t="s">
        <v>24</v>
      </c>
      <c r="B190" s="16" t="s">
        <v>1269</v>
      </c>
      <c r="C190" s="16" t="s">
        <v>1778</v>
      </c>
      <c r="D190" s="16" t="s">
        <v>18</v>
      </c>
      <c r="E190" s="16" t="s">
        <v>539</v>
      </c>
      <c r="G190" s="16" t="s">
        <v>1103</v>
      </c>
      <c r="H190" s="16" t="s">
        <v>33</v>
      </c>
    </row>
    <row r="191" spans="1:9" x14ac:dyDescent="0.3">
      <c r="A191" s="16" t="s">
        <v>1964</v>
      </c>
      <c r="B191" s="16" t="s">
        <v>1965</v>
      </c>
      <c r="C191" s="16" t="s">
        <v>1779</v>
      </c>
      <c r="D191" s="16" t="s">
        <v>133</v>
      </c>
      <c r="E191" s="16" t="s">
        <v>661</v>
      </c>
      <c r="G191" s="16" t="s">
        <v>662</v>
      </c>
      <c r="H191" s="16" t="s">
        <v>33</v>
      </c>
    </row>
    <row r="192" spans="1:9" x14ac:dyDescent="0.3">
      <c r="A192" s="16" t="s">
        <v>1966</v>
      </c>
      <c r="B192" s="16" t="s">
        <v>1967</v>
      </c>
      <c r="C192" s="16" t="s">
        <v>1779</v>
      </c>
      <c r="D192" s="16" t="s">
        <v>133</v>
      </c>
      <c r="E192" s="16" t="s">
        <v>661</v>
      </c>
      <c r="G192" s="16" t="s">
        <v>662</v>
      </c>
      <c r="H192" s="16" t="s">
        <v>33</v>
      </c>
    </row>
    <row r="193" spans="1:12" x14ac:dyDescent="0.3">
      <c r="A193" s="16" t="s">
        <v>437</v>
      </c>
      <c r="B193" s="16" t="s">
        <v>320</v>
      </c>
      <c r="C193" s="16" t="s">
        <v>1779</v>
      </c>
      <c r="D193" s="16" t="s">
        <v>18</v>
      </c>
      <c r="E193" s="16" t="s">
        <v>539</v>
      </c>
      <c r="G193" s="16" t="s">
        <v>1127</v>
      </c>
      <c r="H193" s="16" t="s">
        <v>33</v>
      </c>
    </row>
    <row r="194" spans="1:12" x14ac:dyDescent="0.3">
      <c r="A194" s="16" t="s">
        <v>324</v>
      </c>
      <c r="B194" s="16" t="s">
        <v>325</v>
      </c>
      <c r="C194" s="16" t="s">
        <v>1779</v>
      </c>
      <c r="D194" s="16" t="s">
        <v>18</v>
      </c>
      <c r="E194" s="16" t="s">
        <v>539</v>
      </c>
      <c r="G194" s="16" t="s">
        <v>1127</v>
      </c>
      <c r="H194" s="16" t="s">
        <v>33</v>
      </c>
    </row>
    <row r="195" spans="1:12" x14ac:dyDescent="0.3">
      <c r="A195" s="16" t="s">
        <v>1968</v>
      </c>
      <c r="B195" s="16" t="s">
        <v>1969</v>
      </c>
      <c r="C195" s="16" t="s">
        <v>1915</v>
      </c>
      <c r="D195" s="16" t="s">
        <v>133</v>
      </c>
      <c r="E195" s="16" t="s">
        <v>539</v>
      </c>
      <c r="H195" s="16" t="s">
        <v>33</v>
      </c>
    </row>
    <row r="196" spans="1:12" x14ac:dyDescent="0.3">
      <c r="A196" s="16" t="s">
        <v>1968</v>
      </c>
      <c r="B196" s="16" t="s">
        <v>1970</v>
      </c>
      <c r="C196" s="16" t="s">
        <v>1778</v>
      </c>
      <c r="D196" s="16" t="s">
        <v>18</v>
      </c>
      <c r="E196" s="16" t="s">
        <v>539</v>
      </c>
      <c r="G196" s="16" t="s">
        <v>1770</v>
      </c>
      <c r="H196" s="16" t="s">
        <v>33</v>
      </c>
    </row>
    <row r="197" spans="1:12" x14ac:dyDescent="0.3">
      <c r="A197" s="16" t="s">
        <v>3422</v>
      </c>
      <c r="B197" s="16" t="s">
        <v>454</v>
      </c>
      <c r="C197" s="16" t="s">
        <v>1779</v>
      </c>
      <c r="D197" s="16" t="s">
        <v>388</v>
      </c>
      <c r="E197" s="16" t="s">
        <v>539</v>
      </c>
      <c r="H197" s="16" t="s">
        <v>33</v>
      </c>
      <c r="J197" s="16" t="s">
        <v>32</v>
      </c>
    </row>
    <row r="198" spans="1:12" x14ac:dyDescent="0.3">
      <c r="A198" s="16" t="s">
        <v>165</v>
      </c>
      <c r="B198" s="16" t="s">
        <v>166</v>
      </c>
      <c r="C198" s="16" t="s">
        <v>1779</v>
      </c>
      <c r="D198" s="16" t="s">
        <v>388</v>
      </c>
      <c r="E198" s="16" t="s">
        <v>539</v>
      </c>
      <c r="H198" s="16" t="s">
        <v>33</v>
      </c>
      <c r="J198" s="16" t="s">
        <v>32</v>
      </c>
    </row>
    <row r="199" spans="1:12" x14ac:dyDescent="0.3">
      <c r="A199" s="16" t="s">
        <v>1136</v>
      </c>
      <c r="B199" s="16" t="s">
        <v>1137</v>
      </c>
      <c r="C199" s="16" t="s">
        <v>1915</v>
      </c>
      <c r="D199" s="16" t="s">
        <v>18</v>
      </c>
      <c r="E199" s="16" t="s">
        <v>539</v>
      </c>
      <c r="G199" s="16" t="s">
        <v>1127</v>
      </c>
      <c r="H199" s="16" t="s">
        <v>33</v>
      </c>
    </row>
    <row r="200" spans="1:12" x14ac:dyDescent="0.3">
      <c r="A200" s="16" t="s">
        <v>38</v>
      </c>
      <c r="B200" s="16" t="s">
        <v>3423</v>
      </c>
      <c r="C200" s="16" t="s">
        <v>1779</v>
      </c>
      <c r="D200" s="16" t="s">
        <v>18</v>
      </c>
      <c r="E200" s="16" t="s">
        <v>539</v>
      </c>
      <c r="G200" s="16" t="s">
        <v>1770</v>
      </c>
      <c r="H200" s="16" t="s">
        <v>33</v>
      </c>
    </row>
    <row r="201" spans="1:12" x14ac:dyDescent="0.3">
      <c r="A201" s="16" t="s">
        <v>38</v>
      </c>
      <c r="B201" s="16" t="s">
        <v>3424</v>
      </c>
      <c r="C201" s="16" t="s">
        <v>1778</v>
      </c>
      <c r="D201" s="16" t="s">
        <v>18</v>
      </c>
      <c r="E201" s="16" t="s">
        <v>539</v>
      </c>
      <c r="G201" s="16" t="s">
        <v>1770</v>
      </c>
      <c r="H201" s="16" t="s">
        <v>33</v>
      </c>
    </row>
    <row r="202" spans="1:12" x14ac:dyDescent="0.3">
      <c r="A202" s="16" t="s">
        <v>167</v>
      </c>
      <c r="B202" s="16" t="s">
        <v>1167</v>
      </c>
      <c r="C202" s="16" t="s">
        <v>1777</v>
      </c>
      <c r="D202" s="16" t="s">
        <v>18</v>
      </c>
      <c r="E202" s="16" t="s">
        <v>539</v>
      </c>
      <c r="G202" s="16" t="s">
        <v>1127</v>
      </c>
      <c r="H202" s="16" t="s">
        <v>33</v>
      </c>
    </row>
    <row r="203" spans="1:12" x14ac:dyDescent="0.3">
      <c r="A203" s="16" t="s">
        <v>167</v>
      </c>
      <c r="B203" s="16" t="s">
        <v>1270</v>
      </c>
      <c r="C203" s="16" t="s">
        <v>1778</v>
      </c>
      <c r="D203" s="16" t="s">
        <v>18</v>
      </c>
      <c r="E203" s="16" t="s">
        <v>539</v>
      </c>
      <c r="G203" s="16" t="s">
        <v>1127</v>
      </c>
      <c r="H203" s="16" t="s">
        <v>33</v>
      </c>
    </row>
    <row r="204" spans="1:12" x14ac:dyDescent="0.3">
      <c r="A204" s="16" t="s">
        <v>167</v>
      </c>
      <c r="B204" s="16" t="s">
        <v>168</v>
      </c>
      <c r="C204" s="16" t="s">
        <v>1779</v>
      </c>
      <c r="D204" s="16" t="s">
        <v>18</v>
      </c>
      <c r="E204" s="16" t="s">
        <v>539</v>
      </c>
      <c r="G204" s="16" t="s">
        <v>1127</v>
      </c>
      <c r="H204" s="16" t="s">
        <v>33</v>
      </c>
    </row>
    <row r="205" spans="1:12" x14ac:dyDescent="0.3">
      <c r="A205" s="16" t="s">
        <v>1971</v>
      </c>
      <c r="B205" s="16" t="s">
        <v>1972</v>
      </c>
      <c r="C205" s="16" t="s">
        <v>1779</v>
      </c>
      <c r="D205" s="16" t="s">
        <v>133</v>
      </c>
      <c r="E205" s="16" t="s">
        <v>539</v>
      </c>
      <c r="H205" s="16" t="s">
        <v>33</v>
      </c>
    </row>
    <row r="206" spans="1:12" x14ac:dyDescent="0.3">
      <c r="A206" s="16" t="s">
        <v>1168</v>
      </c>
      <c r="B206" s="16" t="s">
        <v>1169</v>
      </c>
      <c r="C206" s="16" t="s">
        <v>1777</v>
      </c>
      <c r="D206" s="16" t="s">
        <v>18</v>
      </c>
      <c r="E206" s="16" t="s">
        <v>539</v>
      </c>
      <c r="G206" s="16" t="s">
        <v>1127</v>
      </c>
      <c r="H206" s="16" t="s">
        <v>33</v>
      </c>
    </row>
    <row r="207" spans="1:12" x14ac:dyDescent="0.3">
      <c r="A207" s="16" t="s">
        <v>1469</v>
      </c>
      <c r="B207" s="16" t="s">
        <v>1470</v>
      </c>
      <c r="C207" s="16" t="s">
        <v>1779</v>
      </c>
      <c r="D207" s="16" t="s">
        <v>18</v>
      </c>
      <c r="E207" s="16" t="s">
        <v>1791</v>
      </c>
      <c r="G207" s="16" t="s">
        <v>1127</v>
      </c>
      <c r="H207" s="16" t="s">
        <v>33</v>
      </c>
    </row>
    <row r="208" spans="1:12" x14ac:dyDescent="0.3">
      <c r="A208" s="16" t="s">
        <v>1973</v>
      </c>
      <c r="B208" s="16" t="s">
        <v>1974</v>
      </c>
      <c r="C208" s="16" t="s">
        <v>1779</v>
      </c>
      <c r="D208" s="16" t="s">
        <v>388</v>
      </c>
      <c r="E208" s="16" t="s">
        <v>539</v>
      </c>
      <c r="J208" s="16" t="s">
        <v>32</v>
      </c>
      <c r="K208" s="16" t="s">
        <v>1975</v>
      </c>
      <c r="L208" s="16" t="s">
        <v>33</v>
      </c>
    </row>
    <row r="209" spans="1:10" x14ac:dyDescent="0.3">
      <c r="A209" s="16" t="s">
        <v>1976</v>
      </c>
      <c r="B209" s="16" t="s">
        <v>1977</v>
      </c>
      <c r="C209" s="16" t="s">
        <v>1769</v>
      </c>
      <c r="D209" s="16" t="s">
        <v>133</v>
      </c>
      <c r="E209" s="16" t="s">
        <v>661</v>
      </c>
      <c r="H209" s="16" t="s">
        <v>33</v>
      </c>
    </row>
    <row r="210" spans="1:10" x14ac:dyDescent="0.3">
      <c r="A210" s="16" t="s">
        <v>1978</v>
      </c>
      <c r="B210" s="16" t="s">
        <v>1979</v>
      </c>
      <c r="C210" s="16" t="s">
        <v>1769</v>
      </c>
      <c r="D210" s="16" t="s">
        <v>133</v>
      </c>
      <c r="E210" s="16" t="s">
        <v>661</v>
      </c>
      <c r="H210" s="16" t="s">
        <v>33</v>
      </c>
    </row>
    <row r="211" spans="1:10" x14ac:dyDescent="0.3">
      <c r="A211" s="16" t="s">
        <v>328</v>
      </c>
      <c r="B211" s="16" t="s">
        <v>329</v>
      </c>
      <c r="C211" s="16" t="s">
        <v>1779</v>
      </c>
      <c r="D211" s="16" t="s">
        <v>18</v>
      </c>
      <c r="E211" s="16" t="s">
        <v>539</v>
      </c>
      <c r="G211" s="16" t="s">
        <v>1127</v>
      </c>
      <c r="H211" s="16" t="s">
        <v>33</v>
      </c>
    </row>
    <row r="212" spans="1:10" x14ac:dyDescent="0.3">
      <c r="A212" s="16" t="s">
        <v>1980</v>
      </c>
      <c r="B212" s="16" t="s">
        <v>1981</v>
      </c>
      <c r="C212" s="16" t="s">
        <v>1779</v>
      </c>
      <c r="D212" s="16" t="s">
        <v>388</v>
      </c>
      <c r="E212" s="16" t="s">
        <v>539</v>
      </c>
      <c r="H212" s="16" t="s">
        <v>33</v>
      </c>
      <c r="J212" s="16" t="s">
        <v>32</v>
      </c>
    </row>
    <row r="213" spans="1:10" x14ac:dyDescent="0.3">
      <c r="A213" s="16" t="s">
        <v>1982</v>
      </c>
      <c r="B213" s="16" t="s">
        <v>1983</v>
      </c>
      <c r="C213" s="16" t="s">
        <v>1779</v>
      </c>
      <c r="D213" s="16" t="s">
        <v>388</v>
      </c>
      <c r="E213" s="16" t="s">
        <v>539</v>
      </c>
      <c r="H213" s="16" t="s">
        <v>33</v>
      </c>
      <c r="J213" s="16" t="s">
        <v>32</v>
      </c>
    </row>
    <row r="214" spans="1:10" x14ac:dyDescent="0.3">
      <c r="A214" s="16" t="s">
        <v>1271</v>
      </c>
      <c r="B214" s="16" t="s">
        <v>1272</v>
      </c>
      <c r="C214" s="16" t="s">
        <v>1778</v>
      </c>
      <c r="D214" s="16" t="s">
        <v>18</v>
      </c>
      <c r="E214" s="16" t="s">
        <v>539</v>
      </c>
      <c r="G214" s="16" t="s">
        <v>1127</v>
      </c>
      <c r="H214" s="16" t="s">
        <v>33</v>
      </c>
    </row>
    <row r="215" spans="1:10" x14ac:dyDescent="0.3">
      <c r="A215" s="16" t="s">
        <v>1986</v>
      </c>
      <c r="B215" s="16" t="s">
        <v>1987</v>
      </c>
      <c r="C215" s="16" t="s">
        <v>1779</v>
      </c>
      <c r="D215" s="16" t="s">
        <v>388</v>
      </c>
      <c r="E215" s="16" t="s">
        <v>539</v>
      </c>
      <c r="H215" s="16" t="s">
        <v>33</v>
      </c>
      <c r="J215" s="16" t="s">
        <v>32</v>
      </c>
    </row>
    <row r="216" spans="1:10" x14ac:dyDescent="0.3">
      <c r="A216" s="16" t="s">
        <v>234</v>
      </c>
      <c r="B216" s="16" t="s">
        <v>152</v>
      </c>
      <c r="C216" s="16" t="s">
        <v>1779</v>
      </c>
      <c r="D216" s="16" t="s">
        <v>388</v>
      </c>
      <c r="E216" s="16" t="s">
        <v>539</v>
      </c>
      <c r="H216" s="16" t="s">
        <v>33</v>
      </c>
      <c r="J216" s="16" t="s">
        <v>1988</v>
      </c>
    </row>
    <row r="217" spans="1:10" x14ac:dyDescent="0.3">
      <c r="A217" s="16" t="s">
        <v>235</v>
      </c>
      <c r="B217" s="16" t="s">
        <v>236</v>
      </c>
      <c r="C217" s="16" t="s">
        <v>1779</v>
      </c>
      <c r="D217" s="16" t="s">
        <v>388</v>
      </c>
      <c r="E217" s="16" t="s">
        <v>539</v>
      </c>
      <c r="H217" s="16" t="s">
        <v>33</v>
      </c>
      <c r="J217" s="16" t="s">
        <v>32</v>
      </c>
    </row>
    <row r="218" spans="1:10" x14ac:dyDescent="0.3">
      <c r="A218" s="16" t="s">
        <v>235</v>
      </c>
      <c r="B218" s="16" t="s">
        <v>1989</v>
      </c>
      <c r="C218" s="16" t="s">
        <v>1779</v>
      </c>
      <c r="D218" s="16" t="s">
        <v>388</v>
      </c>
      <c r="E218" s="16" t="s">
        <v>539</v>
      </c>
      <c r="H218" s="16" t="s">
        <v>33</v>
      </c>
      <c r="J218" s="16" t="s">
        <v>1988</v>
      </c>
    </row>
    <row r="219" spans="1:10" x14ac:dyDescent="0.3">
      <c r="A219" s="16" t="s">
        <v>233</v>
      </c>
      <c r="B219" s="16" t="s">
        <v>65</v>
      </c>
      <c r="C219" s="16" t="s">
        <v>1779</v>
      </c>
      <c r="D219" s="16" t="s">
        <v>388</v>
      </c>
      <c r="E219" s="16" t="s">
        <v>539</v>
      </c>
      <c r="H219" s="16" t="s">
        <v>33</v>
      </c>
      <c r="J219" s="16" t="s">
        <v>32</v>
      </c>
    </row>
    <row r="220" spans="1:10" x14ac:dyDescent="0.3">
      <c r="A220" s="16" t="s">
        <v>1990</v>
      </c>
      <c r="B220" s="16" t="s">
        <v>59</v>
      </c>
      <c r="C220" s="16" t="s">
        <v>1779</v>
      </c>
      <c r="D220" s="16" t="s">
        <v>388</v>
      </c>
      <c r="E220" s="16" t="s">
        <v>539</v>
      </c>
      <c r="H220" s="16" t="s">
        <v>33</v>
      </c>
      <c r="J220" s="16" t="s">
        <v>32</v>
      </c>
    </row>
    <row r="221" spans="1:10" x14ac:dyDescent="0.3">
      <c r="A221" s="16" t="s">
        <v>237</v>
      </c>
      <c r="B221" s="16" t="s">
        <v>238</v>
      </c>
      <c r="C221" s="16" t="s">
        <v>1779</v>
      </c>
      <c r="D221" s="16" t="s">
        <v>388</v>
      </c>
      <c r="E221" s="16" t="s">
        <v>539</v>
      </c>
      <c r="H221" s="16" t="s">
        <v>33</v>
      </c>
      <c r="J221" s="16" t="s">
        <v>32</v>
      </c>
    </row>
    <row r="222" spans="1:10" x14ac:dyDescent="0.3">
      <c r="A222" s="16" t="s">
        <v>1273</v>
      </c>
      <c r="B222" s="16" t="s">
        <v>1274</v>
      </c>
      <c r="C222" s="16" t="s">
        <v>1778</v>
      </c>
      <c r="D222" s="16" t="s">
        <v>18</v>
      </c>
      <c r="E222" s="16" t="s">
        <v>539</v>
      </c>
      <c r="G222" s="16" t="s">
        <v>1127</v>
      </c>
      <c r="H222" s="16" t="s">
        <v>33</v>
      </c>
    </row>
    <row r="223" spans="1:10" x14ac:dyDescent="0.3">
      <c r="A223" s="16" t="s">
        <v>1273</v>
      </c>
      <c r="B223" s="16" t="s">
        <v>1471</v>
      </c>
      <c r="C223" s="16" t="s">
        <v>1779</v>
      </c>
      <c r="D223" s="16" t="s">
        <v>18</v>
      </c>
      <c r="E223" s="16" t="s">
        <v>539</v>
      </c>
      <c r="G223" s="16" t="s">
        <v>1127</v>
      </c>
      <c r="H223" s="16" t="s">
        <v>33</v>
      </c>
    </row>
    <row r="224" spans="1:10" x14ac:dyDescent="0.3">
      <c r="A224" s="16" t="s">
        <v>239</v>
      </c>
      <c r="B224" s="16" t="s">
        <v>240</v>
      </c>
      <c r="C224" s="16" t="s">
        <v>1779</v>
      </c>
      <c r="D224" s="16" t="s">
        <v>388</v>
      </c>
      <c r="E224" s="16" t="s">
        <v>539</v>
      </c>
      <c r="H224" s="16" t="s">
        <v>33</v>
      </c>
      <c r="J224" s="16" t="s">
        <v>32</v>
      </c>
    </row>
    <row r="225" spans="1:10" x14ac:dyDescent="0.3">
      <c r="A225" s="16" t="s">
        <v>1991</v>
      </c>
      <c r="B225" s="16" t="s">
        <v>1992</v>
      </c>
      <c r="C225" s="16" t="s">
        <v>1779</v>
      </c>
      <c r="D225" s="16" t="s">
        <v>133</v>
      </c>
      <c r="E225" s="16" t="s">
        <v>1791</v>
      </c>
      <c r="H225" s="16" t="s">
        <v>33</v>
      </c>
    </row>
    <row r="226" spans="1:10" x14ac:dyDescent="0.3">
      <c r="A226" s="16" t="s">
        <v>1993</v>
      </c>
      <c r="B226" s="16" t="s">
        <v>1994</v>
      </c>
      <c r="C226" s="16" t="s">
        <v>1779</v>
      </c>
      <c r="D226" s="16" t="s">
        <v>133</v>
      </c>
      <c r="E226" s="16" t="s">
        <v>1791</v>
      </c>
      <c r="H226" s="16" t="s">
        <v>33</v>
      </c>
    </row>
    <row r="227" spans="1:10" x14ac:dyDescent="0.3">
      <c r="A227" s="16" t="s">
        <v>1995</v>
      </c>
      <c r="B227" s="16" t="s">
        <v>1996</v>
      </c>
      <c r="C227" s="16" t="s">
        <v>1915</v>
      </c>
      <c r="D227" s="16" t="s">
        <v>133</v>
      </c>
      <c r="E227" s="16" t="s">
        <v>1791</v>
      </c>
      <c r="H227" s="16" t="s">
        <v>33</v>
      </c>
    </row>
    <row r="228" spans="1:10" x14ac:dyDescent="0.3">
      <c r="A228" s="16" t="s">
        <v>1275</v>
      </c>
      <c r="B228" s="16" t="s">
        <v>1276</v>
      </c>
      <c r="C228" s="16" t="s">
        <v>1778</v>
      </c>
      <c r="D228" s="16" t="s">
        <v>18</v>
      </c>
      <c r="E228" s="16" t="s">
        <v>555</v>
      </c>
      <c r="G228" s="16" t="s">
        <v>1127</v>
      </c>
      <c r="H228" s="16" t="s">
        <v>33</v>
      </c>
    </row>
    <row r="229" spans="1:10" x14ac:dyDescent="0.3">
      <c r="A229" s="16" t="s">
        <v>1999</v>
      </c>
      <c r="B229" s="16" t="s">
        <v>2000</v>
      </c>
      <c r="C229" s="16" t="s">
        <v>1779</v>
      </c>
      <c r="D229" s="16" t="s">
        <v>388</v>
      </c>
      <c r="E229" s="16" t="s">
        <v>539</v>
      </c>
      <c r="H229" s="16" t="s">
        <v>33</v>
      </c>
      <c r="J229" s="16" t="s">
        <v>32</v>
      </c>
    </row>
    <row r="230" spans="1:10" x14ac:dyDescent="0.3">
      <c r="A230" s="16" t="s">
        <v>1277</v>
      </c>
      <c r="B230" s="16" t="s">
        <v>1278</v>
      </c>
      <c r="C230" s="16" t="s">
        <v>1778</v>
      </c>
      <c r="D230" s="16" t="s">
        <v>18</v>
      </c>
      <c r="E230" s="16" t="s">
        <v>539</v>
      </c>
      <c r="G230" s="16" t="s">
        <v>1127</v>
      </c>
      <c r="H230" s="16" t="s">
        <v>33</v>
      </c>
    </row>
    <row r="231" spans="1:10" x14ac:dyDescent="0.3">
      <c r="A231" s="16" t="s">
        <v>2001</v>
      </c>
      <c r="B231" s="16" t="s">
        <v>2002</v>
      </c>
      <c r="C231" s="16" t="s">
        <v>1779</v>
      </c>
      <c r="D231" s="16" t="s">
        <v>388</v>
      </c>
      <c r="E231" s="16" t="s">
        <v>539</v>
      </c>
      <c r="H231" s="16" t="s">
        <v>33</v>
      </c>
      <c r="J231" s="16" t="s">
        <v>32</v>
      </c>
    </row>
    <row r="232" spans="1:10" x14ac:dyDescent="0.3">
      <c r="A232" s="16" t="s">
        <v>1279</v>
      </c>
      <c r="B232" s="16" t="s">
        <v>1280</v>
      </c>
      <c r="C232" s="16" t="s">
        <v>1778</v>
      </c>
      <c r="D232" s="16" t="s">
        <v>18</v>
      </c>
      <c r="E232" s="16" t="s">
        <v>539</v>
      </c>
      <c r="G232" s="16" t="s">
        <v>1127</v>
      </c>
      <c r="H232" s="16" t="s">
        <v>33</v>
      </c>
    </row>
    <row r="233" spans="1:10" x14ac:dyDescent="0.3">
      <c r="A233" s="16" t="s">
        <v>2003</v>
      </c>
      <c r="B233" s="16" t="s">
        <v>2004</v>
      </c>
      <c r="C233" s="16" t="s">
        <v>1779</v>
      </c>
      <c r="D233" s="16" t="s">
        <v>133</v>
      </c>
      <c r="E233" s="16" t="s">
        <v>661</v>
      </c>
      <c r="G233" s="16" t="s">
        <v>662</v>
      </c>
      <c r="H233" s="16" t="s">
        <v>33</v>
      </c>
    </row>
    <row r="234" spans="1:10" x14ac:dyDescent="0.3">
      <c r="A234" s="16" t="s">
        <v>2005</v>
      </c>
      <c r="B234" s="16" t="s">
        <v>2006</v>
      </c>
      <c r="C234" s="16" t="s">
        <v>1779</v>
      </c>
      <c r="D234" s="16" t="s">
        <v>133</v>
      </c>
      <c r="E234" s="16" t="s">
        <v>661</v>
      </c>
      <c r="G234" s="16" t="s">
        <v>662</v>
      </c>
      <c r="H234" s="16" t="s">
        <v>33</v>
      </c>
    </row>
    <row r="235" spans="1:10" x14ac:dyDescent="0.3">
      <c r="A235" s="16" t="s">
        <v>2007</v>
      </c>
      <c r="B235" s="16" t="s">
        <v>2008</v>
      </c>
      <c r="C235" s="16" t="s">
        <v>1779</v>
      </c>
      <c r="D235" s="16" t="s">
        <v>388</v>
      </c>
      <c r="E235" s="16" t="s">
        <v>539</v>
      </c>
      <c r="H235" s="16" t="s">
        <v>33</v>
      </c>
      <c r="J235" s="16" t="s">
        <v>32</v>
      </c>
    </row>
    <row r="236" spans="1:10" x14ac:dyDescent="0.3">
      <c r="A236" s="16" t="s">
        <v>2009</v>
      </c>
      <c r="B236" s="16" t="s">
        <v>2009</v>
      </c>
      <c r="C236" s="16" t="s">
        <v>2010</v>
      </c>
      <c r="D236" s="16" t="s">
        <v>388</v>
      </c>
      <c r="E236" s="16" t="s">
        <v>539</v>
      </c>
      <c r="H236" s="16" t="s">
        <v>33</v>
      </c>
      <c r="J236" s="16" t="s">
        <v>32</v>
      </c>
    </row>
    <row r="237" spans="1:10" x14ac:dyDescent="0.3">
      <c r="A237" s="16" t="s">
        <v>2011</v>
      </c>
      <c r="B237" s="16" t="s">
        <v>2011</v>
      </c>
      <c r="C237" s="16" t="s">
        <v>2010</v>
      </c>
      <c r="D237" s="16" t="s">
        <v>388</v>
      </c>
      <c r="E237" s="16" t="s">
        <v>539</v>
      </c>
      <c r="H237" s="16" t="s">
        <v>33</v>
      </c>
      <c r="J237" s="16" t="s">
        <v>32</v>
      </c>
    </row>
    <row r="238" spans="1:10" x14ac:dyDescent="0.3">
      <c r="A238" s="16" t="s">
        <v>2012</v>
      </c>
      <c r="B238" s="16" t="s">
        <v>2012</v>
      </c>
      <c r="C238" s="16" t="s">
        <v>2010</v>
      </c>
      <c r="D238" s="16" t="s">
        <v>388</v>
      </c>
      <c r="E238" s="16" t="s">
        <v>539</v>
      </c>
      <c r="H238" s="16" t="s">
        <v>33</v>
      </c>
      <c r="J238" s="16" t="s">
        <v>32</v>
      </c>
    </row>
    <row r="239" spans="1:10" x14ac:dyDescent="0.3">
      <c r="A239" s="16" t="s">
        <v>1108</v>
      </c>
      <c r="B239" s="16" t="s">
        <v>1109</v>
      </c>
      <c r="C239" s="16" t="s">
        <v>1812</v>
      </c>
      <c r="D239" s="16" t="s">
        <v>18</v>
      </c>
      <c r="E239" s="16" t="s">
        <v>539</v>
      </c>
      <c r="G239" s="16" t="s">
        <v>1103</v>
      </c>
      <c r="H239" s="16" t="s">
        <v>33</v>
      </c>
    </row>
    <row r="240" spans="1:10" x14ac:dyDescent="0.3">
      <c r="A240" s="16" t="s">
        <v>2013</v>
      </c>
      <c r="B240" s="16" t="s">
        <v>2014</v>
      </c>
      <c r="C240" s="16" t="s">
        <v>1779</v>
      </c>
      <c r="D240" s="16" t="s">
        <v>18</v>
      </c>
      <c r="E240" s="16" t="s">
        <v>539</v>
      </c>
      <c r="G240" s="16" t="s">
        <v>1770</v>
      </c>
      <c r="H240" s="16" t="s">
        <v>33</v>
      </c>
    </row>
    <row r="241" spans="1:11" x14ac:dyDescent="0.3">
      <c r="A241" s="16" t="s">
        <v>2013</v>
      </c>
      <c r="B241" s="16" t="s">
        <v>2015</v>
      </c>
      <c r="C241" s="16" t="s">
        <v>1778</v>
      </c>
      <c r="D241" s="16" t="s">
        <v>18</v>
      </c>
      <c r="E241" s="16" t="s">
        <v>539</v>
      </c>
      <c r="G241" s="16" t="s">
        <v>1770</v>
      </c>
      <c r="H241" s="16" t="s">
        <v>33</v>
      </c>
    </row>
    <row r="242" spans="1:11" x14ac:dyDescent="0.3">
      <c r="A242" s="16" t="s">
        <v>2016</v>
      </c>
      <c r="B242" s="16" t="s">
        <v>2017</v>
      </c>
      <c r="C242" s="16" t="s">
        <v>1779</v>
      </c>
      <c r="D242" s="16" t="s">
        <v>133</v>
      </c>
      <c r="E242" s="16" t="s">
        <v>588</v>
      </c>
      <c r="H242" s="16" t="s">
        <v>33</v>
      </c>
    </row>
    <row r="243" spans="1:11" x14ac:dyDescent="0.3">
      <c r="A243" s="16" t="s">
        <v>2018</v>
      </c>
      <c r="B243" s="16" t="s">
        <v>2019</v>
      </c>
      <c r="C243" s="16" t="s">
        <v>1779</v>
      </c>
      <c r="D243" s="16" t="s">
        <v>133</v>
      </c>
      <c r="E243" s="16" t="s">
        <v>539</v>
      </c>
      <c r="H243" s="16" t="s">
        <v>33</v>
      </c>
    </row>
    <row r="244" spans="1:11" x14ac:dyDescent="0.3">
      <c r="A244" s="16" t="s">
        <v>2020</v>
      </c>
      <c r="B244" s="16" t="s">
        <v>2021</v>
      </c>
      <c r="C244" s="16" t="s">
        <v>1910</v>
      </c>
      <c r="D244" s="16" t="s">
        <v>388</v>
      </c>
      <c r="E244" s="16" t="s">
        <v>539</v>
      </c>
      <c r="J244" s="16" t="s">
        <v>32</v>
      </c>
    </row>
    <row r="245" spans="1:11" x14ac:dyDescent="0.3">
      <c r="A245" s="16" t="s">
        <v>2022</v>
      </c>
      <c r="B245" s="16" t="s">
        <v>2023</v>
      </c>
      <c r="C245" s="16" t="s">
        <v>1910</v>
      </c>
      <c r="D245" s="16" t="s">
        <v>388</v>
      </c>
      <c r="E245" s="16" t="s">
        <v>539</v>
      </c>
      <c r="J245" s="16" t="s">
        <v>32</v>
      </c>
    </row>
    <row r="246" spans="1:11" x14ac:dyDescent="0.3">
      <c r="A246" s="16" t="s">
        <v>2024</v>
      </c>
      <c r="B246" s="16" t="s">
        <v>2025</v>
      </c>
      <c r="C246" s="16" t="s">
        <v>1910</v>
      </c>
      <c r="D246" s="16" t="s">
        <v>388</v>
      </c>
      <c r="E246" s="16" t="s">
        <v>539</v>
      </c>
      <c r="J246" s="16" t="s">
        <v>32</v>
      </c>
    </row>
    <row r="247" spans="1:11" x14ac:dyDescent="0.3">
      <c r="A247" s="16" t="s">
        <v>2026</v>
      </c>
      <c r="B247" s="16" t="s">
        <v>2027</v>
      </c>
      <c r="C247" s="16" t="s">
        <v>1910</v>
      </c>
      <c r="D247" s="16" t="s">
        <v>388</v>
      </c>
      <c r="E247" s="16" t="s">
        <v>539</v>
      </c>
      <c r="J247" s="16" t="s">
        <v>32</v>
      </c>
    </row>
    <row r="248" spans="1:11" x14ac:dyDescent="0.3">
      <c r="A248" s="16" t="s">
        <v>2028</v>
      </c>
      <c r="B248" s="16" t="s">
        <v>2029</v>
      </c>
      <c r="C248" s="16" t="s">
        <v>1910</v>
      </c>
      <c r="D248" s="16" t="s">
        <v>388</v>
      </c>
      <c r="E248" s="16" t="s">
        <v>539</v>
      </c>
      <c r="J248" s="16" t="s">
        <v>32</v>
      </c>
    </row>
    <row r="249" spans="1:11" x14ac:dyDescent="0.3">
      <c r="A249" s="16" t="s">
        <v>2030</v>
      </c>
      <c r="B249" s="16" t="s">
        <v>2031</v>
      </c>
      <c r="C249" s="16" t="s">
        <v>1779</v>
      </c>
      <c r="D249" s="16" t="s">
        <v>133</v>
      </c>
      <c r="E249" s="16" t="s">
        <v>1791</v>
      </c>
      <c r="H249" s="16" t="s">
        <v>33</v>
      </c>
    </row>
    <row r="250" spans="1:11" x14ac:dyDescent="0.3">
      <c r="A250" s="16" t="s">
        <v>2032</v>
      </c>
      <c r="B250" s="16" t="s">
        <v>2033</v>
      </c>
      <c r="C250" s="16" t="s">
        <v>2010</v>
      </c>
      <c r="D250" s="16" t="s">
        <v>388</v>
      </c>
      <c r="E250" s="16" t="s">
        <v>539</v>
      </c>
      <c r="H250" s="16" t="s">
        <v>33</v>
      </c>
      <c r="J250" s="16" t="s">
        <v>32</v>
      </c>
      <c r="K250" s="16" t="s">
        <v>2034</v>
      </c>
    </row>
    <row r="251" spans="1:11" x14ac:dyDescent="0.3">
      <c r="A251" s="16" t="s">
        <v>2035</v>
      </c>
      <c r="B251" s="16" t="s">
        <v>2036</v>
      </c>
      <c r="C251" s="16" t="s">
        <v>2010</v>
      </c>
      <c r="D251" s="16" t="s">
        <v>388</v>
      </c>
      <c r="E251" s="16" t="s">
        <v>539</v>
      </c>
      <c r="H251" s="16" t="s">
        <v>33</v>
      </c>
      <c r="J251" s="16" t="s">
        <v>32</v>
      </c>
      <c r="K251" s="16" t="s">
        <v>2037</v>
      </c>
    </row>
    <row r="252" spans="1:11" x14ac:dyDescent="0.3">
      <c r="A252" s="16" t="s">
        <v>2038</v>
      </c>
      <c r="B252" s="16" t="s">
        <v>2039</v>
      </c>
      <c r="C252" s="16" t="s">
        <v>1779</v>
      </c>
      <c r="D252" s="16" t="s">
        <v>133</v>
      </c>
      <c r="E252" s="16" t="s">
        <v>661</v>
      </c>
      <c r="H252" s="16" t="s">
        <v>33</v>
      </c>
    </row>
    <row r="253" spans="1:11" x14ac:dyDescent="0.3">
      <c r="A253" s="16" t="s">
        <v>2040</v>
      </c>
      <c r="B253" s="16" t="s">
        <v>2041</v>
      </c>
      <c r="C253" s="16" t="s">
        <v>1779</v>
      </c>
      <c r="D253" s="16" t="s">
        <v>2042</v>
      </c>
      <c r="E253" s="16" t="s">
        <v>555</v>
      </c>
      <c r="H253" s="16" t="s">
        <v>33</v>
      </c>
    </row>
    <row r="254" spans="1:11" x14ac:dyDescent="0.3">
      <c r="A254" s="16" t="s">
        <v>2040</v>
      </c>
      <c r="B254" s="16" t="s">
        <v>2041</v>
      </c>
      <c r="C254" s="16" t="s">
        <v>1915</v>
      </c>
      <c r="D254" s="16" t="s">
        <v>2042</v>
      </c>
      <c r="E254" s="16" t="s">
        <v>555</v>
      </c>
      <c r="H254" s="16" t="s">
        <v>33</v>
      </c>
    </row>
    <row r="255" spans="1:11" x14ac:dyDescent="0.3">
      <c r="A255" s="16" t="s">
        <v>2040</v>
      </c>
      <c r="B255" s="16" t="s">
        <v>2041</v>
      </c>
      <c r="C255" s="16" t="s">
        <v>1778</v>
      </c>
      <c r="D255" s="16" t="s">
        <v>2042</v>
      </c>
      <c r="E255" s="16" t="s">
        <v>555</v>
      </c>
      <c r="H255" s="16" t="s">
        <v>33</v>
      </c>
    </row>
    <row r="256" spans="1:11" x14ac:dyDescent="0.3">
      <c r="A256" s="16" t="s">
        <v>2040</v>
      </c>
      <c r="B256" s="16" t="s">
        <v>2043</v>
      </c>
      <c r="C256" s="16" t="s">
        <v>1779</v>
      </c>
      <c r="D256" s="16" t="s">
        <v>18</v>
      </c>
      <c r="E256" s="16" t="s">
        <v>555</v>
      </c>
      <c r="G256" s="16" t="s">
        <v>1770</v>
      </c>
      <c r="H256" s="16" t="s">
        <v>33</v>
      </c>
    </row>
    <row r="257" spans="1:8" x14ac:dyDescent="0.3">
      <c r="A257" s="16" t="s">
        <v>2040</v>
      </c>
      <c r="B257" s="16" t="s">
        <v>2044</v>
      </c>
      <c r="C257" s="16" t="s">
        <v>1915</v>
      </c>
      <c r="D257" s="16" t="s">
        <v>18</v>
      </c>
      <c r="E257" s="16" t="s">
        <v>555</v>
      </c>
      <c r="G257" s="16" t="s">
        <v>1770</v>
      </c>
      <c r="H257" s="16" t="s">
        <v>33</v>
      </c>
    </row>
    <row r="258" spans="1:8" x14ac:dyDescent="0.3">
      <c r="A258" s="16" t="s">
        <v>2040</v>
      </c>
      <c r="B258" s="16" t="s">
        <v>2045</v>
      </c>
      <c r="C258" s="16" t="s">
        <v>1778</v>
      </c>
      <c r="D258" s="16" t="s">
        <v>18</v>
      </c>
      <c r="E258" s="16" t="s">
        <v>555</v>
      </c>
      <c r="G258" s="16" t="s">
        <v>1770</v>
      </c>
      <c r="H258" s="16" t="s">
        <v>33</v>
      </c>
    </row>
    <row r="259" spans="1:8" x14ac:dyDescent="0.3">
      <c r="A259" s="16" t="s">
        <v>2046</v>
      </c>
      <c r="B259" s="16" t="s">
        <v>2047</v>
      </c>
      <c r="C259" s="16" t="s">
        <v>1778</v>
      </c>
      <c r="D259" s="16" t="s">
        <v>2042</v>
      </c>
      <c r="E259" s="16" t="s">
        <v>555</v>
      </c>
      <c r="H259" s="16" t="s">
        <v>33</v>
      </c>
    </row>
    <row r="260" spans="1:8" x14ac:dyDescent="0.3">
      <c r="A260" s="16" t="s">
        <v>2046</v>
      </c>
      <c r="B260" s="16" t="s">
        <v>2048</v>
      </c>
      <c r="C260" s="16" t="s">
        <v>1778</v>
      </c>
      <c r="D260" s="16" t="s">
        <v>18</v>
      </c>
      <c r="E260" s="16" t="s">
        <v>555</v>
      </c>
      <c r="G260" s="16" t="s">
        <v>1770</v>
      </c>
      <c r="H260" s="16" t="s">
        <v>33</v>
      </c>
    </row>
    <row r="261" spans="1:8" x14ac:dyDescent="0.3">
      <c r="A261" s="16" t="s">
        <v>2049</v>
      </c>
      <c r="B261" s="16" t="s">
        <v>2050</v>
      </c>
      <c r="C261" s="16" t="s">
        <v>1779</v>
      </c>
      <c r="D261" s="16" t="s">
        <v>2042</v>
      </c>
      <c r="E261" s="16" t="s">
        <v>555</v>
      </c>
      <c r="H261" s="16" t="s">
        <v>33</v>
      </c>
    </row>
    <row r="262" spans="1:8" x14ac:dyDescent="0.3">
      <c r="A262" s="16" t="s">
        <v>2049</v>
      </c>
      <c r="B262" s="16" t="s">
        <v>2050</v>
      </c>
      <c r="C262" s="16" t="s">
        <v>1915</v>
      </c>
      <c r="D262" s="16" t="s">
        <v>2042</v>
      </c>
      <c r="E262" s="16" t="s">
        <v>555</v>
      </c>
      <c r="H262" s="16" t="s">
        <v>33</v>
      </c>
    </row>
    <row r="263" spans="1:8" x14ac:dyDescent="0.3">
      <c r="A263" s="16" t="s">
        <v>2049</v>
      </c>
      <c r="B263" s="16" t="s">
        <v>2050</v>
      </c>
      <c r="C263" s="16" t="s">
        <v>1778</v>
      </c>
      <c r="D263" s="16" t="s">
        <v>2042</v>
      </c>
      <c r="E263" s="16" t="s">
        <v>555</v>
      </c>
      <c r="H263" s="16" t="s">
        <v>33</v>
      </c>
    </row>
    <row r="264" spans="1:8" x14ac:dyDescent="0.3">
      <c r="A264" s="16" t="s">
        <v>2049</v>
      </c>
      <c r="B264" s="16" t="s">
        <v>2051</v>
      </c>
      <c r="C264" s="16" t="s">
        <v>1779</v>
      </c>
      <c r="D264" s="16" t="s">
        <v>18</v>
      </c>
      <c r="E264" s="16" t="s">
        <v>555</v>
      </c>
      <c r="G264" s="16" t="s">
        <v>1770</v>
      </c>
      <c r="H264" s="16" t="s">
        <v>33</v>
      </c>
    </row>
    <row r="265" spans="1:8" x14ac:dyDescent="0.3">
      <c r="A265" s="16" t="s">
        <v>2049</v>
      </c>
      <c r="B265" s="16" t="s">
        <v>2052</v>
      </c>
      <c r="C265" s="16" t="s">
        <v>1915</v>
      </c>
      <c r="D265" s="16" t="s">
        <v>18</v>
      </c>
      <c r="E265" s="16" t="s">
        <v>555</v>
      </c>
      <c r="G265" s="16" t="s">
        <v>1770</v>
      </c>
      <c r="H265" s="16" t="s">
        <v>33</v>
      </c>
    </row>
    <row r="266" spans="1:8" x14ac:dyDescent="0.3">
      <c r="A266" s="16" t="s">
        <v>2049</v>
      </c>
      <c r="B266" s="16" t="s">
        <v>2053</v>
      </c>
      <c r="C266" s="16" t="s">
        <v>1778</v>
      </c>
      <c r="D266" s="16" t="s">
        <v>18</v>
      </c>
      <c r="E266" s="16" t="s">
        <v>555</v>
      </c>
      <c r="G266" s="16" t="s">
        <v>1770</v>
      </c>
      <c r="H266" s="16" t="s">
        <v>33</v>
      </c>
    </row>
    <row r="267" spans="1:8" x14ac:dyDescent="0.3">
      <c r="A267" s="16" t="s">
        <v>2054</v>
      </c>
      <c r="B267" s="16" t="s">
        <v>2055</v>
      </c>
      <c r="C267" s="16" t="s">
        <v>1778</v>
      </c>
      <c r="D267" s="16" t="s">
        <v>2042</v>
      </c>
      <c r="E267" s="16" t="s">
        <v>555</v>
      </c>
      <c r="H267" s="16" t="s">
        <v>33</v>
      </c>
    </row>
    <row r="268" spans="1:8" x14ac:dyDescent="0.3">
      <c r="A268" s="16" t="s">
        <v>2054</v>
      </c>
      <c r="B268" s="16" t="s">
        <v>2056</v>
      </c>
      <c r="C268" s="16" t="s">
        <v>1778</v>
      </c>
      <c r="D268" s="16" t="s">
        <v>18</v>
      </c>
      <c r="E268" s="16" t="s">
        <v>555</v>
      </c>
      <c r="G268" s="16" t="s">
        <v>1770</v>
      </c>
      <c r="H268" s="16" t="s">
        <v>33</v>
      </c>
    </row>
    <row r="269" spans="1:8" x14ac:dyDescent="0.3">
      <c r="A269" s="16" t="s">
        <v>2057</v>
      </c>
      <c r="B269" s="16" t="s">
        <v>2058</v>
      </c>
      <c r="C269" s="16" t="s">
        <v>1779</v>
      </c>
      <c r="D269" s="16" t="s">
        <v>2042</v>
      </c>
      <c r="E269" s="16" t="s">
        <v>555</v>
      </c>
      <c r="H269" s="16" t="s">
        <v>33</v>
      </c>
    </row>
    <row r="270" spans="1:8" x14ac:dyDescent="0.3">
      <c r="A270" s="16" t="s">
        <v>2057</v>
      </c>
      <c r="B270" s="16" t="s">
        <v>2058</v>
      </c>
      <c r="C270" s="16" t="s">
        <v>1915</v>
      </c>
      <c r="D270" s="16" t="s">
        <v>2042</v>
      </c>
      <c r="E270" s="16" t="s">
        <v>555</v>
      </c>
      <c r="H270" s="16" t="s">
        <v>33</v>
      </c>
    </row>
    <row r="271" spans="1:8" x14ac:dyDescent="0.3">
      <c r="A271" s="16" t="s">
        <v>2057</v>
      </c>
      <c r="B271" s="16" t="s">
        <v>2058</v>
      </c>
      <c r="C271" s="16" t="s">
        <v>1778</v>
      </c>
      <c r="D271" s="16" t="s">
        <v>2042</v>
      </c>
      <c r="E271" s="16" t="s">
        <v>555</v>
      </c>
      <c r="H271" s="16" t="s">
        <v>33</v>
      </c>
    </row>
    <row r="272" spans="1:8" x14ac:dyDescent="0.3">
      <c r="A272" s="16" t="s">
        <v>2057</v>
      </c>
      <c r="B272" s="16" t="s">
        <v>2059</v>
      </c>
      <c r="C272" s="16" t="s">
        <v>1779</v>
      </c>
      <c r="D272" s="16" t="s">
        <v>18</v>
      </c>
      <c r="E272" s="16" t="s">
        <v>555</v>
      </c>
      <c r="G272" s="16" t="s">
        <v>1770</v>
      </c>
      <c r="H272" s="16" t="s">
        <v>33</v>
      </c>
    </row>
    <row r="273" spans="1:8" x14ac:dyDescent="0.3">
      <c r="A273" s="16" t="s">
        <v>2057</v>
      </c>
      <c r="B273" s="16" t="s">
        <v>2060</v>
      </c>
      <c r="C273" s="16" t="s">
        <v>1915</v>
      </c>
      <c r="D273" s="16" t="s">
        <v>18</v>
      </c>
      <c r="E273" s="16" t="s">
        <v>555</v>
      </c>
      <c r="G273" s="16" t="s">
        <v>1770</v>
      </c>
      <c r="H273" s="16" t="s">
        <v>33</v>
      </c>
    </row>
    <row r="274" spans="1:8" x14ac:dyDescent="0.3">
      <c r="A274" s="16" t="s">
        <v>2057</v>
      </c>
      <c r="B274" s="16" t="s">
        <v>2061</v>
      </c>
      <c r="C274" s="16" t="s">
        <v>1778</v>
      </c>
      <c r="D274" s="16" t="s">
        <v>18</v>
      </c>
      <c r="E274" s="16" t="s">
        <v>555</v>
      </c>
      <c r="G274" s="16" t="s">
        <v>1770</v>
      </c>
      <c r="H274" s="16" t="s">
        <v>33</v>
      </c>
    </row>
    <row r="275" spans="1:8" x14ac:dyDescent="0.3">
      <c r="A275" s="16" t="s">
        <v>2062</v>
      </c>
      <c r="B275" s="16" t="s">
        <v>2063</v>
      </c>
      <c r="C275" s="16" t="s">
        <v>1779</v>
      </c>
      <c r="D275" s="16" t="s">
        <v>2042</v>
      </c>
      <c r="E275" s="16" t="s">
        <v>555</v>
      </c>
      <c r="H275" s="16" t="s">
        <v>33</v>
      </c>
    </row>
    <row r="276" spans="1:8" x14ac:dyDescent="0.3">
      <c r="A276" s="16" t="s">
        <v>2062</v>
      </c>
      <c r="B276" s="16" t="s">
        <v>2063</v>
      </c>
      <c r="C276" s="16" t="s">
        <v>1915</v>
      </c>
      <c r="D276" s="16" t="s">
        <v>2042</v>
      </c>
      <c r="E276" s="16" t="s">
        <v>555</v>
      </c>
      <c r="H276" s="16" t="s">
        <v>33</v>
      </c>
    </row>
    <row r="277" spans="1:8" x14ac:dyDescent="0.3">
      <c r="A277" s="16" t="s">
        <v>2062</v>
      </c>
      <c r="B277" s="16" t="s">
        <v>2063</v>
      </c>
      <c r="C277" s="16" t="s">
        <v>1778</v>
      </c>
      <c r="D277" s="16" t="s">
        <v>2042</v>
      </c>
      <c r="E277" s="16" t="s">
        <v>555</v>
      </c>
      <c r="H277" s="16" t="s">
        <v>33</v>
      </c>
    </row>
    <row r="278" spans="1:8" x14ac:dyDescent="0.3">
      <c r="A278" s="16" t="s">
        <v>2062</v>
      </c>
      <c r="B278" s="16" t="s">
        <v>2064</v>
      </c>
      <c r="C278" s="16" t="s">
        <v>1779</v>
      </c>
      <c r="D278" s="16" t="s">
        <v>18</v>
      </c>
      <c r="E278" s="16" t="s">
        <v>555</v>
      </c>
      <c r="G278" s="16" t="s">
        <v>1770</v>
      </c>
      <c r="H278" s="16" t="s">
        <v>33</v>
      </c>
    </row>
    <row r="279" spans="1:8" x14ac:dyDescent="0.3">
      <c r="A279" s="16" t="s">
        <v>2062</v>
      </c>
      <c r="B279" s="16" t="s">
        <v>2065</v>
      </c>
      <c r="C279" s="16" t="s">
        <v>1915</v>
      </c>
      <c r="D279" s="16" t="s">
        <v>18</v>
      </c>
      <c r="E279" s="16" t="s">
        <v>555</v>
      </c>
      <c r="G279" s="16" t="s">
        <v>1770</v>
      </c>
      <c r="H279" s="16" t="s">
        <v>33</v>
      </c>
    </row>
    <row r="280" spans="1:8" x14ac:dyDescent="0.3">
      <c r="A280" s="16" t="s">
        <v>2062</v>
      </c>
      <c r="B280" s="16" t="s">
        <v>2066</v>
      </c>
      <c r="C280" s="16" t="s">
        <v>1778</v>
      </c>
      <c r="D280" s="16" t="s">
        <v>18</v>
      </c>
      <c r="E280" s="16" t="s">
        <v>555</v>
      </c>
      <c r="G280" s="16" t="s">
        <v>1770</v>
      </c>
      <c r="H280" s="16" t="s">
        <v>33</v>
      </c>
    </row>
    <row r="281" spans="1:8" x14ac:dyDescent="0.3">
      <c r="A281" s="16" t="s">
        <v>2067</v>
      </c>
      <c r="B281" s="16" t="s">
        <v>2068</v>
      </c>
      <c r="C281" s="16" t="s">
        <v>1779</v>
      </c>
      <c r="D281" s="16" t="s">
        <v>2042</v>
      </c>
      <c r="E281" s="16" t="s">
        <v>555</v>
      </c>
      <c r="H281" s="16" t="s">
        <v>33</v>
      </c>
    </row>
    <row r="282" spans="1:8" x14ac:dyDescent="0.3">
      <c r="A282" s="16" t="s">
        <v>2067</v>
      </c>
      <c r="B282" s="16" t="s">
        <v>2068</v>
      </c>
      <c r="C282" s="16" t="s">
        <v>1915</v>
      </c>
      <c r="D282" s="16" t="s">
        <v>2042</v>
      </c>
      <c r="E282" s="16" t="s">
        <v>555</v>
      </c>
      <c r="H282" s="16" t="s">
        <v>33</v>
      </c>
    </row>
    <row r="283" spans="1:8" x14ac:dyDescent="0.3">
      <c r="A283" s="16" t="s">
        <v>2067</v>
      </c>
      <c r="B283" s="16" t="s">
        <v>2068</v>
      </c>
      <c r="C283" s="16" t="s">
        <v>1778</v>
      </c>
      <c r="D283" s="16" t="s">
        <v>2042</v>
      </c>
      <c r="E283" s="16" t="s">
        <v>555</v>
      </c>
      <c r="H283" s="16" t="s">
        <v>33</v>
      </c>
    </row>
    <row r="284" spans="1:8" x14ac:dyDescent="0.3">
      <c r="A284" s="16" t="s">
        <v>2067</v>
      </c>
      <c r="B284" s="16" t="s">
        <v>2069</v>
      </c>
      <c r="C284" s="16" t="s">
        <v>1779</v>
      </c>
      <c r="D284" s="16" t="s">
        <v>18</v>
      </c>
      <c r="E284" s="16" t="s">
        <v>555</v>
      </c>
      <c r="G284" s="16" t="s">
        <v>1770</v>
      </c>
      <c r="H284" s="16" t="s">
        <v>33</v>
      </c>
    </row>
    <row r="285" spans="1:8" x14ac:dyDescent="0.3">
      <c r="A285" s="16" t="s">
        <v>2067</v>
      </c>
      <c r="B285" s="16" t="s">
        <v>2070</v>
      </c>
      <c r="C285" s="16" t="s">
        <v>1915</v>
      </c>
      <c r="D285" s="16" t="s">
        <v>18</v>
      </c>
      <c r="E285" s="16" t="s">
        <v>555</v>
      </c>
      <c r="G285" s="16" t="s">
        <v>1770</v>
      </c>
      <c r="H285" s="16" t="s">
        <v>33</v>
      </c>
    </row>
    <row r="286" spans="1:8" x14ac:dyDescent="0.3">
      <c r="A286" s="16" t="s">
        <v>2067</v>
      </c>
      <c r="B286" s="16" t="s">
        <v>2071</v>
      </c>
      <c r="C286" s="16" t="s">
        <v>1778</v>
      </c>
      <c r="D286" s="16" t="s">
        <v>18</v>
      </c>
      <c r="E286" s="16" t="s">
        <v>555</v>
      </c>
      <c r="G286" s="16" t="s">
        <v>1770</v>
      </c>
      <c r="H286" s="16" t="s">
        <v>33</v>
      </c>
    </row>
    <row r="287" spans="1:8" x14ac:dyDescent="0.3">
      <c r="A287" s="16" t="s">
        <v>2072</v>
      </c>
      <c r="B287" s="16" t="s">
        <v>2073</v>
      </c>
      <c r="C287" s="16" t="s">
        <v>1778</v>
      </c>
      <c r="D287" s="16" t="s">
        <v>2042</v>
      </c>
      <c r="E287" s="16" t="s">
        <v>555</v>
      </c>
      <c r="H287" s="16" t="s">
        <v>33</v>
      </c>
    </row>
    <row r="288" spans="1:8" x14ac:dyDescent="0.3">
      <c r="A288" s="16" t="s">
        <v>2072</v>
      </c>
      <c r="B288" s="16" t="s">
        <v>2074</v>
      </c>
      <c r="C288" s="16" t="s">
        <v>1778</v>
      </c>
      <c r="D288" s="16" t="s">
        <v>18</v>
      </c>
      <c r="E288" s="16" t="s">
        <v>555</v>
      </c>
      <c r="G288" s="16" t="s">
        <v>1770</v>
      </c>
      <c r="H288" s="16" t="s">
        <v>33</v>
      </c>
    </row>
    <row r="289" spans="1:8" x14ac:dyDescent="0.3">
      <c r="A289" s="16" t="s">
        <v>2075</v>
      </c>
      <c r="B289" s="16" t="s">
        <v>2076</v>
      </c>
      <c r="C289" s="16" t="s">
        <v>1779</v>
      </c>
      <c r="D289" s="16" t="s">
        <v>2042</v>
      </c>
      <c r="E289" s="16" t="s">
        <v>555</v>
      </c>
      <c r="H289" s="16" t="s">
        <v>33</v>
      </c>
    </row>
    <row r="290" spans="1:8" x14ac:dyDescent="0.3">
      <c r="A290" s="16" t="s">
        <v>2075</v>
      </c>
      <c r="B290" s="16" t="s">
        <v>2076</v>
      </c>
      <c r="C290" s="16" t="s">
        <v>1915</v>
      </c>
      <c r="D290" s="16" t="s">
        <v>2042</v>
      </c>
      <c r="E290" s="16" t="s">
        <v>555</v>
      </c>
      <c r="H290" s="16" t="s">
        <v>33</v>
      </c>
    </row>
    <row r="291" spans="1:8" x14ac:dyDescent="0.3">
      <c r="A291" s="16" t="s">
        <v>2075</v>
      </c>
      <c r="B291" s="16" t="s">
        <v>2076</v>
      </c>
      <c r="C291" s="16" t="s">
        <v>1778</v>
      </c>
      <c r="D291" s="16" t="s">
        <v>2042</v>
      </c>
      <c r="E291" s="16" t="s">
        <v>555</v>
      </c>
      <c r="H291" s="16" t="s">
        <v>33</v>
      </c>
    </row>
    <row r="292" spans="1:8" x14ac:dyDescent="0.3">
      <c r="A292" s="16" t="s">
        <v>2075</v>
      </c>
      <c r="B292" s="16" t="s">
        <v>2077</v>
      </c>
      <c r="C292" s="16" t="s">
        <v>1779</v>
      </c>
      <c r="D292" s="16" t="s">
        <v>18</v>
      </c>
      <c r="E292" s="16" t="s">
        <v>555</v>
      </c>
      <c r="G292" s="16" t="s">
        <v>1770</v>
      </c>
      <c r="H292" s="16" t="s">
        <v>33</v>
      </c>
    </row>
    <row r="293" spans="1:8" x14ac:dyDescent="0.3">
      <c r="A293" s="16" t="s">
        <v>2075</v>
      </c>
      <c r="B293" s="16" t="s">
        <v>2078</v>
      </c>
      <c r="C293" s="16" t="s">
        <v>1915</v>
      </c>
      <c r="D293" s="16" t="s">
        <v>18</v>
      </c>
      <c r="E293" s="16" t="s">
        <v>555</v>
      </c>
      <c r="G293" s="16" t="s">
        <v>1770</v>
      </c>
      <c r="H293" s="16" t="s">
        <v>33</v>
      </c>
    </row>
    <row r="294" spans="1:8" x14ac:dyDescent="0.3">
      <c r="A294" s="16" t="s">
        <v>2075</v>
      </c>
      <c r="B294" s="16" t="s">
        <v>2079</v>
      </c>
      <c r="C294" s="16" t="s">
        <v>1778</v>
      </c>
      <c r="D294" s="16" t="s">
        <v>18</v>
      </c>
      <c r="E294" s="16" t="s">
        <v>555</v>
      </c>
      <c r="G294" s="16" t="s">
        <v>1770</v>
      </c>
      <c r="H294" s="16" t="s">
        <v>33</v>
      </c>
    </row>
    <row r="295" spans="1:8" x14ac:dyDescent="0.3">
      <c r="A295" s="16" t="s">
        <v>1472</v>
      </c>
      <c r="B295" s="16" t="s">
        <v>1473</v>
      </c>
      <c r="C295" s="16" t="s">
        <v>1779</v>
      </c>
      <c r="D295" s="16" t="s">
        <v>18</v>
      </c>
      <c r="E295" s="16" t="s">
        <v>1791</v>
      </c>
      <c r="G295" s="16" t="s">
        <v>1127</v>
      </c>
      <c r="H295" s="16" t="s">
        <v>33</v>
      </c>
    </row>
    <row r="296" spans="1:8" x14ac:dyDescent="0.3">
      <c r="A296" s="16" t="s">
        <v>2080</v>
      </c>
      <c r="B296" s="16" t="s">
        <v>2081</v>
      </c>
      <c r="C296" s="16" t="s">
        <v>1779</v>
      </c>
      <c r="D296" s="16" t="s">
        <v>18</v>
      </c>
      <c r="E296" s="16" t="s">
        <v>661</v>
      </c>
      <c r="G296" s="16" t="s">
        <v>1770</v>
      </c>
      <c r="H296" s="16" t="s">
        <v>33</v>
      </c>
    </row>
    <row r="297" spans="1:8" x14ac:dyDescent="0.3">
      <c r="A297" s="16" t="s">
        <v>2082</v>
      </c>
      <c r="B297" s="16" t="s">
        <v>2083</v>
      </c>
      <c r="C297" s="16" t="s">
        <v>1779</v>
      </c>
      <c r="D297" s="16" t="s">
        <v>133</v>
      </c>
      <c r="E297" s="16" t="s">
        <v>588</v>
      </c>
      <c r="G297" s="16" t="s">
        <v>662</v>
      </c>
      <c r="H297" s="16" t="s">
        <v>33</v>
      </c>
    </row>
    <row r="298" spans="1:8" x14ac:dyDescent="0.3">
      <c r="A298" s="16" t="s">
        <v>2082</v>
      </c>
      <c r="B298" s="16" t="s">
        <v>2084</v>
      </c>
      <c r="C298" s="16" t="s">
        <v>1779</v>
      </c>
      <c r="D298" s="16" t="s">
        <v>18</v>
      </c>
      <c r="E298" s="16" t="s">
        <v>588</v>
      </c>
      <c r="G298" s="16" t="s">
        <v>1770</v>
      </c>
      <c r="H298" s="16" t="s">
        <v>33</v>
      </c>
    </row>
    <row r="299" spans="1:8" x14ac:dyDescent="0.3">
      <c r="A299" s="16" t="s">
        <v>229</v>
      </c>
      <c r="B299" s="16" t="s">
        <v>2085</v>
      </c>
      <c r="C299" s="16" t="s">
        <v>1782</v>
      </c>
      <c r="D299" s="16" t="s">
        <v>133</v>
      </c>
      <c r="E299" s="16" t="s">
        <v>539</v>
      </c>
      <c r="H299" s="16" t="s">
        <v>33</v>
      </c>
    </row>
    <row r="300" spans="1:8" x14ac:dyDescent="0.3">
      <c r="A300" s="16" t="s">
        <v>229</v>
      </c>
      <c r="B300" s="16" t="s">
        <v>2086</v>
      </c>
      <c r="C300" s="16" t="s">
        <v>1779</v>
      </c>
      <c r="D300" s="16" t="s">
        <v>18</v>
      </c>
      <c r="E300" s="16" t="s">
        <v>539</v>
      </c>
      <c r="G300" s="16" t="s">
        <v>1770</v>
      </c>
      <c r="H300" s="16" t="s">
        <v>33</v>
      </c>
    </row>
    <row r="301" spans="1:8" x14ac:dyDescent="0.3">
      <c r="A301" s="16" t="s">
        <v>230</v>
      </c>
      <c r="B301" s="16" t="s">
        <v>2087</v>
      </c>
      <c r="C301" s="16" t="s">
        <v>1782</v>
      </c>
      <c r="D301" s="16" t="s">
        <v>133</v>
      </c>
      <c r="E301" s="16" t="s">
        <v>588</v>
      </c>
      <c r="H301" s="16" t="s">
        <v>33</v>
      </c>
    </row>
    <row r="302" spans="1:8" x14ac:dyDescent="0.3">
      <c r="A302" s="16" t="s">
        <v>230</v>
      </c>
      <c r="B302" s="16" t="s">
        <v>2088</v>
      </c>
      <c r="C302" s="16" t="s">
        <v>1779</v>
      </c>
      <c r="D302" s="16" t="s">
        <v>18</v>
      </c>
      <c r="E302" s="16" t="s">
        <v>588</v>
      </c>
      <c r="G302" s="16" t="s">
        <v>1770</v>
      </c>
      <c r="H302" s="16" t="s">
        <v>33</v>
      </c>
    </row>
    <row r="303" spans="1:8" x14ac:dyDescent="0.3">
      <c r="A303" s="16" t="s">
        <v>1281</v>
      </c>
      <c r="B303" s="16" t="s">
        <v>2089</v>
      </c>
      <c r="C303" s="16" t="s">
        <v>1779</v>
      </c>
      <c r="D303" s="16" t="s">
        <v>18</v>
      </c>
      <c r="E303" s="16" t="s">
        <v>539</v>
      </c>
      <c r="G303" s="16" t="s">
        <v>1770</v>
      </c>
      <c r="H303" s="16" t="s">
        <v>33</v>
      </c>
    </row>
    <row r="304" spans="1:8" x14ac:dyDescent="0.3">
      <c r="A304" s="16" t="s">
        <v>1281</v>
      </c>
      <c r="B304" s="16" t="s">
        <v>1282</v>
      </c>
      <c r="C304" s="16" t="s">
        <v>1778</v>
      </c>
      <c r="D304" s="16" t="s">
        <v>18</v>
      </c>
      <c r="E304" s="16" t="s">
        <v>539</v>
      </c>
      <c r="G304" s="16" t="s">
        <v>1103</v>
      </c>
      <c r="H304" s="16" t="s">
        <v>33</v>
      </c>
    </row>
    <row r="305" spans="1:10" x14ac:dyDescent="0.3">
      <c r="A305" s="16" t="s">
        <v>2090</v>
      </c>
      <c r="B305" s="16" t="s">
        <v>2091</v>
      </c>
      <c r="C305" s="16" t="s">
        <v>2092</v>
      </c>
      <c r="D305" s="16" t="s">
        <v>18</v>
      </c>
      <c r="E305" s="16" t="s">
        <v>539</v>
      </c>
      <c r="G305" s="16" t="s">
        <v>1770</v>
      </c>
      <c r="H305" s="16" t="s">
        <v>33</v>
      </c>
      <c r="I305" s="16" t="s">
        <v>33</v>
      </c>
    </row>
    <row r="306" spans="1:10" x14ac:dyDescent="0.3">
      <c r="A306" s="16" t="s">
        <v>2093</v>
      </c>
      <c r="B306" s="16" t="s">
        <v>2094</v>
      </c>
      <c r="C306" s="16" t="s">
        <v>1779</v>
      </c>
      <c r="D306" s="16" t="s">
        <v>388</v>
      </c>
      <c r="E306" s="16" t="s">
        <v>539</v>
      </c>
      <c r="H306" s="16" t="s">
        <v>33</v>
      </c>
      <c r="J306" s="16" t="s">
        <v>32</v>
      </c>
    </row>
    <row r="307" spans="1:10" x14ac:dyDescent="0.3">
      <c r="A307" s="16" t="s">
        <v>2095</v>
      </c>
      <c r="B307" s="16" t="s">
        <v>2096</v>
      </c>
      <c r="C307" s="16" t="s">
        <v>2010</v>
      </c>
      <c r="D307" s="16" t="s">
        <v>388</v>
      </c>
      <c r="E307" s="16" t="s">
        <v>539</v>
      </c>
      <c r="J307" s="16" t="s">
        <v>32</v>
      </c>
    </row>
    <row r="308" spans="1:10" x14ac:dyDescent="0.3">
      <c r="A308" s="16" t="s">
        <v>2095</v>
      </c>
      <c r="B308" s="16" t="s">
        <v>2096</v>
      </c>
      <c r="C308" s="16" t="s">
        <v>1779</v>
      </c>
      <c r="D308" s="16" t="s">
        <v>388</v>
      </c>
      <c r="E308" s="16" t="s">
        <v>539</v>
      </c>
      <c r="H308" s="16" t="s">
        <v>33</v>
      </c>
      <c r="J308" s="16" t="s">
        <v>32</v>
      </c>
    </row>
    <row r="309" spans="1:10" x14ac:dyDescent="0.3">
      <c r="A309" s="16" t="s">
        <v>2095</v>
      </c>
      <c r="B309" s="16" t="s">
        <v>2096</v>
      </c>
      <c r="C309" s="16" t="s">
        <v>1804</v>
      </c>
      <c r="D309" s="16" t="s">
        <v>388</v>
      </c>
      <c r="E309" s="16" t="s">
        <v>539</v>
      </c>
      <c r="H309" s="16" t="s">
        <v>33</v>
      </c>
      <c r="J309" s="16" t="s">
        <v>32</v>
      </c>
    </row>
    <row r="310" spans="1:10" x14ac:dyDescent="0.3">
      <c r="A310" s="16" t="s">
        <v>1283</v>
      </c>
      <c r="B310" s="16" t="s">
        <v>1284</v>
      </c>
      <c r="C310" s="16" t="s">
        <v>1778</v>
      </c>
      <c r="D310" s="16" t="s">
        <v>18</v>
      </c>
      <c r="E310" s="16" t="s">
        <v>539</v>
      </c>
      <c r="G310" s="16" t="s">
        <v>1127</v>
      </c>
      <c r="H310" s="16" t="s">
        <v>33</v>
      </c>
    </row>
    <row r="311" spans="1:10" x14ac:dyDescent="0.3">
      <c r="A311" s="16" t="s">
        <v>36</v>
      </c>
      <c r="B311" s="16" t="s">
        <v>3425</v>
      </c>
      <c r="C311" s="16" t="s">
        <v>1779</v>
      </c>
      <c r="D311" s="16" t="s">
        <v>18</v>
      </c>
      <c r="E311" s="16" t="s">
        <v>539</v>
      </c>
      <c r="G311" s="16" t="s">
        <v>1770</v>
      </c>
      <c r="H311" s="16" t="s">
        <v>33</v>
      </c>
    </row>
    <row r="312" spans="1:10" x14ac:dyDescent="0.3">
      <c r="A312" s="16" t="s">
        <v>36</v>
      </c>
      <c r="B312" s="16" t="s">
        <v>3426</v>
      </c>
      <c r="C312" s="16" t="s">
        <v>1778</v>
      </c>
      <c r="D312" s="16" t="s">
        <v>18</v>
      </c>
      <c r="E312" s="16" t="s">
        <v>539</v>
      </c>
      <c r="G312" s="16" t="s">
        <v>1770</v>
      </c>
      <c r="H312" s="16" t="s">
        <v>33</v>
      </c>
    </row>
    <row r="313" spans="1:10" x14ac:dyDescent="0.3">
      <c r="A313" s="16" t="s">
        <v>147</v>
      </c>
      <c r="B313" s="16" t="s">
        <v>3427</v>
      </c>
      <c r="C313" s="16" t="s">
        <v>1779</v>
      </c>
      <c r="D313" s="16" t="s">
        <v>18</v>
      </c>
      <c r="E313" s="16" t="s">
        <v>539</v>
      </c>
      <c r="G313" s="16" t="s">
        <v>1770</v>
      </c>
      <c r="H313" s="16" t="s">
        <v>33</v>
      </c>
    </row>
    <row r="314" spans="1:10" x14ac:dyDescent="0.3">
      <c r="A314" s="16" t="s">
        <v>1285</v>
      </c>
      <c r="B314" s="16" t="s">
        <v>1286</v>
      </c>
      <c r="C314" s="16" t="s">
        <v>1778</v>
      </c>
      <c r="D314" s="16" t="s">
        <v>18</v>
      </c>
      <c r="E314" s="16" t="s">
        <v>555</v>
      </c>
      <c r="G314" s="16" t="s">
        <v>1127</v>
      </c>
      <c r="H314" s="16" t="s">
        <v>33</v>
      </c>
    </row>
    <row r="315" spans="1:10" x14ac:dyDescent="0.3">
      <c r="A315" s="16" t="s">
        <v>2100</v>
      </c>
      <c r="B315" s="16" t="s">
        <v>2101</v>
      </c>
      <c r="C315" s="16" t="s">
        <v>1779</v>
      </c>
      <c r="D315" s="16" t="s">
        <v>388</v>
      </c>
      <c r="E315" s="16" t="s">
        <v>539</v>
      </c>
      <c r="H315" s="16" t="s">
        <v>33</v>
      </c>
      <c r="J315" s="16" t="s">
        <v>32</v>
      </c>
    </row>
    <row r="316" spans="1:10" x14ac:dyDescent="0.3">
      <c r="A316" s="16" t="s">
        <v>1287</v>
      </c>
      <c r="B316" s="16" t="s">
        <v>1288</v>
      </c>
      <c r="C316" s="16" t="s">
        <v>1778</v>
      </c>
      <c r="D316" s="16" t="s">
        <v>18</v>
      </c>
      <c r="E316" s="16" t="s">
        <v>539</v>
      </c>
      <c r="G316" s="16" t="s">
        <v>1127</v>
      </c>
      <c r="H316" s="16" t="s">
        <v>33</v>
      </c>
    </row>
    <row r="317" spans="1:10" x14ac:dyDescent="0.3">
      <c r="A317" s="16" t="s">
        <v>2102</v>
      </c>
      <c r="B317" s="16" t="s">
        <v>2103</v>
      </c>
      <c r="C317" s="16" t="s">
        <v>1779</v>
      </c>
      <c r="D317" s="16" t="s">
        <v>388</v>
      </c>
      <c r="E317" s="16" t="s">
        <v>539</v>
      </c>
      <c r="H317" s="16" t="s">
        <v>33</v>
      </c>
      <c r="J317" s="16" t="s">
        <v>32</v>
      </c>
    </row>
    <row r="318" spans="1:10" x14ac:dyDescent="0.3">
      <c r="A318" s="16" t="s">
        <v>2104</v>
      </c>
      <c r="B318" s="16" t="s">
        <v>2105</v>
      </c>
      <c r="C318" s="16" t="s">
        <v>1777</v>
      </c>
      <c r="D318" s="16" t="s">
        <v>133</v>
      </c>
      <c r="E318" s="16" t="s">
        <v>588</v>
      </c>
      <c r="H318" s="16" t="s">
        <v>33</v>
      </c>
    </row>
    <row r="319" spans="1:10" x14ac:dyDescent="0.3">
      <c r="A319" s="16" t="s">
        <v>2106</v>
      </c>
      <c r="B319" s="16" t="s">
        <v>2107</v>
      </c>
      <c r="C319" s="16" t="s">
        <v>1779</v>
      </c>
      <c r="D319" s="16" t="s">
        <v>133</v>
      </c>
      <c r="E319" s="16" t="s">
        <v>539</v>
      </c>
      <c r="G319" s="16" t="s">
        <v>662</v>
      </c>
      <c r="H319" s="16" t="s">
        <v>33</v>
      </c>
    </row>
    <row r="320" spans="1:10" x14ac:dyDescent="0.3">
      <c r="A320" s="16" t="s">
        <v>2108</v>
      </c>
      <c r="B320" s="16" t="s">
        <v>2109</v>
      </c>
      <c r="C320" s="16" t="s">
        <v>1779</v>
      </c>
      <c r="D320" s="16" t="s">
        <v>388</v>
      </c>
      <c r="E320" s="16" t="s">
        <v>539</v>
      </c>
      <c r="J320" s="16" t="s">
        <v>32</v>
      </c>
    </row>
    <row r="321" spans="1:10" x14ac:dyDescent="0.3">
      <c r="A321" s="16" t="s">
        <v>2110</v>
      </c>
      <c r="B321" s="16" t="s">
        <v>2111</v>
      </c>
      <c r="C321" s="16" t="s">
        <v>1779</v>
      </c>
      <c r="D321" s="16" t="s">
        <v>133</v>
      </c>
      <c r="E321" s="16" t="s">
        <v>539</v>
      </c>
      <c r="H321" s="16" t="s">
        <v>33</v>
      </c>
    </row>
    <row r="322" spans="1:10" x14ac:dyDescent="0.3">
      <c r="A322" s="16" t="s">
        <v>2112</v>
      </c>
      <c r="B322" s="16" t="s">
        <v>2113</v>
      </c>
      <c r="C322" s="16" t="s">
        <v>1779</v>
      </c>
      <c r="D322" s="16" t="s">
        <v>388</v>
      </c>
      <c r="E322" s="16" t="s">
        <v>539</v>
      </c>
      <c r="H322" s="16" t="s">
        <v>33</v>
      </c>
      <c r="J322" s="16" t="s">
        <v>32</v>
      </c>
    </row>
    <row r="323" spans="1:10" x14ac:dyDescent="0.3">
      <c r="A323" s="16" t="s">
        <v>2112</v>
      </c>
      <c r="B323" s="16" t="s">
        <v>2113</v>
      </c>
      <c r="C323" s="16" t="s">
        <v>1777</v>
      </c>
      <c r="D323" s="16" t="s">
        <v>388</v>
      </c>
      <c r="E323" s="16" t="s">
        <v>539</v>
      </c>
      <c r="H323" s="16" t="s">
        <v>33</v>
      </c>
      <c r="J323" s="16" t="s">
        <v>32</v>
      </c>
    </row>
    <row r="324" spans="1:10" x14ac:dyDescent="0.3">
      <c r="A324" s="16" t="s">
        <v>470</v>
      </c>
      <c r="B324" s="16" t="s">
        <v>3428</v>
      </c>
      <c r="C324" s="16" t="s">
        <v>1779</v>
      </c>
      <c r="D324" s="16" t="s">
        <v>18</v>
      </c>
      <c r="E324" s="16" t="s">
        <v>539</v>
      </c>
      <c r="G324" s="16" t="s">
        <v>1770</v>
      </c>
      <c r="H324" s="16" t="s">
        <v>33</v>
      </c>
    </row>
    <row r="325" spans="1:10" x14ac:dyDescent="0.3">
      <c r="A325" s="16" t="s">
        <v>2114</v>
      </c>
      <c r="B325" s="16" t="s">
        <v>492</v>
      </c>
      <c r="C325" s="16" t="s">
        <v>1779</v>
      </c>
      <c r="D325" s="16" t="s">
        <v>388</v>
      </c>
      <c r="E325" s="16" t="s">
        <v>539</v>
      </c>
      <c r="H325" s="16" t="s">
        <v>33</v>
      </c>
      <c r="J325" s="16" t="s">
        <v>32</v>
      </c>
    </row>
    <row r="326" spans="1:10" x14ac:dyDescent="0.3">
      <c r="A326" s="16" t="s">
        <v>2114</v>
      </c>
      <c r="B326" s="16" t="s">
        <v>492</v>
      </c>
      <c r="C326" s="16" t="s">
        <v>1777</v>
      </c>
      <c r="D326" s="16" t="s">
        <v>388</v>
      </c>
      <c r="E326" s="16" t="s">
        <v>539</v>
      </c>
      <c r="H326" s="16" t="s">
        <v>33</v>
      </c>
      <c r="J326" s="16" t="s">
        <v>32</v>
      </c>
    </row>
    <row r="327" spans="1:10" x14ac:dyDescent="0.3">
      <c r="A327" s="16" t="s">
        <v>2115</v>
      </c>
      <c r="B327" s="16" t="s">
        <v>2116</v>
      </c>
      <c r="C327" s="16" t="s">
        <v>1779</v>
      </c>
      <c r="D327" s="16" t="s">
        <v>18</v>
      </c>
      <c r="E327" s="16" t="s">
        <v>539</v>
      </c>
      <c r="G327" s="16" t="s">
        <v>1770</v>
      </c>
      <c r="H327" s="16" t="s">
        <v>33</v>
      </c>
    </row>
    <row r="328" spans="1:10" x14ac:dyDescent="0.3">
      <c r="A328" s="16" t="s">
        <v>428</v>
      </c>
      <c r="B328" s="16" t="s">
        <v>430</v>
      </c>
      <c r="C328" s="16" t="s">
        <v>1779</v>
      </c>
      <c r="D328" s="16" t="s">
        <v>388</v>
      </c>
      <c r="E328" s="16" t="s">
        <v>539</v>
      </c>
      <c r="H328" s="16" t="s">
        <v>33</v>
      </c>
      <c r="J328" s="16" t="s">
        <v>32</v>
      </c>
    </row>
    <row r="329" spans="1:10" x14ac:dyDescent="0.3">
      <c r="A329" s="16" t="s">
        <v>428</v>
      </c>
      <c r="B329" s="16" t="s">
        <v>430</v>
      </c>
      <c r="C329" s="16" t="s">
        <v>1777</v>
      </c>
      <c r="D329" s="16" t="s">
        <v>388</v>
      </c>
      <c r="E329" s="16" t="s">
        <v>539</v>
      </c>
      <c r="H329" s="16" t="s">
        <v>33</v>
      </c>
      <c r="J329" s="16" t="s">
        <v>32</v>
      </c>
    </row>
    <row r="330" spans="1:10" x14ac:dyDescent="0.3">
      <c r="A330" s="16" t="s">
        <v>1474</v>
      </c>
      <c r="B330" s="16" t="s">
        <v>1475</v>
      </c>
      <c r="C330" s="16" t="s">
        <v>1779</v>
      </c>
      <c r="D330" s="16" t="s">
        <v>18</v>
      </c>
      <c r="E330" s="16" t="s">
        <v>539</v>
      </c>
      <c r="G330" s="16" t="s">
        <v>1127</v>
      </c>
      <c r="H330" s="16" t="s">
        <v>33</v>
      </c>
    </row>
    <row r="331" spans="1:10" x14ac:dyDescent="0.3">
      <c r="A331" s="16" t="s">
        <v>154</v>
      </c>
      <c r="B331" s="16" t="s">
        <v>1116</v>
      </c>
      <c r="C331" s="16" t="s">
        <v>2092</v>
      </c>
      <c r="D331" s="16" t="s">
        <v>18</v>
      </c>
      <c r="E331" s="16" t="s">
        <v>539</v>
      </c>
      <c r="G331" s="16" t="s">
        <v>1103</v>
      </c>
      <c r="H331" s="16" t="s">
        <v>33</v>
      </c>
    </row>
    <row r="332" spans="1:10" x14ac:dyDescent="0.3">
      <c r="A332" s="16" t="s">
        <v>154</v>
      </c>
      <c r="B332" s="16" t="s">
        <v>2117</v>
      </c>
      <c r="C332" s="16" t="s">
        <v>1915</v>
      </c>
      <c r="D332" s="16" t="s">
        <v>133</v>
      </c>
      <c r="E332" s="16" t="s">
        <v>539</v>
      </c>
      <c r="H332" s="16" t="s">
        <v>33</v>
      </c>
    </row>
    <row r="333" spans="1:10" x14ac:dyDescent="0.3">
      <c r="A333" s="16" t="s">
        <v>154</v>
      </c>
      <c r="B333" s="16" t="s">
        <v>2118</v>
      </c>
      <c r="C333" s="16" t="s">
        <v>1782</v>
      </c>
      <c r="D333" s="16" t="s">
        <v>18</v>
      </c>
      <c r="E333" s="16" t="s">
        <v>539</v>
      </c>
      <c r="G333" s="16" t="s">
        <v>1103</v>
      </c>
      <c r="H333" s="16" t="s">
        <v>33</v>
      </c>
    </row>
    <row r="334" spans="1:10" x14ac:dyDescent="0.3">
      <c r="A334" s="16" t="s">
        <v>154</v>
      </c>
      <c r="B334" s="16" t="s">
        <v>155</v>
      </c>
      <c r="C334" s="16" t="s">
        <v>1779</v>
      </c>
      <c r="D334" s="16" t="s">
        <v>18</v>
      </c>
      <c r="E334" s="16" t="s">
        <v>539</v>
      </c>
      <c r="G334" s="16" t="s">
        <v>1103</v>
      </c>
      <c r="H334" s="16" t="s">
        <v>33</v>
      </c>
    </row>
    <row r="335" spans="1:10" x14ac:dyDescent="0.3">
      <c r="A335" s="16" t="s">
        <v>2119</v>
      </c>
      <c r="B335" s="16" t="s">
        <v>2120</v>
      </c>
      <c r="C335" s="16" t="s">
        <v>1769</v>
      </c>
      <c r="D335" s="16" t="s">
        <v>18</v>
      </c>
      <c r="E335" s="16" t="s">
        <v>1791</v>
      </c>
      <c r="G335" s="16" t="s">
        <v>1770</v>
      </c>
      <c r="H335" s="16" t="s">
        <v>33</v>
      </c>
      <c r="I335" s="16" t="s">
        <v>33</v>
      </c>
    </row>
    <row r="336" spans="1:10" x14ac:dyDescent="0.3">
      <c r="A336" s="16" t="s">
        <v>1170</v>
      </c>
      <c r="B336" s="16" t="s">
        <v>1171</v>
      </c>
      <c r="C336" s="16" t="s">
        <v>1777</v>
      </c>
      <c r="D336" s="16" t="s">
        <v>18</v>
      </c>
      <c r="E336" s="16" t="s">
        <v>539</v>
      </c>
      <c r="G336" s="16" t="s">
        <v>1103</v>
      </c>
      <c r="H336" s="16" t="s">
        <v>33</v>
      </c>
    </row>
    <row r="337" spans="1:11" x14ac:dyDescent="0.3">
      <c r="A337" s="16" t="s">
        <v>1476</v>
      </c>
      <c r="B337" s="16" t="s">
        <v>1477</v>
      </c>
      <c r="C337" s="16" t="s">
        <v>1779</v>
      </c>
      <c r="D337" s="16" t="s">
        <v>18</v>
      </c>
      <c r="E337" s="16" t="s">
        <v>539</v>
      </c>
      <c r="G337" s="16" t="s">
        <v>1103</v>
      </c>
      <c r="H337" s="16" t="s">
        <v>33</v>
      </c>
    </row>
    <row r="338" spans="1:11" x14ac:dyDescent="0.3">
      <c r="A338" s="16" t="s">
        <v>1478</v>
      </c>
      <c r="B338" s="16" t="s">
        <v>1479</v>
      </c>
      <c r="C338" s="16" t="s">
        <v>1779</v>
      </c>
      <c r="D338" s="16" t="s">
        <v>18</v>
      </c>
      <c r="E338" s="16" t="s">
        <v>539</v>
      </c>
      <c r="G338" s="16" t="s">
        <v>1103</v>
      </c>
      <c r="H338" s="16" t="s">
        <v>33</v>
      </c>
    </row>
    <row r="339" spans="1:11" x14ac:dyDescent="0.3">
      <c r="A339" s="16" t="s">
        <v>1289</v>
      </c>
      <c r="B339" s="16" t="s">
        <v>1290</v>
      </c>
      <c r="C339" s="16" t="s">
        <v>1778</v>
      </c>
      <c r="D339" s="16" t="s">
        <v>18</v>
      </c>
      <c r="E339" s="16" t="s">
        <v>617</v>
      </c>
      <c r="G339" s="16" t="s">
        <v>1103</v>
      </c>
      <c r="H339" s="16" t="s">
        <v>33</v>
      </c>
    </row>
    <row r="340" spans="1:11" x14ac:dyDescent="0.3">
      <c r="A340" s="16" t="s">
        <v>1289</v>
      </c>
      <c r="B340" s="16" t="s">
        <v>1480</v>
      </c>
      <c r="C340" s="16" t="s">
        <v>1779</v>
      </c>
      <c r="D340" s="16" t="s">
        <v>18</v>
      </c>
      <c r="E340" s="16" t="s">
        <v>617</v>
      </c>
      <c r="G340" s="16" t="s">
        <v>1103</v>
      </c>
      <c r="H340" s="16" t="s">
        <v>33</v>
      </c>
    </row>
    <row r="341" spans="1:11" x14ac:dyDescent="0.3">
      <c r="A341" s="16" t="s">
        <v>1481</v>
      </c>
      <c r="B341" s="16" t="s">
        <v>1482</v>
      </c>
      <c r="C341" s="16" t="s">
        <v>1779</v>
      </c>
      <c r="D341" s="16" t="s">
        <v>18</v>
      </c>
      <c r="E341" s="16" t="s">
        <v>539</v>
      </c>
      <c r="G341" s="16" t="s">
        <v>1103</v>
      </c>
      <c r="H341" s="16" t="s">
        <v>33</v>
      </c>
    </row>
    <row r="342" spans="1:11" x14ac:dyDescent="0.3">
      <c r="A342" s="16" t="s">
        <v>1291</v>
      </c>
      <c r="B342" s="16" t="s">
        <v>1292</v>
      </c>
      <c r="C342" s="16" t="s">
        <v>1778</v>
      </c>
      <c r="D342" s="16" t="s">
        <v>18</v>
      </c>
      <c r="E342" s="16" t="s">
        <v>539</v>
      </c>
      <c r="G342" s="16" t="s">
        <v>1103</v>
      </c>
      <c r="H342" s="16" t="s">
        <v>33</v>
      </c>
    </row>
    <row r="343" spans="1:11" x14ac:dyDescent="0.3">
      <c r="A343" s="16" t="s">
        <v>1483</v>
      </c>
      <c r="B343" s="16" t="s">
        <v>1484</v>
      </c>
      <c r="C343" s="16" t="s">
        <v>1779</v>
      </c>
      <c r="D343" s="16" t="s">
        <v>18</v>
      </c>
      <c r="E343" s="16" t="s">
        <v>539</v>
      </c>
      <c r="G343" s="16" t="s">
        <v>1103</v>
      </c>
      <c r="H343" s="16" t="s">
        <v>33</v>
      </c>
    </row>
    <row r="344" spans="1:11" x14ac:dyDescent="0.3">
      <c r="A344" s="16" t="s">
        <v>1485</v>
      </c>
      <c r="B344" s="16" t="s">
        <v>1486</v>
      </c>
      <c r="C344" s="16" t="s">
        <v>1779</v>
      </c>
      <c r="D344" s="16" t="s">
        <v>18</v>
      </c>
      <c r="E344" s="16" t="s">
        <v>539</v>
      </c>
      <c r="G344" s="16" t="s">
        <v>1103</v>
      </c>
      <c r="H344" s="16" t="s">
        <v>33</v>
      </c>
    </row>
    <row r="345" spans="1:11" x14ac:dyDescent="0.3">
      <c r="A345" s="16" t="s">
        <v>2121</v>
      </c>
      <c r="B345" s="16" t="s">
        <v>2122</v>
      </c>
      <c r="C345" s="16" t="s">
        <v>1779</v>
      </c>
      <c r="D345" s="16" t="s">
        <v>18</v>
      </c>
      <c r="E345" s="16" t="s">
        <v>539</v>
      </c>
      <c r="G345" s="16" t="s">
        <v>1770</v>
      </c>
      <c r="H345" s="16" t="s">
        <v>33</v>
      </c>
    </row>
    <row r="346" spans="1:11" x14ac:dyDescent="0.3">
      <c r="A346" s="16" t="s">
        <v>1172</v>
      </c>
      <c r="B346" s="16" t="s">
        <v>1173</v>
      </c>
      <c r="C346" s="16" t="s">
        <v>1777</v>
      </c>
      <c r="D346" s="16" t="s">
        <v>18</v>
      </c>
      <c r="E346" s="16" t="s">
        <v>588</v>
      </c>
      <c r="G346" s="16" t="s">
        <v>1103</v>
      </c>
      <c r="H346" s="16" t="s">
        <v>33</v>
      </c>
    </row>
    <row r="347" spans="1:11" x14ac:dyDescent="0.3">
      <c r="A347" s="16" t="s">
        <v>1172</v>
      </c>
      <c r="B347" s="16" t="s">
        <v>2123</v>
      </c>
      <c r="C347" s="16" t="s">
        <v>1777</v>
      </c>
      <c r="D347" s="16" t="s">
        <v>18</v>
      </c>
      <c r="E347" s="16" t="s">
        <v>588</v>
      </c>
      <c r="G347" s="16" t="s">
        <v>1103</v>
      </c>
      <c r="H347" s="16" t="s">
        <v>33</v>
      </c>
    </row>
    <row r="348" spans="1:11" x14ac:dyDescent="0.3">
      <c r="A348" s="16" t="s">
        <v>2124</v>
      </c>
      <c r="B348" s="16" t="s">
        <v>2125</v>
      </c>
      <c r="C348" s="16" t="s">
        <v>1779</v>
      </c>
      <c r="D348" s="16" t="s">
        <v>388</v>
      </c>
      <c r="E348" s="16" t="s">
        <v>539</v>
      </c>
      <c r="H348" s="16" t="s">
        <v>33</v>
      </c>
      <c r="J348" s="16" t="s">
        <v>1988</v>
      </c>
    </row>
    <row r="349" spans="1:11" x14ac:dyDescent="0.3">
      <c r="A349" s="16" t="s">
        <v>3429</v>
      </c>
      <c r="B349" s="16" t="s">
        <v>393</v>
      </c>
      <c r="C349" s="16" t="s">
        <v>1779</v>
      </c>
      <c r="D349" s="16" t="s">
        <v>388</v>
      </c>
      <c r="E349" s="16" t="s">
        <v>539</v>
      </c>
      <c r="J349" s="16" t="s">
        <v>32</v>
      </c>
    </row>
    <row r="350" spans="1:11" x14ac:dyDescent="0.3">
      <c r="A350" s="16" t="s">
        <v>3430</v>
      </c>
      <c r="B350" s="16" t="s">
        <v>356</v>
      </c>
      <c r="C350" s="16" t="s">
        <v>1779</v>
      </c>
      <c r="D350" s="16" t="s">
        <v>388</v>
      </c>
      <c r="E350" s="16" t="s">
        <v>539</v>
      </c>
      <c r="J350" s="16" t="s">
        <v>32</v>
      </c>
    </row>
    <row r="351" spans="1:11" x14ac:dyDescent="0.3">
      <c r="A351" s="16" t="s">
        <v>399</v>
      </c>
      <c r="B351" s="16" t="s">
        <v>281</v>
      </c>
      <c r="C351" s="16" t="s">
        <v>1779</v>
      </c>
      <c r="D351" s="16" t="s">
        <v>388</v>
      </c>
      <c r="E351" s="16" t="s">
        <v>539</v>
      </c>
      <c r="H351" s="16" t="s">
        <v>33</v>
      </c>
      <c r="J351" s="16" t="s">
        <v>32</v>
      </c>
    </row>
    <row r="352" spans="1:11" x14ac:dyDescent="0.3">
      <c r="A352" s="16" t="s">
        <v>3431</v>
      </c>
      <c r="B352" s="16" t="s">
        <v>144</v>
      </c>
      <c r="C352" s="16" t="s">
        <v>1779</v>
      </c>
      <c r="D352" s="16" t="s">
        <v>388</v>
      </c>
      <c r="E352" s="16" t="s">
        <v>539</v>
      </c>
      <c r="H352" s="16" t="s">
        <v>33</v>
      </c>
      <c r="J352" s="16" t="s">
        <v>32</v>
      </c>
      <c r="K352" s="16" t="s">
        <v>19</v>
      </c>
    </row>
    <row r="353" spans="1:11" x14ac:dyDescent="0.3">
      <c r="A353" s="16" t="s">
        <v>2126</v>
      </c>
      <c r="B353" s="16" t="s">
        <v>2127</v>
      </c>
      <c r="C353" s="16" t="s">
        <v>1779</v>
      </c>
      <c r="D353" s="16" t="s">
        <v>388</v>
      </c>
      <c r="E353" s="16" t="s">
        <v>539</v>
      </c>
      <c r="H353" s="16" t="s">
        <v>33</v>
      </c>
      <c r="J353" s="16" t="s">
        <v>32</v>
      </c>
    </row>
    <row r="354" spans="1:11" x14ac:dyDescent="0.3">
      <c r="A354" s="16" t="s">
        <v>2126</v>
      </c>
      <c r="B354" s="16" t="s">
        <v>2127</v>
      </c>
      <c r="C354" s="16" t="s">
        <v>1777</v>
      </c>
      <c r="D354" s="16" t="s">
        <v>388</v>
      </c>
      <c r="E354" s="16" t="s">
        <v>539</v>
      </c>
      <c r="H354" s="16" t="s">
        <v>33</v>
      </c>
      <c r="J354" s="16" t="s">
        <v>32</v>
      </c>
    </row>
    <row r="355" spans="1:11" x14ac:dyDescent="0.3">
      <c r="A355" s="16" t="s">
        <v>485</v>
      </c>
      <c r="B355" s="16" t="s">
        <v>214</v>
      </c>
      <c r="C355" s="16" t="s">
        <v>1779</v>
      </c>
      <c r="D355" s="16" t="s">
        <v>388</v>
      </c>
      <c r="E355" s="16" t="s">
        <v>539</v>
      </c>
      <c r="H355" s="16" t="s">
        <v>33</v>
      </c>
      <c r="J355" s="16" t="s">
        <v>32</v>
      </c>
    </row>
    <row r="356" spans="1:11" x14ac:dyDescent="0.3">
      <c r="A356" s="16" t="s">
        <v>486</v>
      </c>
      <c r="B356" s="16" t="s">
        <v>217</v>
      </c>
      <c r="C356" s="16" t="s">
        <v>1779</v>
      </c>
      <c r="D356" s="16" t="s">
        <v>388</v>
      </c>
      <c r="E356" s="16" t="s">
        <v>539</v>
      </c>
      <c r="H356" s="16" t="s">
        <v>33</v>
      </c>
      <c r="J356" s="16" t="s">
        <v>32</v>
      </c>
    </row>
    <row r="357" spans="1:11" x14ac:dyDescent="0.3">
      <c r="A357" s="16" t="s">
        <v>3432</v>
      </c>
      <c r="B357" s="16" t="s">
        <v>138</v>
      </c>
      <c r="C357" s="16" t="s">
        <v>1779</v>
      </c>
      <c r="D357" s="16" t="s">
        <v>388</v>
      </c>
      <c r="E357" s="16" t="s">
        <v>539</v>
      </c>
      <c r="H357" s="16" t="s">
        <v>33</v>
      </c>
      <c r="J357" s="16" t="s">
        <v>32</v>
      </c>
    </row>
    <row r="358" spans="1:11" x14ac:dyDescent="0.3">
      <c r="A358" s="16" t="s">
        <v>2128</v>
      </c>
      <c r="B358" s="16" t="s">
        <v>2129</v>
      </c>
      <c r="C358" s="16" t="s">
        <v>1778</v>
      </c>
      <c r="D358" s="16" t="s">
        <v>18</v>
      </c>
      <c r="E358" s="16" t="s">
        <v>539</v>
      </c>
      <c r="G358" s="16" t="s">
        <v>1770</v>
      </c>
      <c r="H358" s="16" t="s">
        <v>33</v>
      </c>
    </row>
    <row r="359" spans="1:11" x14ac:dyDescent="0.3">
      <c r="A359" s="16" t="s">
        <v>2130</v>
      </c>
      <c r="B359" s="16" t="s">
        <v>2131</v>
      </c>
      <c r="C359" s="16" t="s">
        <v>1777</v>
      </c>
      <c r="D359" s="16" t="s">
        <v>388</v>
      </c>
      <c r="E359" s="16" t="s">
        <v>539</v>
      </c>
      <c r="H359" s="16" t="s">
        <v>33</v>
      </c>
      <c r="J359" s="16" t="s">
        <v>32</v>
      </c>
    </row>
    <row r="360" spans="1:11" x14ac:dyDescent="0.3">
      <c r="A360" s="16" t="s">
        <v>1487</v>
      </c>
      <c r="B360" s="16" t="s">
        <v>1488</v>
      </c>
      <c r="C360" s="16" t="s">
        <v>1779</v>
      </c>
      <c r="D360" s="16" t="s">
        <v>18</v>
      </c>
      <c r="E360" s="16" t="s">
        <v>539</v>
      </c>
      <c r="G360" s="16" t="s">
        <v>1770</v>
      </c>
      <c r="H360" s="16" t="s">
        <v>33</v>
      </c>
    </row>
    <row r="361" spans="1:11" x14ac:dyDescent="0.3">
      <c r="A361" s="16" t="s">
        <v>1489</v>
      </c>
      <c r="B361" s="16" t="s">
        <v>1490</v>
      </c>
      <c r="C361" s="16" t="s">
        <v>1779</v>
      </c>
      <c r="D361" s="16" t="s">
        <v>18</v>
      </c>
      <c r="E361" s="16" t="s">
        <v>539</v>
      </c>
      <c r="G361" s="16" t="s">
        <v>1103</v>
      </c>
      <c r="H361" s="16" t="s">
        <v>33</v>
      </c>
    </row>
    <row r="362" spans="1:11" x14ac:dyDescent="0.3">
      <c r="A362" s="16" t="s">
        <v>2134</v>
      </c>
      <c r="B362" s="16" t="s">
        <v>2135</v>
      </c>
      <c r="C362" s="16" t="s">
        <v>1779</v>
      </c>
      <c r="D362" s="16" t="s">
        <v>388</v>
      </c>
      <c r="E362" s="16" t="s">
        <v>539</v>
      </c>
      <c r="H362" s="16" t="s">
        <v>33</v>
      </c>
      <c r="J362" s="16" t="s">
        <v>32</v>
      </c>
    </row>
    <row r="363" spans="1:11" x14ac:dyDescent="0.3">
      <c r="A363" s="16" t="s">
        <v>2134</v>
      </c>
      <c r="B363" s="16" t="s">
        <v>2135</v>
      </c>
      <c r="C363" s="16" t="s">
        <v>1777</v>
      </c>
      <c r="D363" s="16" t="s">
        <v>388</v>
      </c>
      <c r="E363" s="16" t="s">
        <v>539</v>
      </c>
      <c r="H363" s="16" t="s">
        <v>33</v>
      </c>
      <c r="J363" s="16" t="s">
        <v>32</v>
      </c>
    </row>
    <row r="364" spans="1:11" x14ac:dyDescent="0.3">
      <c r="A364" s="16" t="s">
        <v>2140</v>
      </c>
      <c r="B364" s="16" t="s">
        <v>2141</v>
      </c>
      <c r="C364" s="16" t="s">
        <v>1779</v>
      </c>
      <c r="D364" s="16" t="s">
        <v>388</v>
      </c>
      <c r="E364" s="16" t="s">
        <v>539</v>
      </c>
      <c r="H364" s="16" t="s">
        <v>33</v>
      </c>
      <c r="J364" s="16" t="s">
        <v>32</v>
      </c>
      <c r="K364" s="16" t="s">
        <v>2142</v>
      </c>
    </row>
    <row r="365" spans="1:11" x14ac:dyDescent="0.3">
      <c r="A365" s="16" t="s">
        <v>2140</v>
      </c>
      <c r="B365" s="16" t="s">
        <v>2141</v>
      </c>
      <c r="C365" s="16" t="s">
        <v>1777</v>
      </c>
      <c r="D365" s="16" t="s">
        <v>388</v>
      </c>
      <c r="E365" s="16" t="s">
        <v>539</v>
      </c>
      <c r="H365" s="16" t="s">
        <v>33</v>
      </c>
      <c r="J365" s="16" t="s">
        <v>32</v>
      </c>
    </row>
    <row r="366" spans="1:11" x14ac:dyDescent="0.3">
      <c r="A366" s="16" t="s">
        <v>255</v>
      </c>
      <c r="B366" s="16" t="s">
        <v>2143</v>
      </c>
      <c r="C366" s="16" t="s">
        <v>1808</v>
      </c>
      <c r="D366" s="16" t="s">
        <v>133</v>
      </c>
      <c r="E366" s="16" t="s">
        <v>255</v>
      </c>
      <c r="H366" s="16" t="s">
        <v>33</v>
      </c>
    </row>
    <row r="367" spans="1:11" x14ac:dyDescent="0.3">
      <c r="A367" s="16" t="s">
        <v>255</v>
      </c>
      <c r="B367" s="16" t="s">
        <v>256</v>
      </c>
      <c r="C367" s="16" t="s">
        <v>1779</v>
      </c>
      <c r="D367" s="16" t="s">
        <v>133</v>
      </c>
      <c r="E367" s="16" t="s">
        <v>661</v>
      </c>
      <c r="G367" s="16" t="s">
        <v>662</v>
      </c>
      <c r="H367" s="16" t="s">
        <v>33</v>
      </c>
    </row>
    <row r="368" spans="1:11" x14ac:dyDescent="0.3">
      <c r="A368" s="16" t="s">
        <v>2144</v>
      </c>
      <c r="B368" s="16" t="s">
        <v>2145</v>
      </c>
      <c r="C368" s="16" t="s">
        <v>1779</v>
      </c>
      <c r="D368" s="16" t="s">
        <v>133</v>
      </c>
      <c r="E368" s="16" t="s">
        <v>255</v>
      </c>
      <c r="H368" s="16" t="s">
        <v>33</v>
      </c>
    </row>
    <row r="369" spans="1:8" x14ac:dyDescent="0.3">
      <c r="A369" s="16" t="s">
        <v>181</v>
      </c>
      <c r="B369" s="16" t="s">
        <v>182</v>
      </c>
      <c r="C369" s="16" t="s">
        <v>1779</v>
      </c>
      <c r="D369" s="16" t="s">
        <v>18</v>
      </c>
      <c r="E369" s="16" t="s">
        <v>539</v>
      </c>
      <c r="G369" s="16" t="s">
        <v>1127</v>
      </c>
      <c r="H369" s="16" t="s">
        <v>33</v>
      </c>
    </row>
    <row r="370" spans="1:8" x14ac:dyDescent="0.3">
      <c r="A370" s="16" t="s">
        <v>2146</v>
      </c>
      <c r="B370" s="16" t="s">
        <v>2147</v>
      </c>
      <c r="C370" s="16" t="s">
        <v>1779</v>
      </c>
      <c r="D370" s="16" t="s">
        <v>133</v>
      </c>
      <c r="E370" s="16" t="s">
        <v>588</v>
      </c>
      <c r="H370" s="16" t="s">
        <v>33</v>
      </c>
    </row>
    <row r="371" spans="1:8" x14ac:dyDescent="0.3">
      <c r="A371" s="16" t="s">
        <v>2148</v>
      </c>
      <c r="B371" s="16" t="s">
        <v>2149</v>
      </c>
      <c r="C371" s="16" t="s">
        <v>1779</v>
      </c>
      <c r="D371" s="16" t="s">
        <v>133</v>
      </c>
      <c r="E371" s="16" t="s">
        <v>588</v>
      </c>
      <c r="H371" s="16" t="s">
        <v>33</v>
      </c>
    </row>
    <row r="372" spans="1:8" x14ac:dyDescent="0.3">
      <c r="A372" s="16" t="s">
        <v>661</v>
      </c>
      <c r="B372" s="16" t="s">
        <v>2150</v>
      </c>
      <c r="C372" s="16" t="s">
        <v>1808</v>
      </c>
      <c r="D372" s="16" t="s">
        <v>133</v>
      </c>
      <c r="E372" s="16" t="s">
        <v>661</v>
      </c>
      <c r="H372" s="16" t="s">
        <v>33</v>
      </c>
    </row>
    <row r="373" spans="1:8" x14ac:dyDescent="0.3">
      <c r="A373" s="16" t="s">
        <v>2151</v>
      </c>
      <c r="B373" s="16" t="s">
        <v>2152</v>
      </c>
      <c r="C373" s="16" t="s">
        <v>1779</v>
      </c>
      <c r="D373" s="16" t="s">
        <v>133</v>
      </c>
      <c r="E373" s="16" t="s">
        <v>661</v>
      </c>
      <c r="H373" s="16" t="s">
        <v>33</v>
      </c>
    </row>
    <row r="374" spans="1:8" x14ac:dyDescent="0.3">
      <c r="A374" s="16" t="s">
        <v>2151</v>
      </c>
      <c r="B374" s="16" t="s">
        <v>2153</v>
      </c>
      <c r="C374" s="16" t="s">
        <v>1915</v>
      </c>
      <c r="D374" s="16" t="s">
        <v>133</v>
      </c>
      <c r="E374" s="16" t="s">
        <v>661</v>
      </c>
      <c r="H374" s="16" t="s">
        <v>33</v>
      </c>
    </row>
    <row r="375" spans="1:8" x14ac:dyDescent="0.3">
      <c r="A375" s="16" t="s">
        <v>2154</v>
      </c>
      <c r="B375" s="16" t="s">
        <v>2155</v>
      </c>
      <c r="C375" s="16" t="s">
        <v>1779</v>
      </c>
      <c r="D375" s="16" t="s">
        <v>133</v>
      </c>
      <c r="E375" s="16" t="s">
        <v>661</v>
      </c>
      <c r="H375" s="16" t="s">
        <v>33</v>
      </c>
    </row>
    <row r="376" spans="1:8" x14ac:dyDescent="0.3">
      <c r="A376" s="16" t="s">
        <v>2154</v>
      </c>
      <c r="B376" s="16" t="s">
        <v>2156</v>
      </c>
      <c r="C376" s="16" t="s">
        <v>1778</v>
      </c>
      <c r="D376" s="16" t="s">
        <v>133</v>
      </c>
      <c r="E376" s="16" t="s">
        <v>661</v>
      </c>
      <c r="H376" s="16" t="s">
        <v>33</v>
      </c>
    </row>
    <row r="377" spans="1:8" x14ac:dyDescent="0.3">
      <c r="A377" s="16" t="s">
        <v>2157</v>
      </c>
      <c r="B377" s="16" t="s">
        <v>2158</v>
      </c>
      <c r="C377" s="16" t="s">
        <v>1779</v>
      </c>
      <c r="D377" s="16" t="s">
        <v>133</v>
      </c>
      <c r="E377" s="16" t="s">
        <v>661</v>
      </c>
      <c r="H377" s="16" t="s">
        <v>33</v>
      </c>
    </row>
    <row r="378" spans="1:8" x14ac:dyDescent="0.3">
      <c r="A378" s="16" t="s">
        <v>2157</v>
      </c>
      <c r="B378" s="16" t="s">
        <v>2159</v>
      </c>
      <c r="C378" s="16" t="s">
        <v>1915</v>
      </c>
      <c r="D378" s="16" t="s">
        <v>133</v>
      </c>
      <c r="E378" s="16" t="s">
        <v>661</v>
      </c>
      <c r="H378" s="16" t="s">
        <v>33</v>
      </c>
    </row>
    <row r="379" spans="1:8" x14ac:dyDescent="0.3">
      <c r="A379" s="16" t="s">
        <v>2160</v>
      </c>
      <c r="B379" s="16" t="s">
        <v>2161</v>
      </c>
      <c r="C379" s="16" t="s">
        <v>1779</v>
      </c>
      <c r="D379" s="16" t="s">
        <v>133</v>
      </c>
      <c r="E379" s="16" t="s">
        <v>661</v>
      </c>
      <c r="H379" s="16" t="s">
        <v>33</v>
      </c>
    </row>
    <row r="380" spans="1:8" x14ac:dyDescent="0.3">
      <c r="A380" s="16" t="s">
        <v>2160</v>
      </c>
      <c r="B380" s="16" t="s">
        <v>2162</v>
      </c>
      <c r="C380" s="16" t="s">
        <v>1778</v>
      </c>
      <c r="D380" s="16" t="s">
        <v>133</v>
      </c>
      <c r="E380" s="16" t="s">
        <v>661</v>
      </c>
      <c r="H380" s="16" t="s">
        <v>33</v>
      </c>
    </row>
    <row r="381" spans="1:8" x14ac:dyDescent="0.3">
      <c r="A381" s="16" t="s">
        <v>2163</v>
      </c>
      <c r="B381" s="16" t="s">
        <v>2164</v>
      </c>
      <c r="C381" s="16" t="s">
        <v>1779</v>
      </c>
      <c r="D381" s="16" t="s">
        <v>133</v>
      </c>
      <c r="E381" s="16" t="s">
        <v>661</v>
      </c>
      <c r="H381" s="16" t="s">
        <v>33</v>
      </c>
    </row>
    <row r="382" spans="1:8" x14ac:dyDescent="0.3">
      <c r="A382" s="16" t="s">
        <v>1110</v>
      </c>
      <c r="B382" s="16" t="s">
        <v>1111</v>
      </c>
      <c r="C382" s="16" t="s">
        <v>1812</v>
      </c>
      <c r="D382" s="16" t="s">
        <v>18</v>
      </c>
      <c r="E382" s="16" t="s">
        <v>661</v>
      </c>
      <c r="G382" s="16" t="s">
        <v>1103</v>
      </c>
      <c r="H382" s="16" t="s">
        <v>33</v>
      </c>
    </row>
    <row r="383" spans="1:8" x14ac:dyDescent="0.3">
      <c r="A383" s="16" t="s">
        <v>2165</v>
      </c>
      <c r="B383" s="16" t="s">
        <v>2166</v>
      </c>
      <c r="C383" s="16" t="s">
        <v>1779</v>
      </c>
      <c r="D383" s="16" t="s">
        <v>133</v>
      </c>
      <c r="E383" s="16" t="s">
        <v>1791</v>
      </c>
      <c r="H383" s="16" t="s">
        <v>33</v>
      </c>
    </row>
    <row r="384" spans="1:8" x14ac:dyDescent="0.3">
      <c r="A384" s="16" t="s">
        <v>2167</v>
      </c>
      <c r="B384" s="16" t="s">
        <v>2168</v>
      </c>
      <c r="C384" s="16" t="s">
        <v>1779</v>
      </c>
      <c r="D384" s="16" t="s">
        <v>133</v>
      </c>
      <c r="E384" s="16" t="s">
        <v>661</v>
      </c>
      <c r="H384" s="16" t="s">
        <v>33</v>
      </c>
    </row>
    <row r="385" spans="1:8" x14ac:dyDescent="0.3">
      <c r="A385" s="16" t="s">
        <v>2167</v>
      </c>
      <c r="B385" s="16" t="s">
        <v>2169</v>
      </c>
      <c r="C385" s="16" t="s">
        <v>1915</v>
      </c>
      <c r="D385" s="16" t="s">
        <v>133</v>
      </c>
      <c r="E385" s="16" t="s">
        <v>661</v>
      </c>
      <c r="H385" s="16" t="s">
        <v>33</v>
      </c>
    </row>
    <row r="386" spans="1:8" x14ac:dyDescent="0.3">
      <c r="A386" s="16" t="s">
        <v>2170</v>
      </c>
      <c r="B386" s="16" t="s">
        <v>2171</v>
      </c>
      <c r="C386" s="16" t="s">
        <v>1779</v>
      </c>
      <c r="D386" s="16" t="s">
        <v>133</v>
      </c>
      <c r="E386" s="16" t="s">
        <v>661</v>
      </c>
      <c r="H386" s="16" t="s">
        <v>33</v>
      </c>
    </row>
    <row r="387" spans="1:8" x14ac:dyDescent="0.3">
      <c r="A387" s="16" t="s">
        <v>2172</v>
      </c>
      <c r="B387" s="16" t="s">
        <v>2173</v>
      </c>
      <c r="C387" s="16" t="s">
        <v>1779</v>
      </c>
      <c r="D387" s="16" t="s">
        <v>133</v>
      </c>
      <c r="E387" s="16" t="s">
        <v>661</v>
      </c>
      <c r="H387" s="16" t="s">
        <v>33</v>
      </c>
    </row>
    <row r="388" spans="1:8" x14ac:dyDescent="0.3">
      <c r="A388" s="16" t="s">
        <v>2172</v>
      </c>
      <c r="B388" s="16" t="s">
        <v>2174</v>
      </c>
      <c r="C388" s="16" t="s">
        <v>1778</v>
      </c>
      <c r="D388" s="16" t="s">
        <v>133</v>
      </c>
      <c r="E388" s="16" t="s">
        <v>661</v>
      </c>
      <c r="H388" s="16" t="s">
        <v>33</v>
      </c>
    </row>
    <row r="389" spans="1:8" x14ac:dyDescent="0.3">
      <c r="A389" s="16" t="s">
        <v>2175</v>
      </c>
      <c r="B389" s="16" t="s">
        <v>2176</v>
      </c>
      <c r="C389" s="16" t="s">
        <v>1779</v>
      </c>
      <c r="D389" s="16" t="s">
        <v>133</v>
      </c>
      <c r="E389" s="16" t="s">
        <v>661</v>
      </c>
      <c r="H389" s="16" t="s">
        <v>33</v>
      </c>
    </row>
    <row r="390" spans="1:8" x14ac:dyDescent="0.3">
      <c r="A390" s="16" t="s">
        <v>2175</v>
      </c>
      <c r="B390" s="16" t="s">
        <v>2177</v>
      </c>
      <c r="C390" s="16" t="s">
        <v>1915</v>
      </c>
      <c r="D390" s="16" t="s">
        <v>133</v>
      </c>
      <c r="E390" s="16" t="s">
        <v>661</v>
      </c>
      <c r="H390" s="16" t="s">
        <v>33</v>
      </c>
    </row>
    <row r="391" spans="1:8" x14ac:dyDescent="0.3">
      <c r="A391" s="16" t="s">
        <v>2178</v>
      </c>
      <c r="B391" s="16" t="s">
        <v>2179</v>
      </c>
      <c r="C391" s="16" t="s">
        <v>1779</v>
      </c>
      <c r="D391" s="16" t="s">
        <v>133</v>
      </c>
      <c r="E391" s="16" t="s">
        <v>661</v>
      </c>
      <c r="H391" s="16" t="s">
        <v>33</v>
      </c>
    </row>
    <row r="392" spans="1:8" x14ac:dyDescent="0.3">
      <c r="A392" s="16" t="s">
        <v>2180</v>
      </c>
      <c r="B392" s="16" t="s">
        <v>2181</v>
      </c>
      <c r="C392" s="16" t="s">
        <v>1779</v>
      </c>
      <c r="D392" s="16" t="s">
        <v>133</v>
      </c>
      <c r="E392" s="16" t="s">
        <v>661</v>
      </c>
      <c r="H392" s="16" t="s">
        <v>33</v>
      </c>
    </row>
    <row r="393" spans="1:8" x14ac:dyDescent="0.3">
      <c r="A393" s="16" t="s">
        <v>2180</v>
      </c>
      <c r="B393" s="16" t="s">
        <v>2182</v>
      </c>
      <c r="C393" s="16" t="s">
        <v>1778</v>
      </c>
      <c r="D393" s="16" t="s">
        <v>133</v>
      </c>
      <c r="E393" s="16" t="s">
        <v>661</v>
      </c>
      <c r="H393" s="16" t="s">
        <v>33</v>
      </c>
    </row>
    <row r="394" spans="1:8" x14ac:dyDescent="0.3">
      <c r="A394" s="16" t="s">
        <v>2183</v>
      </c>
      <c r="B394" s="16" t="s">
        <v>2184</v>
      </c>
      <c r="C394" s="16" t="s">
        <v>1779</v>
      </c>
      <c r="D394" s="16" t="s">
        <v>133</v>
      </c>
      <c r="E394" s="16" t="s">
        <v>661</v>
      </c>
      <c r="H394" s="16" t="s">
        <v>33</v>
      </c>
    </row>
    <row r="395" spans="1:8" x14ac:dyDescent="0.3">
      <c r="A395" s="16" t="s">
        <v>2185</v>
      </c>
      <c r="B395" s="16" t="s">
        <v>2186</v>
      </c>
      <c r="C395" s="16" t="s">
        <v>1779</v>
      </c>
      <c r="D395" s="16" t="s">
        <v>133</v>
      </c>
      <c r="E395" s="16" t="s">
        <v>661</v>
      </c>
      <c r="H395" s="16" t="s">
        <v>33</v>
      </c>
    </row>
    <row r="396" spans="1:8" x14ac:dyDescent="0.3">
      <c r="A396" s="16" t="s">
        <v>2187</v>
      </c>
      <c r="B396" s="16" t="s">
        <v>2188</v>
      </c>
      <c r="C396" s="16" t="s">
        <v>1779</v>
      </c>
      <c r="D396" s="16" t="s">
        <v>133</v>
      </c>
      <c r="E396" s="16" t="s">
        <v>661</v>
      </c>
      <c r="H396" s="16" t="s">
        <v>33</v>
      </c>
    </row>
    <row r="397" spans="1:8" x14ac:dyDescent="0.3">
      <c r="A397" s="16" t="s">
        <v>2187</v>
      </c>
      <c r="B397" s="16" t="s">
        <v>2189</v>
      </c>
      <c r="C397" s="16" t="s">
        <v>1915</v>
      </c>
      <c r="D397" s="16" t="s">
        <v>133</v>
      </c>
      <c r="E397" s="16" t="s">
        <v>661</v>
      </c>
      <c r="H397" s="16" t="s">
        <v>33</v>
      </c>
    </row>
    <row r="398" spans="1:8" x14ac:dyDescent="0.3">
      <c r="A398" s="16" t="s">
        <v>2190</v>
      </c>
      <c r="B398" s="16" t="s">
        <v>2191</v>
      </c>
      <c r="C398" s="16" t="s">
        <v>1779</v>
      </c>
      <c r="D398" s="16" t="s">
        <v>133</v>
      </c>
      <c r="E398" s="16" t="s">
        <v>661</v>
      </c>
      <c r="H398" s="16" t="s">
        <v>33</v>
      </c>
    </row>
    <row r="399" spans="1:8" x14ac:dyDescent="0.3">
      <c r="A399" s="16" t="s">
        <v>2192</v>
      </c>
      <c r="B399" s="16" t="s">
        <v>2193</v>
      </c>
      <c r="C399" s="16" t="s">
        <v>1779</v>
      </c>
      <c r="D399" s="16" t="s">
        <v>133</v>
      </c>
      <c r="E399" s="16" t="s">
        <v>661</v>
      </c>
      <c r="H399" s="16" t="s">
        <v>33</v>
      </c>
    </row>
    <row r="400" spans="1:8" x14ac:dyDescent="0.3">
      <c r="A400" s="16" t="s">
        <v>2192</v>
      </c>
      <c r="B400" s="16" t="s">
        <v>2194</v>
      </c>
      <c r="C400" s="16" t="s">
        <v>1915</v>
      </c>
      <c r="D400" s="16" t="s">
        <v>133</v>
      </c>
      <c r="E400" s="16" t="s">
        <v>661</v>
      </c>
      <c r="H400" s="16" t="s">
        <v>33</v>
      </c>
    </row>
    <row r="401" spans="1:10" x14ac:dyDescent="0.3">
      <c r="A401" s="16" t="s">
        <v>2195</v>
      </c>
      <c r="B401" s="16" t="s">
        <v>2196</v>
      </c>
      <c r="C401" s="16" t="s">
        <v>1779</v>
      </c>
      <c r="D401" s="16" t="s">
        <v>133</v>
      </c>
      <c r="E401" s="16" t="s">
        <v>661</v>
      </c>
      <c r="H401" s="16" t="s">
        <v>33</v>
      </c>
    </row>
    <row r="402" spans="1:10" x14ac:dyDescent="0.3">
      <c r="A402" s="16" t="s">
        <v>2197</v>
      </c>
      <c r="B402" s="16" t="s">
        <v>2198</v>
      </c>
      <c r="C402" s="16" t="s">
        <v>1808</v>
      </c>
      <c r="D402" s="16" t="s">
        <v>133</v>
      </c>
      <c r="E402" s="16" t="s">
        <v>661</v>
      </c>
      <c r="H402" s="16" t="s">
        <v>33</v>
      </c>
    </row>
    <row r="403" spans="1:10" x14ac:dyDescent="0.3">
      <c r="A403" s="16" t="s">
        <v>2197</v>
      </c>
      <c r="B403" s="16" t="s">
        <v>2199</v>
      </c>
      <c r="C403" s="16" t="s">
        <v>1782</v>
      </c>
      <c r="D403" s="16" t="s">
        <v>133</v>
      </c>
      <c r="E403" s="16" t="s">
        <v>661</v>
      </c>
      <c r="H403" s="16" t="s">
        <v>33</v>
      </c>
    </row>
    <row r="404" spans="1:10" x14ac:dyDescent="0.3">
      <c r="A404" s="16" t="s">
        <v>2200</v>
      </c>
      <c r="B404" s="16" t="s">
        <v>2201</v>
      </c>
      <c r="C404" s="16" t="s">
        <v>1808</v>
      </c>
      <c r="D404" s="16" t="s">
        <v>133</v>
      </c>
      <c r="E404" s="16" t="s">
        <v>661</v>
      </c>
      <c r="H404" s="16" t="s">
        <v>33</v>
      </c>
    </row>
    <row r="405" spans="1:10" x14ac:dyDescent="0.3">
      <c r="A405" s="16" t="s">
        <v>2202</v>
      </c>
      <c r="B405" s="16" t="s">
        <v>2203</v>
      </c>
      <c r="C405" s="16" t="s">
        <v>1808</v>
      </c>
      <c r="D405" s="16" t="s">
        <v>133</v>
      </c>
      <c r="E405" s="16" t="s">
        <v>661</v>
      </c>
      <c r="H405" s="16" t="s">
        <v>33</v>
      </c>
    </row>
    <row r="406" spans="1:10" x14ac:dyDescent="0.3">
      <c r="A406" s="16" t="s">
        <v>2204</v>
      </c>
      <c r="B406" s="16" t="s">
        <v>2205</v>
      </c>
      <c r="C406" s="16" t="s">
        <v>1782</v>
      </c>
      <c r="D406" s="16" t="s">
        <v>133</v>
      </c>
      <c r="E406" s="16" t="s">
        <v>661</v>
      </c>
      <c r="H406" s="16" t="s">
        <v>33</v>
      </c>
    </row>
    <row r="407" spans="1:10" x14ac:dyDescent="0.3">
      <c r="A407" s="16" t="s">
        <v>2206</v>
      </c>
      <c r="B407" s="16" t="s">
        <v>2207</v>
      </c>
      <c r="C407" s="16" t="s">
        <v>1808</v>
      </c>
      <c r="D407" s="16" t="s">
        <v>133</v>
      </c>
      <c r="E407" s="16" t="s">
        <v>661</v>
      </c>
      <c r="H407" s="16" t="s">
        <v>33</v>
      </c>
    </row>
    <row r="408" spans="1:10" x14ac:dyDescent="0.3">
      <c r="A408" s="16" t="s">
        <v>2208</v>
      </c>
      <c r="B408" s="16" t="s">
        <v>2209</v>
      </c>
      <c r="C408" s="16" t="s">
        <v>1769</v>
      </c>
      <c r="D408" s="16" t="s">
        <v>133</v>
      </c>
      <c r="E408" s="16" t="s">
        <v>661</v>
      </c>
      <c r="H408" s="16" t="s">
        <v>33</v>
      </c>
    </row>
    <row r="409" spans="1:10" x14ac:dyDescent="0.3">
      <c r="A409" s="16" t="s">
        <v>2210</v>
      </c>
      <c r="B409" s="16" t="s">
        <v>2211</v>
      </c>
      <c r="C409" s="16" t="s">
        <v>1769</v>
      </c>
      <c r="D409" s="16" t="s">
        <v>133</v>
      </c>
      <c r="E409" s="16" t="s">
        <v>661</v>
      </c>
      <c r="H409" s="16" t="s">
        <v>33</v>
      </c>
    </row>
    <row r="410" spans="1:10" x14ac:dyDescent="0.3">
      <c r="A410" s="16" t="s">
        <v>1117</v>
      </c>
      <c r="B410" s="16" t="s">
        <v>1118</v>
      </c>
      <c r="C410" s="16" t="s">
        <v>2092</v>
      </c>
      <c r="D410" s="16" t="s">
        <v>18</v>
      </c>
      <c r="E410" s="16" t="s">
        <v>539</v>
      </c>
      <c r="G410" s="16" t="s">
        <v>1103</v>
      </c>
      <c r="H410" s="16" t="s">
        <v>33</v>
      </c>
    </row>
    <row r="411" spans="1:10" x14ac:dyDescent="0.3">
      <c r="A411" s="16" t="s">
        <v>1191</v>
      </c>
      <c r="B411" s="16" t="s">
        <v>1192</v>
      </c>
      <c r="C411" s="16" t="s">
        <v>1769</v>
      </c>
      <c r="D411" s="16" t="s">
        <v>18</v>
      </c>
      <c r="E411" s="16" t="s">
        <v>539</v>
      </c>
      <c r="G411" s="16" t="s">
        <v>1103</v>
      </c>
      <c r="H411" s="16" t="s">
        <v>33</v>
      </c>
    </row>
    <row r="412" spans="1:10" x14ac:dyDescent="0.3">
      <c r="A412" s="16" t="s">
        <v>2212</v>
      </c>
      <c r="B412" s="16" t="s">
        <v>2213</v>
      </c>
      <c r="C412" s="16" t="s">
        <v>1779</v>
      </c>
      <c r="D412" s="16" t="s">
        <v>133</v>
      </c>
      <c r="E412" s="16" t="s">
        <v>539</v>
      </c>
      <c r="H412" s="16" t="s">
        <v>33</v>
      </c>
    </row>
    <row r="413" spans="1:10" x14ac:dyDescent="0.3">
      <c r="A413" s="16" t="s">
        <v>1491</v>
      </c>
      <c r="B413" s="16" t="s">
        <v>1492</v>
      </c>
      <c r="C413" s="16" t="s">
        <v>1779</v>
      </c>
      <c r="D413" s="16" t="s">
        <v>18</v>
      </c>
      <c r="E413" s="16" t="s">
        <v>539</v>
      </c>
      <c r="G413" s="16" t="s">
        <v>1103</v>
      </c>
      <c r="H413" s="16" t="s">
        <v>33</v>
      </c>
    </row>
    <row r="414" spans="1:10" x14ac:dyDescent="0.3">
      <c r="A414" s="16" t="s">
        <v>2214</v>
      </c>
      <c r="B414" s="16" t="s">
        <v>2215</v>
      </c>
      <c r="C414" s="16" t="s">
        <v>1779</v>
      </c>
      <c r="D414" s="16" t="s">
        <v>133</v>
      </c>
      <c r="E414" s="16" t="s">
        <v>539</v>
      </c>
      <c r="H414" s="16" t="s">
        <v>33</v>
      </c>
    </row>
    <row r="415" spans="1:10" x14ac:dyDescent="0.3">
      <c r="A415" s="16" t="s">
        <v>2216</v>
      </c>
      <c r="B415" s="16" t="s">
        <v>2217</v>
      </c>
      <c r="C415" s="16" t="s">
        <v>1779</v>
      </c>
      <c r="D415" s="16" t="s">
        <v>133</v>
      </c>
      <c r="E415" s="16" t="s">
        <v>1791</v>
      </c>
      <c r="H415" s="16" t="s">
        <v>33</v>
      </c>
    </row>
    <row r="416" spans="1:10" x14ac:dyDescent="0.3">
      <c r="A416" s="16" t="s">
        <v>484</v>
      </c>
      <c r="B416" s="16" t="s">
        <v>276</v>
      </c>
      <c r="C416" s="16" t="s">
        <v>1779</v>
      </c>
      <c r="D416" s="16" t="s">
        <v>388</v>
      </c>
      <c r="E416" s="16" t="s">
        <v>539</v>
      </c>
      <c r="H416" s="16" t="s">
        <v>33</v>
      </c>
      <c r="J416" s="16" t="s">
        <v>1988</v>
      </c>
    </row>
    <row r="417" spans="1:10" x14ac:dyDescent="0.3">
      <c r="A417" s="16" t="s">
        <v>1293</v>
      </c>
      <c r="B417" s="16" t="s">
        <v>1294</v>
      </c>
      <c r="C417" s="16" t="s">
        <v>1778</v>
      </c>
      <c r="D417" s="16" t="s">
        <v>18</v>
      </c>
      <c r="E417" s="16" t="s">
        <v>555</v>
      </c>
      <c r="G417" s="16" t="s">
        <v>1127</v>
      </c>
      <c r="H417" s="16" t="s">
        <v>33</v>
      </c>
    </row>
    <row r="418" spans="1:10" x14ac:dyDescent="0.3">
      <c r="A418" s="16" t="s">
        <v>2220</v>
      </c>
      <c r="B418" s="16" t="s">
        <v>2221</v>
      </c>
      <c r="C418" s="16" t="s">
        <v>1779</v>
      </c>
      <c r="D418" s="16" t="s">
        <v>388</v>
      </c>
      <c r="E418" s="16" t="s">
        <v>539</v>
      </c>
      <c r="H418" s="16" t="s">
        <v>33</v>
      </c>
      <c r="J418" s="16" t="s">
        <v>32</v>
      </c>
    </row>
    <row r="419" spans="1:10" x14ac:dyDescent="0.3">
      <c r="A419" s="16" t="s">
        <v>1295</v>
      </c>
      <c r="B419" s="16" t="s">
        <v>1296</v>
      </c>
      <c r="C419" s="16" t="s">
        <v>1778</v>
      </c>
      <c r="D419" s="16" t="s">
        <v>18</v>
      </c>
      <c r="E419" s="16" t="s">
        <v>539</v>
      </c>
      <c r="G419" s="16" t="s">
        <v>1127</v>
      </c>
      <c r="H419" s="16" t="s">
        <v>33</v>
      </c>
    </row>
    <row r="420" spans="1:10" x14ac:dyDescent="0.3">
      <c r="A420" s="16" t="s">
        <v>2222</v>
      </c>
      <c r="B420" s="16" t="s">
        <v>2223</v>
      </c>
      <c r="C420" s="16" t="s">
        <v>1779</v>
      </c>
      <c r="D420" s="16" t="s">
        <v>388</v>
      </c>
      <c r="E420" s="16" t="s">
        <v>539</v>
      </c>
      <c r="H420" s="16" t="s">
        <v>33</v>
      </c>
      <c r="J420" s="16" t="s">
        <v>32</v>
      </c>
    </row>
    <row r="421" spans="1:10" x14ac:dyDescent="0.3">
      <c r="A421" s="16" t="s">
        <v>2224</v>
      </c>
      <c r="B421" s="16" t="s">
        <v>2225</v>
      </c>
      <c r="C421" s="16" t="s">
        <v>1779</v>
      </c>
      <c r="D421" s="16" t="s">
        <v>388</v>
      </c>
      <c r="E421" s="16" t="s">
        <v>539</v>
      </c>
      <c r="H421" s="16" t="s">
        <v>33</v>
      </c>
      <c r="J421" s="16" t="s">
        <v>32</v>
      </c>
    </row>
    <row r="422" spans="1:10" x14ac:dyDescent="0.3">
      <c r="A422" s="16" t="s">
        <v>2224</v>
      </c>
      <c r="B422" s="16" t="s">
        <v>2225</v>
      </c>
      <c r="C422" s="16" t="s">
        <v>1777</v>
      </c>
      <c r="D422" s="16" t="s">
        <v>388</v>
      </c>
      <c r="E422" s="16" t="s">
        <v>539</v>
      </c>
      <c r="H422" s="16" t="s">
        <v>33</v>
      </c>
      <c r="J422" s="16" t="s">
        <v>32</v>
      </c>
    </row>
    <row r="423" spans="1:10" x14ac:dyDescent="0.3">
      <c r="A423" s="16" t="s">
        <v>2226</v>
      </c>
      <c r="B423" s="16" t="s">
        <v>2227</v>
      </c>
      <c r="C423" s="16" t="s">
        <v>1808</v>
      </c>
      <c r="D423" s="16" t="s">
        <v>133</v>
      </c>
      <c r="E423" s="16" t="s">
        <v>1791</v>
      </c>
      <c r="H423" s="16" t="s">
        <v>33</v>
      </c>
    </row>
    <row r="424" spans="1:10" x14ac:dyDescent="0.3">
      <c r="A424" s="16" t="s">
        <v>148</v>
      </c>
      <c r="B424" s="16" t="s">
        <v>3433</v>
      </c>
      <c r="C424" s="16" t="s">
        <v>1779</v>
      </c>
      <c r="D424" s="16" t="s">
        <v>18</v>
      </c>
      <c r="E424" s="16" t="s">
        <v>539</v>
      </c>
      <c r="G424" s="16" t="s">
        <v>1770</v>
      </c>
      <c r="H424" s="16" t="s">
        <v>33</v>
      </c>
    </row>
    <row r="425" spans="1:10" x14ac:dyDescent="0.3">
      <c r="A425" s="16" t="s">
        <v>2228</v>
      </c>
      <c r="B425" s="16" t="s">
        <v>2229</v>
      </c>
      <c r="C425" s="16" t="s">
        <v>1779</v>
      </c>
      <c r="D425" s="16" t="s">
        <v>388</v>
      </c>
      <c r="E425" s="16" t="s">
        <v>539</v>
      </c>
      <c r="H425" s="16" t="s">
        <v>33</v>
      </c>
      <c r="J425" s="16" t="s">
        <v>1988</v>
      </c>
    </row>
    <row r="426" spans="1:10" x14ac:dyDescent="0.3">
      <c r="A426" s="16" t="s">
        <v>326</v>
      </c>
      <c r="B426" s="16" t="s">
        <v>327</v>
      </c>
      <c r="C426" s="16" t="s">
        <v>1779</v>
      </c>
      <c r="D426" s="16" t="s">
        <v>18</v>
      </c>
      <c r="E426" s="16" t="s">
        <v>539</v>
      </c>
      <c r="G426" s="16" t="s">
        <v>1127</v>
      </c>
      <c r="H426" s="16" t="s">
        <v>33</v>
      </c>
    </row>
    <row r="427" spans="1:10" x14ac:dyDescent="0.3">
      <c r="A427" s="16" t="s">
        <v>1493</v>
      </c>
      <c r="B427" s="16" t="s">
        <v>1494</v>
      </c>
      <c r="C427" s="16" t="s">
        <v>1779</v>
      </c>
      <c r="D427" s="16" t="s">
        <v>18</v>
      </c>
      <c r="E427" s="16" t="s">
        <v>539</v>
      </c>
      <c r="G427" s="16" t="s">
        <v>1127</v>
      </c>
      <c r="H427" s="16" t="s">
        <v>33</v>
      </c>
    </row>
    <row r="428" spans="1:10" x14ac:dyDescent="0.3">
      <c r="A428" s="16" t="s">
        <v>311</v>
      </c>
      <c r="B428" s="16" t="s">
        <v>313</v>
      </c>
      <c r="C428" s="16" t="s">
        <v>1779</v>
      </c>
      <c r="D428" s="16" t="s">
        <v>388</v>
      </c>
      <c r="E428" s="16" t="s">
        <v>539</v>
      </c>
      <c r="H428" s="16" t="s">
        <v>33</v>
      </c>
      <c r="J428" s="16" t="s">
        <v>1988</v>
      </c>
    </row>
    <row r="429" spans="1:10" x14ac:dyDescent="0.3">
      <c r="A429" s="16" t="s">
        <v>42</v>
      </c>
      <c r="B429" s="16" t="s">
        <v>3434</v>
      </c>
      <c r="C429" s="16" t="s">
        <v>1779</v>
      </c>
      <c r="D429" s="16" t="s">
        <v>18</v>
      </c>
      <c r="E429" s="16" t="s">
        <v>539</v>
      </c>
      <c r="G429" s="16" t="s">
        <v>1770</v>
      </c>
      <c r="H429" s="16" t="s">
        <v>33</v>
      </c>
    </row>
    <row r="430" spans="1:10" x14ac:dyDescent="0.3">
      <c r="A430" s="16" t="s">
        <v>42</v>
      </c>
      <c r="B430" s="16" t="s">
        <v>2233</v>
      </c>
      <c r="C430" s="16" t="s">
        <v>1778</v>
      </c>
      <c r="D430" s="16" t="s">
        <v>18</v>
      </c>
      <c r="E430" s="16" t="s">
        <v>539</v>
      </c>
      <c r="G430" s="16" t="s">
        <v>1770</v>
      </c>
      <c r="H430" s="16" t="s">
        <v>33</v>
      </c>
    </row>
    <row r="431" spans="1:10" x14ac:dyDescent="0.3">
      <c r="A431" s="16" t="s">
        <v>2234</v>
      </c>
      <c r="B431" s="16" t="s">
        <v>2235</v>
      </c>
      <c r="C431" s="16" t="s">
        <v>1777</v>
      </c>
      <c r="D431" s="16" t="s">
        <v>388</v>
      </c>
      <c r="E431" s="16" t="s">
        <v>539</v>
      </c>
      <c r="H431" s="16" t="s">
        <v>33</v>
      </c>
      <c r="J431" s="16" t="s">
        <v>32</v>
      </c>
    </row>
    <row r="432" spans="1:10" x14ac:dyDescent="0.3">
      <c r="A432" s="16" t="s">
        <v>1174</v>
      </c>
      <c r="B432" s="16" t="s">
        <v>1175</v>
      </c>
      <c r="C432" s="16" t="s">
        <v>1777</v>
      </c>
      <c r="D432" s="16" t="s">
        <v>18</v>
      </c>
      <c r="E432" s="16" t="s">
        <v>539</v>
      </c>
      <c r="G432" s="16" t="s">
        <v>1127</v>
      </c>
      <c r="H432" s="16" t="s">
        <v>33</v>
      </c>
    </row>
    <row r="433" spans="1:11" x14ac:dyDescent="0.3">
      <c r="A433" s="16" t="s">
        <v>1174</v>
      </c>
      <c r="B433" s="16" t="s">
        <v>1297</v>
      </c>
      <c r="C433" s="16" t="s">
        <v>1778</v>
      </c>
      <c r="D433" s="16" t="s">
        <v>18</v>
      </c>
      <c r="E433" s="16" t="s">
        <v>539</v>
      </c>
      <c r="G433" s="16" t="s">
        <v>1127</v>
      </c>
      <c r="H433" s="16" t="s">
        <v>33</v>
      </c>
    </row>
    <row r="434" spans="1:11" x14ac:dyDescent="0.3">
      <c r="A434" s="16" t="s">
        <v>1176</v>
      </c>
      <c r="B434" s="16" t="s">
        <v>1177</v>
      </c>
      <c r="C434" s="16" t="s">
        <v>1777</v>
      </c>
      <c r="D434" s="16" t="s">
        <v>18</v>
      </c>
      <c r="E434" s="16" t="s">
        <v>539</v>
      </c>
      <c r="G434" s="16" t="s">
        <v>1127</v>
      </c>
      <c r="H434" s="16" t="s">
        <v>33</v>
      </c>
    </row>
    <row r="435" spans="1:11" x14ac:dyDescent="0.3">
      <c r="A435" s="16" t="s">
        <v>1176</v>
      </c>
      <c r="B435" s="16" t="s">
        <v>1298</v>
      </c>
      <c r="C435" s="16" t="s">
        <v>1778</v>
      </c>
      <c r="D435" s="16" t="s">
        <v>18</v>
      </c>
      <c r="E435" s="16" t="s">
        <v>539</v>
      </c>
      <c r="G435" s="16" t="s">
        <v>1127</v>
      </c>
      <c r="H435" s="16" t="s">
        <v>33</v>
      </c>
    </row>
    <row r="436" spans="1:11" x14ac:dyDescent="0.3">
      <c r="A436" s="16" t="s">
        <v>37</v>
      </c>
      <c r="B436" s="16" t="s">
        <v>3435</v>
      </c>
      <c r="C436" s="16" t="s">
        <v>1779</v>
      </c>
      <c r="D436" s="16" t="s">
        <v>18</v>
      </c>
      <c r="E436" s="16" t="s">
        <v>539</v>
      </c>
      <c r="G436" s="16" t="s">
        <v>1770</v>
      </c>
      <c r="H436" s="16" t="s">
        <v>33</v>
      </c>
    </row>
    <row r="437" spans="1:11" x14ac:dyDescent="0.3">
      <c r="A437" s="16" t="s">
        <v>37</v>
      </c>
      <c r="B437" s="16" t="s">
        <v>3436</v>
      </c>
      <c r="C437" s="16" t="s">
        <v>1778</v>
      </c>
      <c r="D437" s="16" t="s">
        <v>18</v>
      </c>
      <c r="E437" s="16" t="s">
        <v>539</v>
      </c>
      <c r="G437" s="16" t="s">
        <v>1770</v>
      </c>
      <c r="H437" s="16" t="s">
        <v>33</v>
      </c>
    </row>
    <row r="438" spans="1:11" x14ac:dyDescent="0.3">
      <c r="A438" s="16" t="s">
        <v>2236</v>
      </c>
      <c r="B438" s="16" t="s">
        <v>2237</v>
      </c>
      <c r="C438" s="16" t="s">
        <v>1782</v>
      </c>
      <c r="D438" s="16" t="s">
        <v>133</v>
      </c>
      <c r="E438" s="16" t="s">
        <v>588</v>
      </c>
      <c r="H438" s="16" t="s">
        <v>33</v>
      </c>
    </row>
    <row r="439" spans="1:11" x14ac:dyDescent="0.3">
      <c r="A439" s="16" t="s">
        <v>2238</v>
      </c>
      <c r="B439" s="16" t="s">
        <v>2239</v>
      </c>
      <c r="C439" s="16" t="s">
        <v>1779</v>
      </c>
      <c r="D439" s="16" t="s">
        <v>388</v>
      </c>
      <c r="E439" s="16" t="s">
        <v>539</v>
      </c>
      <c r="H439" s="16" t="s">
        <v>33</v>
      </c>
      <c r="J439" s="16" t="s">
        <v>32</v>
      </c>
    </row>
    <row r="440" spans="1:11" x14ac:dyDescent="0.3">
      <c r="A440" s="16" t="s">
        <v>2238</v>
      </c>
      <c r="B440" s="16" t="s">
        <v>2239</v>
      </c>
      <c r="C440" s="16" t="s">
        <v>1777</v>
      </c>
      <c r="D440" s="16" t="s">
        <v>388</v>
      </c>
      <c r="E440" s="16" t="s">
        <v>539</v>
      </c>
      <c r="H440" s="16" t="s">
        <v>33</v>
      </c>
      <c r="J440" s="16" t="s">
        <v>32</v>
      </c>
    </row>
    <row r="441" spans="1:11" x14ac:dyDescent="0.3">
      <c r="A441" s="16" t="s">
        <v>2240</v>
      </c>
      <c r="B441" s="16" t="s">
        <v>2241</v>
      </c>
      <c r="C441" s="16" t="s">
        <v>1782</v>
      </c>
      <c r="D441" s="16" t="s">
        <v>133</v>
      </c>
      <c r="E441" s="16" t="s">
        <v>1791</v>
      </c>
      <c r="H441" s="16" t="s">
        <v>33</v>
      </c>
    </row>
    <row r="442" spans="1:11" x14ac:dyDescent="0.3">
      <c r="A442" s="16" t="s">
        <v>2242</v>
      </c>
      <c r="B442" s="16" t="s">
        <v>2243</v>
      </c>
      <c r="C442" s="16" t="s">
        <v>1779</v>
      </c>
      <c r="D442" s="16" t="s">
        <v>133</v>
      </c>
      <c r="E442" s="16" t="s">
        <v>661</v>
      </c>
      <c r="H442" s="16" t="s">
        <v>33</v>
      </c>
    </row>
    <row r="443" spans="1:11" x14ac:dyDescent="0.3">
      <c r="A443" s="16" t="s">
        <v>2244</v>
      </c>
      <c r="B443" s="16" t="s">
        <v>2245</v>
      </c>
      <c r="C443" s="16" t="s">
        <v>1779</v>
      </c>
      <c r="D443" s="16" t="s">
        <v>133</v>
      </c>
      <c r="E443" s="16" t="s">
        <v>661</v>
      </c>
      <c r="H443" s="16" t="s">
        <v>33</v>
      </c>
    </row>
    <row r="444" spans="1:11" x14ac:dyDescent="0.3">
      <c r="A444" s="16" t="s">
        <v>2246</v>
      </c>
      <c r="B444" s="16" t="s">
        <v>2247</v>
      </c>
      <c r="C444" s="16" t="s">
        <v>1779</v>
      </c>
      <c r="D444" s="16" t="s">
        <v>133</v>
      </c>
      <c r="E444" s="16" t="s">
        <v>1791</v>
      </c>
      <c r="H444" s="16" t="s">
        <v>33</v>
      </c>
    </row>
    <row r="445" spans="1:11" x14ac:dyDescent="0.3">
      <c r="A445" s="16" t="s">
        <v>2248</v>
      </c>
      <c r="B445" s="16" t="s">
        <v>2249</v>
      </c>
      <c r="C445" s="16" t="s">
        <v>1779</v>
      </c>
      <c r="D445" s="16" t="s">
        <v>133</v>
      </c>
      <c r="E445" s="16" t="s">
        <v>661</v>
      </c>
      <c r="H445" s="16" t="s">
        <v>33</v>
      </c>
    </row>
    <row r="446" spans="1:11" x14ac:dyDescent="0.3">
      <c r="A446" s="16" t="s">
        <v>2250</v>
      </c>
      <c r="B446" s="16" t="s">
        <v>2251</v>
      </c>
      <c r="C446" s="16" t="s">
        <v>1779</v>
      </c>
      <c r="D446" s="16" t="s">
        <v>133</v>
      </c>
      <c r="E446" s="16" t="s">
        <v>661</v>
      </c>
      <c r="H446" s="16" t="s">
        <v>33</v>
      </c>
    </row>
    <row r="447" spans="1:11" x14ac:dyDescent="0.3">
      <c r="A447" s="16" t="s">
        <v>290</v>
      </c>
      <c r="B447" s="16" t="s">
        <v>291</v>
      </c>
      <c r="C447" s="16" t="s">
        <v>1779</v>
      </c>
      <c r="D447" s="16" t="s">
        <v>388</v>
      </c>
      <c r="E447" s="16" t="s">
        <v>539</v>
      </c>
      <c r="H447" s="16" t="s">
        <v>33</v>
      </c>
      <c r="J447" s="16" t="s">
        <v>32</v>
      </c>
      <c r="K447" s="16" t="s">
        <v>246</v>
      </c>
    </row>
    <row r="448" spans="1:11" x14ac:dyDescent="0.3">
      <c r="A448" s="16" t="s">
        <v>2252</v>
      </c>
      <c r="B448" s="16" t="s">
        <v>2253</v>
      </c>
      <c r="C448" s="16" t="s">
        <v>1778</v>
      </c>
      <c r="D448" s="16" t="s">
        <v>50</v>
      </c>
      <c r="E448" s="16" t="s">
        <v>555</v>
      </c>
      <c r="H448" s="16" t="s">
        <v>33</v>
      </c>
    </row>
    <row r="449" spans="1:8" x14ac:dyDescent="0.3">
      <c r="A449" s="16" t="s">
        <v>2252</v>
      </c>
      <c r="B449" s="16" t="s">
        <v>2254</v>
      </c>
      <c r="C449" s="16" t="s">
        <v>1778</v>
      </c>
      <c r="D449" s="16" t="s">
        <v>18</v>
      </c>
      <c r="E449" s="16" t="s">
        <v>555</v>
      </c>
      <c r="G449" s="16" t="s">
        <v>1770</v>
      </c>
      <c r="H449" s="16" t="s">
        <v>33</v>
      </c>
    </row>
    <row r="450" spans="1:8" x14ac:dyDescent="0.3">
      <c r="A450" s="16" t="s">
        <v>2255</v>
      </c>
      <c r="B450" s="16" t="s">
        <v>2256</v>
      </c>
      <c r="C450" s="16" t="s">
        <v>1778</v>
      </c>
      <c r="D450" s="16" t="s">
        <v>50</v>
      </c>
      <c r="E450" s="16" t="s">
        <v>555</v>
      </c>
      <c r="H450" s="16" t="s">
        <v>33</v>
      </c>
    </row>
    <row r="451" spans="1:8" x14ac:dyDescent="0.3">
      <c r="A451" s="16" t="s">
        <v>2255</v>
      </c>
      <c r="B451" s="16" t="s">
        <v>2257</v>
      </c>
      <c r="C451" s="16" t="s">
        <v>1778</v>
      </c>
      <c r="D451" s="16" t="s">
        <v>18</v>
      </c>
      <c r="E451" s="16" t="s">
        <v>555</v>
      </c>
      <c r="G451" s="16" t="s">
        <v>1770</v>
      </c>
      <c r="H451" s="16" t="s">
        <v>33</v>
      </c>
    </row>
    <row r="452" spans="1:8" x14ac:dyDescent="0.3">
      <c r="A452" s="16" t="s">
        <v>2258</v>
      </c>
      <c r="B452" s="16" t="s">
        <v>2259</v>
      </c>
      <c r="C452" s="16" t="s">
        <v>1778</v>
      </c>
      <c r="D452" s="16" t="s">
        <v>2042</v>
      </c>
      <c r="E452" s="16" t="s">
        <v>555</v>
      </c>
      <c r="H452" s="16" t="s">
        <v>33</v>
      </c>
    </row>
    <row r="453" spans="1:8" x14ac:dyDescent="0.3">
      <c r="A453" s="16" t="s">
        <v>2258</v>
      </c>
      <c r="B453" s="16" t="s">
        <v>2260</v>
      </c>
      <c r="C453" s="16" t="s">
        <v>1778</v>
      </c>
      <c r="D453" s="16" t="s">
        <v>18</v>
      </c>
      <c r="E453" s="16" t="s">
        <v>555</v>
      </c>
      <c r="G453" s="16" t="s">
        <v>1770</v>
      </c>
      <c r="H453" s="16" t="s">
        <v>33</v>
      </c>
    </row>
    <row r="454" spans="1:8" x14ac:dyDescent="0.3">
      <c r="A454" s="16" t="s">
        <v>2261</v>
      </c>
      <c r="B454" s="16" t="s">
        <v>2262</v>
      </c>
      <c r="C454" s="16" t="s">
        <v>1778</v>
      </c>
      <c r="D454" s="16" t="s">
        <v>2042</v>
      </c>
      <c r="E454" s="16" t="s">
        <v>555</v>
      </c>
      <c r="H454" s="16" t="s">
        <v>33</v>
      </c>
    </row>
    <row r="455" spans="1:8" x14ac:dyDescent="0.3">
      <c r="A455" s="16" t="s">
        <v>2261</v>
      </c>
      <c r="B455" s="16" t="s">
        <v>2263</v>
      </c>
      <c r="C455" s="16" t="s">
        <v>1778</v>
      </c>
      <c r="D455" s="16" t="s">
        <v>18</v>
      </c>
      <c r="E455" s="16" t="s">
        <v>555</v>
      </c>
      <c r="G455" s="16" t="s">
        <v>1770</v>
      </c>
      <c r="H455" s="16" t="s">
        <v>33</v>
      </c>
    </row>
    <row r="456" spans="1:8" x14ac:dyDescent="0.3">
      <c r="A456" s="16" t="s">
        <v>2264</v>
      </c>
      <c r="B456" s="16" t="s">
        <v>2265</v>
      </c>
      <c r="C456" s="16" t="s">
        <v>1778</v>
      </c>
      <c r="D456" s="16" t="s">
        <v>2042</v>
      </c>
      <c r="E456" s="16" t="s">
        <v>555</v>
      </c>
      <c r="H456" s="16" t="s">
        <v>33</v>
      </c>
    </row>
    <row r="457" spans="1:8" x14ac:dyDescent="0.3">
      <c r="A457" s="16" t="s">
        <v>2264</v>
      </c>
      <c r="B457" s="16" t="s">
        <v>2266</v>
      </c>
      <c r="C457" s="16" t="s">
        <v>1778</v>
      </c>
      <c r="D457" s="16" t="s">
        <v>18</v>
      </c>
      <c r="E457" s="16" t="s">
        <v>555</v>
      </c>
      <c r="G457" s="16" t="s">
        <v>1770</v>
      </c>
      <c r="H457" s="16" t="s">
        <v>33</v>
      </c>
    </row>
    <row r="458" spans="1:8" x14ac:dyDescent="0.3">
      <c r="A458" s="16" t="s">
        <v>2267</v>
      </c>
      <c r="B458" s="16" t="s">
        <v>2268</v>
      </c>
      <c r="C458" s="16" t="s">
        <v>1778</v>
      </c>
      <c r="D458" s="16" t="s">
        <v>50</v>
      </c>
      <c r="E458" s="16" t="s">
        <v>555</v>
      </c>
      <c r="H458" s="16" t="s">
        <v>33</v>
      </c>
    </row>
    <row r="459" spans="1:8" x14ac:dyDescent="0.3">
      <c r="A459" s="16" t="s">
        <v>2267</v>
      </c>
      <c r="B459" s="16" t="s">
        <v>2269</v>
      </c>
      <c r="C459" s="16" t="s">
        <v>1778</v>
      </c>
      <c r="D459" s="16" t="s">
        <v>18</v>
      </c>
      <c r="E459" s="16" t="s">
        <v>555</v>
      </c>
      <c r="G459" s="16" t="s">
        <v>1770</v>
      </c>
      <c r="H459" s="16" t="s">
        <v>33</v>
      </c>
    </row>
    <row r="460" spans="1:8" x14ac:dyDescent="0.3">
      <c r="A460" s="16" t="s">
        <v>2270</v>
      </c>
      <c r="B460" s="16" t="s">
        <v>2271</v>
      </c>
      <c r="C460" s="16" t="s">
        <v>1778</v>
      </c>
      <c r="D460" s="16" t="s">
        <v>50</v>
      </c>
      <c r="E460" s="16" t="s">
        <v>555</v>
      </c>
      <c r="H460" s="16" t="s">
        <v>33</v>
      </c>
    </row>
    <row r="461" spans="1:8" x14ac:dyDescent="0.3">
      <c r="A461" s="16" t="s">
        <v>2270</v>
      </c>
      <c r="B461" s="16" t="s">
        <v>2272</v>
      </c>
      <c r="C461" s="16" t="s">
        <v>1778</v>
      </c>
      <c r="D461" s="16" t="s">
        <v>18</v>
      </c>
      <c r="E461" s="16" t="s">
        <v>555</v>
      </c>
      <c r="G461" s="16" t="s">
        <v>1770</v>
      </c>
      <c r="H461" s="16" t="s">
        <v>33</v>
      </c>
    </row>
    <row r="462" spans="1:8" x14ac:dyDescent="0.3">
      <c r="A462" s="16" t="s">
        <v>2273</v>
      </c>
      <c r="B462" s="16" t="s">
        <v>2274</v>
      </c>
      <c r="C462" s="16" t="s">
        <v>1778</v>
      </c>
      <c r="D462" s="16" t="s">
        <v>2042</v>
      </c>
      <c r="E462" s="16" t="s">
        <v>555</v>
      </c>
      <c r="H462" s="16" t="s">
        <v>33</v>
      </c>
    </row>
    <row r="463" spans="1:8" x14ac:dyDescent="0.3">
      <c r="A463" s="16" t="s">
        <v>2273</v>
      </c>
      <c r="B463" s="16" t="s">
        <v>2275</v>
      </c>
      <c r="C463" s="16" t="s">
        <v>1778</v>
      </c>
      <c r="D463" s="16" t="s">
        <v>18</v>
      </c>
      <c r="E463" s="16" t="s">
        <v>555</v>
      </c>
      <c r="G463" s="16" t="s">
        <v>1770</v>
      </c>
      <c r="H463" s="16" t="s">
        <v>33</v>
      </c>
    </row>
    <row r="464" spans="1:8" x14ac:dyDescent="0.3">
      <c r="A464" s="16" t="s">
        <v>2276</v>
      </c>
      <c r="B464" s="16" t="s">
        <v>2277</v>
      </c>
      <c r="C464" s="16" t="s">
        <v>1778</v>
      </c>
      <c r="D464" s="16" t="s">
        <v>50</v>
      </c>
      <c r="E464" s="16" t="s">
        <v>555</v>
      </c>
      <c r="H464" s="16" t="s">
        <v>33</v>
      </c>
    </row>
    <row r="465" spans="1:8" x14ac:dyDescent="0.3">
      <c r="A465" s="16" t="s">
        <v>2276</v>
      </c>
      <c r="B465" s="16" t="s">
        <v>2278</v>
      </c>
      <c r="C465" s="16" t="s">
        <v>1778</v>
      </c>
      <c r="D465" s="16" t="s">
        <v>18</v>
      </c>
      <c r="E465" s="16" t="s">
        <v>555</v>
      </c>
      <c r="G465" s="16" t="s">
        <v>1770</v>
      </c>
      <c r="H465" s="16" t="s">
        <v>33</v>
      </c>
    </row>
    <row r="466" spans="1:8" x14ac:dyDescent="0.3">
      <c r="A466" s="16" t="s">
        <v>2279</v>
      </c>
      <c r="B466" s="16" t="s">
        <v>2280</v>
      </c>
      <c r="C466" s="16" t="s">
        <v>1778</v>
      </c>
      <c r="D466" s="16" t="s">
        <v>50</v>
      </c>
      <c r="E466" s="16" t="s">
        <v>555</v>
      </c>
      <c r="H466" s="16" t="s">
        <v>33</v>
      </c>
    </row>
    <row r="467" spans="1:8" x14ac:dyDescent="0.3">
      <c r="A467" s="16" t="s">
        <v>2279</v>
      </c>
      <c r="B467" s="16" t="s">
        <v>2281</v>
      </c>
      <c r="C467" s="16" t="s">
        <v>1778</v>
      </c>
      <c r="D467" s="16" t="s">
        <v>18</v>
      </c>
      <c r="E467" s="16" t="s">
        <v>555</v>
      </c>
      <c r="G467" s="16" t="s">
        <v>1770</v>
      </c>
      <c r="H467" s="16" t="s">
        <v>33</v>
      </c>
    </row>
    <row r="468" spans="1:8" x14ac:dyDescent="0.3">
      <c r="A468" s="16" t="s">
        <v>2282</v>
      </c>
      <c r="B468" s="16" t="s">
        <v>2283</v>
      </c>
      <c r="C468" s="16" t="s">
        <v>1778</v>
      </c>
      <c r="D468" s="16" t="s">
        <v>50</v>
      </c>
      <c r="E468" s="16" t="s">
        <v>555</v>
      </c>
      <c r="H468" s="16" t="s">
        <v>33</v>
      </c>
    </row>
    <row r="469" spans="1:8" x14ac:dyDescent="0.3">
      <c r="A469" s="16" t="s">
        <v>2282</v>
      </c>
      <c r="B469" s="16" t="s">
        <v>2284</v>
      </c>
      <c r="C469" s="16" t="s">
        <v>1778</v>
      </c>
      <c r="D469" s="16" t="s">
        <v>18</v>
      </c>
      <c r="E469" s="16" t="s">
        <v>555</v>
      </c>
      <c r="G469" s="16" t="s">
        <v>1770</v>
      </c>
      <c r="H469" s="16" t="s">
        <v>33</v>
      </c>
    </row>
    <row r="470" spans="1:8" x14ac:dyDescent="0.3">
      <c r="A470" s="16" t="s">
        <v>2285</v>
      </c>
      <c r="B470" s="16" t="s">
        <v>2286</v>
      </c>
      <c r="C470" s="16" t="s">
        <v>1778</v>
      </c>
      <c r="D470" s="16" t="s">
        <v>2042</v>
      </c>
      <c r="E470" s="16" t="s">
        <v>555</v>
      </c>
      <c r="H470" s="16" t="s">
        <v>33</v>
      </c>
    </row>
    <row r="471" spans="1:8" x14ac:dyDescent="0.3">
      <c r="A471" s="16" t="s">
        <v>2285</v>
      </c>
      <c r="B471" s="16" t="s">
        <v>2287</v>
      </c>
      <c r="C471" s="16" t="s">
        <v>1778</v>
      </c>
      <c r="D471" s="16" t="s">
        <v>18</v>
      </c>
      <c r="E471" s="16" t="s">
        <v>555</v>
      </c>
      <c r="G471" s="16" t="s">
        <v>1770</v>
      </c>
      <c r="H471" s="16" t="s">
        <v>33</v>
      </c>
    </row>
    <row r="472" spans="1:8" x14ac:dyDescent="0.3">
      <c r="A472" s="16" t="s">
        <v>2288</v>
      </c>
      <c r="B472" s="16" t="s">
        <v>2289</v>
      </c>
      <c r="C472" s="16" t="s">
        <v>1779</v>
      </c>
      <c r="D472" s="16" t="s">
        <v>133</v>
      </c>
      <c r="E472" s="16" t="s">
        <v>555</v>
      </c>
      <c r="H472" s="16" t="s">
        <v>33</v>
      </c>
    </row>
    <row r="473" spans="1:8" x14ac:dyDescent="0.3">
      <c r="A473" s="16" t="s">
        <v>2290</v>
      </c>
      <c r="B473" s="16" t="s">
        <v>2291</v>
      </c>
      <c r="C473" s="16" t="s">
        <v>1779</v>
      </c>
      <c r="D473" s="16" t="s">
        <v>133</v>
      </c>
      <c r="E473" s="16" t="s">
        <v>555</v>
      </c>
      <c r="H473" s="16" t="s">
        <v>33</v>
      </c>
    </row>
    <row r="474" spans="1:8" x14ac:dyDescent="0.3">
      <c r="A474" s="16" t="s">
        <v>2292</v>
      </c>
      <c r="B474" s="16" t="s">
        <v>2293</v>
      </c>
      <c r="C474" s="16" t="s">
        <v>1779</v>
      </c>
      <c r="D474" s="16" t="s">
        <v>133</v>
      </c>
      <c r="E474" s="16" t="s">
        <v>555</v>
      </c>
      <c r="H474" s="16" t="s">
        <v>33</v>
      </c>
    </row>
    <row r="475" spans="1:8" x14ac:dyDescent="0.3">
      <c r="A475" s="16" t="s">
        <v>2294</v>
      </c>
      <c r="B475" s="16" t="s">
        <v>2295</v>
      </c>
      <c r="C475" s="16" t="s">
        <v>1779</v>
      </c>
      <c r="D475" s="16" t="s">
        <v>133</v>
      </c>
      <c r="E475" s="16" t="s">
        <v>555</v>
      </c>
      <c r="H475" s="16" t="s">
        <v>33</v>
      </c>
    </row>
    <row r="476" spans="1:8" x14ac:dyDescent="0.3">
      <c r="A476" s="16" t="s">
        <v>2296</v>
      </c>
      <c r="B476" s="16" t="s">
        <v>2297</v>
      </c>
      <c r="C476" s="16" t="s">
        <v>1779</v>
      </c>
      <c r="D476" s="16" t="s">
        <v>133</v>
      </c>
      <c r="E476" s="16" t="s">
        <v>555</v>
      </c>
      <c r="H476" s="16" t="s">
        <v>33</v>
      </c>
    </row>
    <row r="477" spans="1:8" x14ac:dyDescent="0.3">
      <c r="A477" s="16" t="s">
        <v>2298</v>
      </c>
      <c r="B477" s="16" t="s">
        <v>2299</v>
      </c>
      <c r="C477" s="16" t="s">
        <v>1779</v>
      </c>
      <c r="D477" s="16" t="s">
        <v>133</v>
      </c>
      <c r="E477" s="16" t="s">
        <v>555</v>
      </c>
      <c r="H477" s="16" t="s">
        <v>33</v>
      </c>
    </row>
    <row r="478" spans="1:8" x14ac:dyDescent="0.3">
      <c r="A478" s="16" t="s">
        <v>2300</v>
      </c>
      <c r="B478" s="16" t="s">
        <v>2301</v>
      </c>
      <c r="C478" s="16" t="s">
        <v>1779</v>
      </c>
      <c r="D478" s="16" t="s">
        <v>133</v>
      </c>
      <c r="E478" s="16" t="s">
        <v>555</v>
      </c>
      <c r="H478" s="16" t="s">
        <v>33</v>
      </c>
    </row>
    <row r="479" spans="1:8" x14ac:dyDescent="0.3">
      <c r="A479" s="16" t="s">
        <v>2302</v>
      </c>
      <c r="B479" s="16" t="s">
        <v>2303</v>
      </c>
      <c r="C479" s="16" t="s">
        <v>1779</v>
      </c>
      <c r="D479" s="16" t="s">
        <v>133</v>
      </c>
      <c r="E479" s="16" t="s">
        <v>555</v>
      </c>
      <c r="H479" s="16" t="s">
        <v>33</v>
      </c>
    </row>
    <row r="480" spans="1:8" x14ac:dyDescent="0.3">
      <c r="A480" s="16" t="s">
        <v>43</v>
      </c>
      <c r="B480" s="16" t="s">
        <v>439</v>
      </c>
      <c r="C480" s="16" t="s">
        <v>1777</v>
      </c>
      <c r="D480" s="16" t="s">
        <v>18</v>
      </c>
      <c r="E480" s="16" t="s">
        <v>539</v>
      </c>
      <c r="G480" s="16" t="s">
        <v>1127</v>
      </c>
      <c r="H480" s="16" t="s">
        <v>33</v>
      </c>
    </row>
    <row r="481" spans="1:10" x14ac:dyDescent="0.3">
      <c r="A481" s="16" t="s">
        <v>43</v>
      </c>
      <c r="B481" s="16" t="s">
        <v>44</v>
      </c>
      <c r="C481" s="16" t="s">
        <v>1778</v>
      </c>
      <c r="D481" s="16" t="s">
        <v>18</v>
      </c>
      <c r="E481" s="16" t="s">
        <v>539</v>
      </c>
      <c r="G481" s="16" t="s">
        <v>1127</v>
      </c>
      <c r="H481" s="16" t="s">
        <v>33</v>
      </c>
    </row>
    <row r="482" spans="1:10" x14ac:dyDescent="0.3">
      <c r="A482" s="16" t="s">
        <v>43</v>
      </c>
      <c r="B482" s="16" t="s">
        <v>164</v>
      </c>
      <c r="C482" s="16" t="s">
        <v>1779</v>
      </c>
      <c r="D482" s="16" t="s">
        <v>18</v>
      </c>
      <c r="E482" s="16" t="s">
        <v>539</v>
      </c>
      <c r="G482" s="16" t="s">
        <v>1127</v>
      </c>
      <c r="H482" s="16" t="s">
        <v>33</v>
      </c>
    </row>
    <row r="483" spans="1:10" x14ac:dyDescent="0.3">
      <c r="A483" s="16" t="s">
        <v>2304</v>
      </c>
      <c r="B483" s="16" t="s">
        <v>2305</v>
      </c>
      <c r="C483" s="16" t="s">
        <v>2306</v>
      </c>
      <c r="D483" s="16" t="s">
        <v>388</v>
      </c>
      <c r="E483" s="16" t="s">
        <v>539</v>
      </c>
      <c r="H483" s="16" t="s">
        <v>33</v>
      </c>
      <c r="J483" s="16" t="s">
        <v>32</v>
      </c>
    </row>
    <row r="484" spans="1:10" x14ac:dyDescent="0.3">
      <c r="A484" s="16" t="s">
        <v>2304</v>
      </c>
      <c r="B484" s="16" t="s">
        <v>2305</v>
      </c>
      <c r="C484" s="16" t="s">
        <v>2307</v>
      </c>
      <c r="D484" s="16" t="s">
        <v>388</v>
      </c>
      <c r="E484" s="16" t="s">
        <v>539</v>
      </c>
      <c r="H484" s="16" t="s">
        <v>33</v>
      </c>
      <c r="J484" s="16" t="s">
        <v>32</v>
      </c>
    </row>
    <row r="485" spans="1:10" x14ac:dyDescent="0.3">
      <c r="A485" s="16" t="s">
        <v>1495</v>
      </c>
      <c r="B485" s="16" t="s">
        <v>1496</v>
      </c>
      <c r="C485" s="16" t="s">
        <v>1779</v>
      </c>
      <c r="D485" s="16" t="s">
        <v>18</v>
      </c>
      <c r="E485" s="16" t="s">
        <v>539</v>
      </c>
      <c r="G485" s="16" t="s">
        <v>1127</v>
      </c>
      <c r="H485" s="16" t="s">
        <v>33</v>
      </c>
    </row>
    <row r="486" spans="1:10" x14ac:dyDescent="0.3">
      <c r="A486" s="16" t="s">
        <v>2308</v>
      </c>
      <c r="B486" s="16" t="s">
        <v>2309</v>
      </c>
      <c r="C486" s="16" t="s">
        <v>2306</v>
      </c>
      <c r="D486" s="16" t="s">
        <v>18</v>
      </c>
      <c r="E486" s="16" t="s">
        <v>539</v>
      </c>
      <c r="G486" s="16" t="s">
        <v>1103</v>
      </c>
      <c r="H486" s="16" t="s">
        <v>33</v>
      </c>
    </row>
    <row r="487" spans="1:10" x14ac:dyDescent="0.3">
      <c r="A487" s="16" t="s">
        <v>2308</v>
      </c>
      <c r="B487" s="16" t="s">
        <v>2310</v>
      </c>
      <c r="C487" s="16" t="s">
        <v>2307</v>
      </c>
      <c r="D487" s="16" t="s">
        <v>18</v>
      </c>
      <c r="E487" s="16" t="s">
        <v>539</v>
      </c>
      <c r="G487" s="16" t="s">
        <v>1103</v>
      </c>
      <c r="H487" s="16" t="s">
        <v>33</v>
      </c>
    </row>
    <row r="488" spans="1:10" x14ac:dyDescent="0.3">
      <c r="A488" s="16" t="s">
        <v>2311</v>
      </c>
      <c r="B488" s="16" t="s">
        <v>2312</v>
      </c>
      <c r="C488" s="16" t="s">
        <v>1910</v>
      </c>
      <c r="D488" s="16" t="s">
        <v>388</v>
      </c>
      <c r="E488" s="16" t="s">
        <v>539</v>
      </c>
      <c r="J488" s="16" t="s">
        <v>32</v>
      </c>
    </row>
    <row r="489" spans="1:10" x14ac:dyDescent="0.3">
      <c r="A489" s="16" t="s">
        <v>2315</v>
      </c>
      <c r="B489" s="16" t="s">
        <v>2316</v>
      </c>
      <c r="C489" s="16" t="s">
        <v>1778</v>
      </c>
      <c r="D489" s="16" t="s">
        <v>133</v>
      </c>
      <c r="E489" s="16" t="s">
        <v>684</v>
      </c>
      <c r="H489" s="16" t="s">
        <v>33</v>
      </c>
    </row>
    <row r="490" spans="1:10" x14ac:dyDescent="0.3">
      <c r="A490" s="16" t="s">
        <v>2315</v>
      </c>
      <c r="B490" s="16" t="s">
        <v>2317</v>
      </c>
      <c r="C490" s="16" t="s">
        <v>1915</v>
      </c>
      <c r="D490" s="16" t="s">
        <v>133</v>
      </c>
      <c r="E490" s="16" t="s">
        <v>684</v>
      </c>
      <c r="H490" s="16" t="s">
        <v>33</v>
      </c>
    </row>
    <row r="491" spans="1:10" x14ac:dyDescent="0.3">
      <c r="A491" s="16" t="s">
        <v>218</v>
      </c>
      <c r="B491" s="16" t="s">
        <v>220</v>
      </c>
      <c r="C491" s="16" t="s">
        <v>1779</v>
      </c>
      <c r="D491" s="16" t="s">
        <v>388</v>
      </c>
      <c r="E491" s="16" t="s">
        <v>539</v>
      </c>
      <c r="H491" s="16" t="s">
        <v>33</v>
      </c>
      <c r="J491" s="16" t="s">
        <v>32</v>
      </c>
    </row>
    <row r="492" spans="1:10" x14ac:dyDescent="0.3">
      <c r="A492" s="16" t="s">
        <v>2318</v>
      </c>
      <c r="B492" s="16" t="s">
        <v>2319</v>
      </c>
      <c r="C492" s="16" t="s">
        <v>1779</v>
      </c>
      <c r="D492" s="16" t="s">
        <v>133</v>
      </c>
      <c r="E492" s="16" t="s">
        <v>539</v>
      </c>
      <c r="H492" s="16" t="s">
        <v>33</v>
      </c>
    </row>
    <row r="493" spans="1:10" x14ac:dyDescent="0.3">
      <c r="A493" s="16" t="s">
        <v>2318</v>
      </c>
      <c r="B493" s="16" t="s">
        <v>2319</v>
      </c>
      <c r="C493" s="16" t="s">
        <v>1915</v>
      </c>
      <c r="D493" s="16" t="s">
        <v>133</v>
      </c>
      <c r="E493" s="16" t="s">
        <v>539</v>
      </c>
      <c r="H493" s="16" t="s">
        <v>33</v>
      </c>
    </row>
    <row r="494" spans="1:10" x14ac:dyDescent="0.3">
      <c r="A494" s="16" t="s">
        <v>2318</v>
      </c>
      <c r="B494" s="16" t="s">
        <v>2319</v>
      </c>
      <c r="C494" s="16" t="s">
        <v>1769</v>
      </c>
      <c r="D494" s="16" t="s">
        <v>133</v>
      </c>
      <c r="E494" s="16" t="s">
        <v>539</v>
      </c>
      <c r="H494" s="16" t="s">
        <v>33</v>
      </c>
    </row>
    <row r="495" spans="1:10" x14ac:dyDescent="0.3">
      <c r="A495" s="16" t="s">
        <v>2318</v>
      </c>
      <c r="B495" s="16" t="s">
        <v>2319</v>
      </c>
      <c r="C495" s="16" t="s">
        <v>1778</v>
      </c>
      <c r="D495" s="16" t="s">
        <v>133</v>
      </c>
      <c r="E495" s="16" t="s">
        <v>539</v>
      </c>
      <c r="H495" s="16" t="s">
        <v>33</v>
      </c>
    </row>
    <row r="496" spans="1:10" x14ac:dyDescent="0.3">
      <c r="A496" s="16" t="s">
        <v>2318</v>
      </c>
      <c r="B496" s="16" t="s">
        <v>2319</v>
      </c>
      <c r="C496" s="16" t="s">
        <v>2320</v>
      </c>
      <c r="D496" s="16" t="s">
        <v>133</v>
      </c>
      <c r="E496" s="16" t="s">
        <v>539</v>
      </c>
      <c r="H496" s="16" t="s">
        <v>33</v>
      </c>
    </row>
    <row r="497" spans="1:10" x14ac:dyDescent="0.3">
      <c r="A497" s="16" t="s">
        <v>2321</v>
      </c>
      <c r="B497" s="16" t="s">
        <v>2322</v>
      </c>
      <c r="C497" s="16" t="s">
        <v>1779</v>
      </c>
      <c r="D497" s="16" t="s">
        <v>133</v>
      </c>
      <c r="E497" s="16" t="s">
        <v>588</v>
      </c>
      <c r="H497" s="16" t="s">
        <v>33</v>
      </c>
    </row>
    <row r="498" spans="1:10" x14ac:dyDescent="0.3">
      <c r="A498" s="16" t="s">
        <v>2321</v>
      </c>
      <c r="B498" s="16" t="s">
        <v>2322</v>
      </c>
      <c r="C498" s="16" t="s">
        <v>1915</v>
      </c>
      <c r="D498" s="16" t="s">
        <v>133</v>
      </c>
      <c r="E498" s="16" t="s">
        <v>588</v>
      </c>
      <c r="H498" s="16" t="s">
        <v>33</v>
      </c>
    </row>
    <row r="499" spans="1:10" x14ac:dyDescent="0.3">
      <c r="A499" s="16" t="s">
        <v>2321</v>
      </c>
      <c r="B499" s="16" t="s">
        <v>2322</v>
      </c>
      <c r="C499" s="16" t="s">
        <v>1769</v>
      </c>
      <c r="D499" s="16" t="s">
        <v>133</v>
      </c>
      <c r="E499" s="16" t="s">
        <v>588</v>
      </c>
      <c r="H499" s="16" t="s">
        <v>33</v>
      </c>
    </row>
    <row r="500" spans="1:10" x14ac:dyDescent="0.3">
      <c r="A500" s="16" t="s">
        <v>2321</v>
      </c>
      <c r="B500" s="16" t="s">
        <v>2322</v>
      </c>
      <c r="C500" s="16" t="s">
        <v>1778</v>
      </c>
      <c r="D500" s="16" t="s">
        <v>133</v>
      </c>
      <c r="E500" s="16" t="s">
        <v>588</v>
      </c>
      <c r="H500" s="16" t="s">
        <v>33</v>
      </c>
    </row>
    <row r="501" spans="1:10" x14ac:dyDescent="0.3">
      <c r="A501" s="16" t="s">
        <v>2321</v>
      </c>
      <c r="B501" s="16" t="s">
        <v>2322</v>
      </c>
      <c r="C501" s="16" t="s">
        <v>2320</v>
      </c>
      <c r="D501" s="16" t="s">
        <v>133</v>
      </c>
      <c r="E501" s="16" t="s">
        <v>588</v>
      </c>
      <c r="H501" s="16" t="s">
        <v>33</v>
      </c>
    </row>
    <row r="502" spans="1:10" x14ac:dyDescent="0.3">
      <c r="A502" s="16" t="s">
        <v>478</v>
      </c>
      <c r="B502" s="16" t="s">
        <v>479</v>
      </c>
      <c r="C502" s="16" t="s">
        <v>1779</v>
      </c>
      <c r="D502" s="16" t="s">
        <v>388</v>
      </c>
      <c r="E502" s="16" t="s">
        <v>539</v>
      </c>
      <c r="H502" s="16" t="s">
        <v>33</v>
      </c>
      <c r="J502" s="16" t="s">
        <v>32</v>
      </c>
    </row>
    <row r="503" spans="1:10" x14ac:dyDescent="0.3">
      <c r="A503" s="16" t="s">
        <v>2323</v>
      </c>
      <c r="B503" s="16" t="s">
        <v>2324</v>
      </c>
      <c r="C503" s="16" t="s">
        <v>1778</v>
      </c>
      <c r="D503" s="16" t="s">
        <v>2042</v>
      </c>
      <c r="E503" s="16" t="s">
        <v>555</v>
      </c>
      <c r="H503" s="16" t="s">
        <v>33</v>
      </c>
    </row>
    <row r="504" spans="1:10" x14ac:dyDescent="0.3">
      <c r="A504" s="16" t="s">
        <v>2323</v>
      </c>
      <c r="B504" s="16" t="s">
        <v>2325</v>
      </c>
      <c r="C504" s="16" t="s">
        <v>1778</v>
      </c>
      <c r="D504" s="16" t="s">
        <v>18</v>
      </c>
      <c r="E504" s="16" t="s">
        <v>555</v>
      </c>
      <c r="G504" s="16" t="s">
        <v>1770</v>
      </c>
      <c r="H504" s="16" t="s">
        <v>33</v>
      </c>
    </row>
    <row r="505" spans="1:10" x14ac:dyDescent="0.3">
      <c r="A505" s="16" t="s">
        <v>2326</v>
      </c>
      <c r="B505" s="16" t="s">
        <v>2327</v>
      </c>
      <c r="C505" s="16" t="s">
        <v>1779</v>
      </c>
      <c r="D505" s="16" t="s">
        <v>133</v>
      </c>
      <c r="E505" s="16" t="s">
        <v>255</v>
      </c>
      <c r="H505" s="16" t="s">
        <v>33</v>
      </c>
    </row>
    <row r="506" spans="1:10" x14ac:dyDescent="0.3">
      <c r="A506" s="16" t="s">
        <v>2328</v>
      </c>
      <c r="B506" s="16" t="s">
        <v>2329</v>
      </c>
      <c r="C506" s="16" t="s">
        <v>1779</v>
      </c>
      <c r="D506" s="16" t="s">
        <v>133</v>
      </c>
      <c r="E506" s="16" t="s">
        <v>1791</v>
      </c>
      <c r="H506" s="16" t="s">
        <v>33</v>
      </c>
    </row>
    <row r="507" spans="1:10" x14ac:dyDescent="0.3">
      <c r="A507" s="16" t="s">
        <v>2330</v>
      </c>
      <c r="B507" s="16" t="s">
        <v>2331</v>
      </c>
      <c r="C507" s="16" t="s">
        <v>1779</v>
      </c>
      <c r="D507" s="16" t="s">
        <v>133</v>
      </c>
      <c r="E507" s="16" t="s">
        <v>1791</v>
      </c>
      <c r="H507" s="16" t="s">
        <v>33</v>
      </c>
    </row>
    <row r="508" spans="1:10" x14ac:dyDescent="0.3">
      <c r="A508" s="16" t="s">
        <v>2332</v>
      </c>
      <c r="B508" s="16" t="s">
        <v>2333</v>
      </c>
      <c r="C508" s="16" t="s">
        <v>1769</v>
      </c>
      <c r="D508" s="16" t="s">
        <v>133</v>
      </c>
      <c r="E508" s="16" t="s">
        <v>539</v>
      </c>
      <c r="H508" s="16" t="s">
        <v>33</v>
      </c>
    </row>
    <row r="509" spans="1:10" x14ac:dyDescent="0.3">
      <c r="A509" s="16" t="s">
        <v>2334</v>
      </c>
      <c r="B509" s="16" t="s">
        <v>2335</v>
      </c>
      <c r="C509" s="16" t="s">
        <v>1779</v>
      </c>
      <c r="D509" s="16" t="s">
        <v>18</v>
      </c>
      <c r="E509" s="16" t="s">
        <v>661</v>
      </c>
      <c r="G509" s="16" t="s">
        <v>1770</v>
      </c>
      <c r="H509" s="16" t="s">
        <v>33</v>
      </c>
    </row>
    <row r="510" spans="1:10" x14ac:dyDescent="0.3">
      <c r="A510" s="16" t="s">
        <v>2336</v>
      </c>
      <c r="B510" s="16" t="s">
        <v>2337</v>
      </c>
      <c r="C510" s="16" t="s">
        <v>1778</v>
      </c>
      <c r="D510" s="16" t="s">
        <v>2042</v>
      </c>
      <c r="E510" s="16" t="s">
        <v>555</v>
      </c>
      <c r="H510" s="16" t="s">
        <v>33</v>
      </c>
    </row>
    <row r="511" spans="1:10" x14ac:dyDescent="0.3">
      <c r="A511" s="16" t="s">
        <v>2338</v>
      </c>
      <c r="B511" s="16" t="s">
        <v>2339</v>
      </c>
      <c r="C511" s="16" t="s">
        <v>1778</v>
      </c>
      <c r="D511" s="16" t="s">
        <v>2042</v>
      </c>
      <c r="E511" s="16" t="s">
        <v>555</v>
      </c>
      <c r="H511" s="16" t="s">
        <v>33</v>
      </c>
    </row>
    <row r="512" spans="1:10" x14ac:dyDescent="0.3">
      <c r="A512" s="16" t="s">
        <v>2340</v>
      </c>
      <c r="B512" s="16" t="s">
        <v>2341</v>
      </c>
      <c r="C512" s="16" t="s">
        <v>1778</v>
      </c>
      <c r="D512" s="16" t="s">
        <v>2042</v>
      </c>
      <c r="E512" s="16" t="s">
        <v>555</v>
      </c>
      <c r="H512" s="16" t="s">
        <v>33</v>
      </c>
    </row>
    <row r="513" spans="1:8" x14ac:dyDescent="0.3">
      <c r="A513" s="16" t="s">
        <v>2342</v>
      </c>
      <c r="B513" s="16" t="s">
        <v>2343</v>
      </c>
      <c r="C513" s="16" t="s">
        <v>1778</v>
      </c>
      <c r="D513" s="16" t="s">
        <v>50</v>
      </c>
      <c r="E513" s="16" t="s">
        <v>555</v>
      </c>
      <c r="H513" s="16" t="s">
        <v>33</v>
      </c>
    </row>
    <row r="514" spans="1:8" x14ac:dyDescent="0.3">
      <c r="A514" s="16" t="s">
        <v>2342</v>
      </c>
      <c r="B514" s="16" t="s">
        <v>2344</v>
      </c>
      <c r="C514" s="16" t="s">
        <v>1778</v>
      </c>
      <c r="D514" s="16" t="s">
        <v>18</v>
      </c>
      <c r="E514" s="16" t="s">
        <v>555</v>
      </c>
      <c r="G514" s="16" t="s">
        <v>1770</v>
      </c>
      <c r="H514" s="16" t="s">
        <v>33</v>
      </c>
    </row>
    <row r="515" spans="1:8" x14ac:dyDescent="0.3">
      <c r="A515" s="16" t="s">
        <v>2345</v>
      </c>
      <c r="B515" s="16" t="s">
        <v>2346</v>
      </c>
      <c r="C515" s="16" t="s">
        <v>1778</v>
      </c>
      <c r="D515" s="16" t="s">
        <v>2042</v>
      </c>
      <c r="E515" s="16" t="s">
        <v>555</v>
      </c>
      <c r="H515" s="16" t="s">
        <v>33</v>
      </c>
    </row>
    <row r="516" spans="1:8" x14ac:dyDescent="0.3">
      <c r="A516" s="16" t="s">
        <v>2345</v>
      </c>
      <c r="B516" s="16" t="s">
        <v>2347</v>
      </c>
      <c r="C516" s="16" t="s">
        <v>1778</v>
      </c>
      <c r="D516" s="16" t="s">
        <v>18</v>
      </c>
      <c r="E516" s="16" t="s">
        <v>555</v>
      </c>
      <c r="G516" s="16" t="s">
        <v>1770</v>
      </c>
      <c r="H516" s="16" t="s">
        <v>33</v>
      </c>
    </row>
    <row r="517" spans="1:8" x14ac:dyDescent="0.3">
      <c r="A517" s="16" t="s">
        <v>2348</v>
      </c>
      <c r="B517" s="16" t="s">
        <v>2349</v>
      </c>
      <c r="C517" s="16" t="s">
        <v>1778</v>
      </c>
      <c r="D517" s="16" t="s">
        <v>2042</v>
      </c>
      <c r="E517" s="16" t="s">
        <v>555</v>
      </c>
      <c r="H517" s="16" t="s">
        <v>33</v>
      </c>
    </row>
    <row r="518" spans="1:8" x14ac:dyDescent="0.3">
      <c r="A518" s="16" t="s">
        <v>2348</v>
      </c>
      <c r="B518" s="16" t="s">
        <v>2350</v>
      </c>
      <c r="C518" s="16" t="s">
        <v>1778</v>
      </c>
      <c r="D518" s="16" t="s">
        <v>18</v>
      </c>
      <c r="E518" s="16" t="s">
        <v>555</v>
      </c>
      <c r="G518" s="16" t="s">
        <v>1770</v>
      </c>
      <c r="H518" s="16" t="s">
        <v>33</v>
      </c>
    </row>
    <row r="519" spans="1:8" x14ac:dyDescent="0.3">
      <c r="A519" s="16" t="s">
        <v>2351</v>
      </c>
      <c r="B519" s="16" t="s">
        <v>2352</v>
      </c>
      <c r="C519" s="16" t="s">
        <v>1778</v>
      </c>
      <c r="D519" s="16" t="s">
        <v>50</v>
      </c>
      <c r="E519" s="16" t="s">
        <v>555</v>
      </c>
      <c r="H519" s="16" t="s">
        <v>33</v>
      </c>
    </row>
    <row r="520" spans="1:8" x14ac:dyDescent="0.3">
      <c r="A520" s="16" t="s">
        <v>2351</v>
      </c>
      <c r="B520" s="16" t="s">
        <v>2353</v>
      </c>
      <c r="C520" s="16" t="s">
        <v>1778</v>
      </c>
      <c r="D520" s="16" t="s">
        <v>18</v>
      </c>
      <c r="E520" s="16" t="s">
        <v>555</v>
      </c>
      <c r="G520" s="16" t="s">
        <v>1770</v>
      </c>
      <c r="H520" s="16" t="s">
        <v>33</v>
      </c>
    </row>
    <row r="521" spans="1:8" x14ac:dyDescent="0.3">
      <c r="A521" s="16" t="s">
        <v>2354</v>
      </c>
      <c r="B521" s="16" t="s">
        <v>2355</v>
      </c>
      <c r="C521" s="16" t="s">
        <v>1778</v>
      </c>
      <c r="D521" s="16" t="s">
        <v>2042</v>
      </c>
      <c r="E521" s="16" t="s">
        <v>555</v>
      </c>
      <c r="H521" s="16" t="s">
        <v>33</v>
      </c>
    </row>
    <row r="522" spans="1:8" x14ac:dyDescent="0.3">
      <c r="A522" s="16" t="s">
        <v>2354</v>
      </c>
      <c r="B522" s="16" t="s">
        <v>2356</v>
      </c>
      <c r="C522" s="16" t="s">
        <v>1778</v>
      </c>
      <c r="D522" s="16" t="s">
        <v>18</v>
      </c>
      <c r="E522" s="16" t="s">
        <v>555</v>
      </c>
      <c r="G522" s="16" t="s">
        <v>1770</v>
      </c>
      <c r="H522" s="16" t="s">
        <v>33</v>
      </c>
    </row>
    <row r="523" spans="1:8" x14ac:dyDescent="0.3">
      <c r="A523" s="16" t="s">
        <v>2357</v>
      </c>
      <c r="B523" s="16" t="s">
        <v>2358</v>
      </c>
      <c r="C523" s="16" t="s">
        <v>1778</v>
      </c>
      <c r="D523" s="16" t="s">
        <v>50</v>
      </c>
      <c r="E523" s="16" t="s">
        <v>555</v>
      </c>
      <c r="H523" s="16" t="s">
        <v>33</v>
      </c>
    </row>
    <row r="524" spans="1:8" x14ac:dyDescent="0.3">
      <c r="A524" s="16" t="s">
        <v>2357</v>
      </c>
      <c r="B524" s="16" t="s">
        <v>2359</v>
      </c>
      <c r="C524" s="16" t="s">
        <v>1778</v>
      </c>
      <c r="D524" s="16" t="s">
        <v>18</v>
      </c>
      <c r="E524" s="16" t="s">
        <v>555</v>
      </c>
      <c r="G524" s="16" t="s">
        <v>1770</v>
      </c>
      <c r="H524" s="16" t="s">
        <v>33</v>
      </c>
    </row>
    <row r="525" spans="1:8" x14ac:dyDescent="0.3">
      <c r="A525" s="16" t="s">
        <v>2360</v>
      </c>
      <c r="B525" s="16" t="s">
        <v>2361</v>
      </c>
      <c r="C525" s="16" t="s">
        <v>1778</v>
      </c>
      <c r="D525" s="16" t="s">
        <v>50</v>
      </c>
      <c r="E525" s="16" t="s">
        <v>555</v>
      </c>
      <c r="H525" s="16" t="s">
        <v>33</v>
      </c>
    </row>
    <row r="526" spans="1:8" x14ac:dyDescent="0.3">
      <c r="A526" s="16" t="s">
        <v>2360</v>
      </c>
      <c r="B526" s="16" t="s">
        <v>2362</v>
      </c>
      <c r="C526" s="16" t="s">
        <v>1778</v>
      </c>
      <c r="D526" s="16" t="s">
        <v>18</v>
      </c>
      <c r="E526" s="16" t="s">
        <v>555</v>
      </c>
      <c r="G526" s="16" t="s">
        <v>1770</v>
      </c>
      <c r="H526" s="16" t="s">
        <v>33</v>
      </c>
    </row>
    <row r="527" spans="1:8" x14ac:dyDescent="0.3">
      <c r="A527" s="16" t="s">
        <v>2363</v>
      </c>
      <c r="B527" s="16" t="s">
        <v>2364</v>
      </c>
      <c r="C527" s="16" t="s">
        <v>1778</v>
      </c>
      <c r="D527" s="16" t="s">
        <v>2042</v>
      </c>
      <c r="E527" s="16" t="s">
        <v>555</v>
      </c>
      <c r="H527" s="16" t="s">
        <v>33</v>
      </c>
    </row>
    <row r="528" spans="1:8" x14ac:dyDescent="0.3">
      <c r="A528" s="16" t="s">
        <v>2363</v>
      </c>
      <c r="B528" s="16" t="s">
        <v>2365</v>
      </c>
      <c r="C528" s="16" t="s">
        <v>1778</v>
      </c>
      <c r="D528" s="16" t="s">
        <v>18</v>
      </c>
      <c r="E528" s="16" t="s">
        <v>555</v>
      </c>
      <c r="G528" s="16" t="s">
        <v>1770</v>
      </c>
      <c r="H528" s="16" t="s">
        <v>33</v>
      </c>
    </row>
    <row r="529" spans="1:12" x14ac:dyDescent="0.3">
      <c r="A529" s="16" t="s">
        <v>2366</v>
      </c>
      <c r="B529" s="16" t="s">
        <v>2367</v>
      </c>
      <c r="C529" s="16" t="s">
        <v>1778</v>
      </c>
      <c r="D529" s="16" t="s">
        <v>2042</v>
      </c>
      <c r="E529" s="16" t="s">
        <v>555</v>
      </c>
      <c r="H529" s="16" t="s">
        <v>33</v>
      </c>
    </row>
    <row r="530" spans="1:12" x14ac:dyDescent="0.3">
      <c r="A530" s="16" t="s">
        <v>2368</v>
      </c>
      <c r="B530" s="16" t="s">
        <v>2369</v>
      </c>
      <c r="C530" s="16" t="s">
        <v>1778</v>
      </c>
      <c r="D530" s="16" t="s">
        <v>2042</v>
      </c>
      <c r="E530" s="16" t="s">
        <v>555</v>
      </c>
      <c r="H530" s="16" t="s">
        <v>33</v>
      </c>
    </row>
    <row r="531" spans="1:12" x14ac:dyDescent="0.3">
      <c r="A531" s="16" t="s">
        <v>2370</v>
      </c>
      <c r="B531" s="16" t="s">
        <v>2371</v>
      </c>
      <c r="C531" s="16" t="s">
        <v>1778</v>
      </c>
      <c r="D531" s="16" t="s">
        <v>2042</v>
      </c>
      <c r="E531" s="16" t="s">
        <v>555</v>
      </c>
      <c r="H531" s="16" t="s">
        <v>33</v>
      </c>
    </row>
    <row r="532" spans="1:12" x14ac:dyDescent="0.3">
      <c r="A532" s="16" t="s">
        <v>2372</v>
      </c>
      <c r="B532" s="16" t="s">
        <v>2373</v>
      </c>
      <c r="C532" s="16" t="s">
        <v>1779</v>
      </c>
      <c r="D532" s="16" t="s">
        <v>133</v>
      </c>
      <c r="E532" s="16" t="s">
        <v>2374</v>
      </c>
      <c r="H532" s="16" t="s">
        <v>33</v>
      </c>
    </row>
    <row r="533" spans="1:12" x14ac:dyDescent="0.3">
      <c r="A533" s="16" t="s">
        <v>2375</v>
      </c>
      <c r="B533" s="16" t="s">
        <v>2376</v>
      </c>
      <c r="C533" s="16" t="s">
        <v>1779</v>
      </c>
      <c r="D533" s="16" t="s">
        <v>388</v>
      </c>
      <c r="E533" s="16" t="s">
        <v>539</v>
      </c>
      <c r="H533" s="16" t="s">
        <v>33</v>
      </c>
      <c r="J533" s="16" t="s">
        <v>32</v>
      </c>
    </row>
    <row r="534" spans="1:12" x14ac:dyDescent="0.3">
      <c r="A534" s="16" t="s">
        <v>2377</v>
      </c>
      <c r="B534" s="16" t="s">
        <v>2378</v>
      </c>
      <c r="C534" s="16" t="s">
        <v>1779</v>
      </c>
      <c r="D534" s="16" t="s">
        <v>388</v>
      </c>
      <c r="E534" s="16" t="s">
        <v>539</v>
      </c>
      <c r="H534" s="16" t="s">
        <v>33</v>
      </c>
      <c r="J534" s="16" t="s">
        <v>32</v>
      </c>
    </row>
    <row r="535" spans="1:12" x14ac:dyDescent="0.3">
      <c r="A535" s="16" t="s">
        <v>2379</v>
      </c>
      <c r="B535" s="16" t="s">
        <v>2380</v>
      </c>
      <c r="C535" s="16" t="s">
        <v>1779</v>
      </c>
      <c r="D535" s="16" t="s">
        <v>388</v>
      </c>
      <c r="E535" s="16" t="s">
        <v>539</v>
      </c>
      <c r="H535" s="16" t="s">
        <v>33</v>
      </c>
      <c r="J535" s="16" t="s">
        <v>32</v>
      </c>
    </row>
    <row r="536" spans="1:12" x14ac:dyDescent="0.3">
      <c r="A536" s="16" t="s">
        <v>2381</v>
      </c>
      <c r="B536" s="16" t="s">
        <v>2382</v>
      </c>
      <c r="C536" s="16" t="s">
        <v>1779</v>
      </c>
      <c r="D536" s="16" t="s">
        <v>388</v>
      </c>
      <c r="E536" s="16" t="s">
        <v>539</v>
      </c>
      <c r="H536" s="16" t="s">
        <v>33</v>
      </c>
      <c r="J536" s="16" t="s">
        <v>32</v>
      </c>
    </row>
    <row r="537" spans="1:12" x14ac:dyDescent="0.3">
      <c r="A537" s="16" t="s">
        <v>2383</v>
      </c>
      <c r="B537" s="16" t="s">
        <v>2384</v>
      </c>
      <c r="C537" s="16" t="s">
        <v>1777</v>
      </c>
      <c r="D537" s="16" t="s">
        <v>388</v>
      </c>
      <c r="E537" s="16" t="s">
        <v>539</v>
      </c>
      <c r="H537" s="16" t="s">
        <v>33</v>
      </c>
      <c r="J537" s="16" t="s">
        <v>32</v>
      </c>
      <c r="L537" s="16" t="s">
        <v>33</v>
      </c>
    </row>
    <row r="538" spans="1:12" x14ac:dyDescent="0.3">
      <c r="A538" s="16" t="s">
        <v>244</v>
      </c>
      <c r="B538" s="16" t="s">
        <v>245</v>
      </c>
      <c r="C538" s="16" t="s">
        <v>1779</v>
      </c>
      <c r="D538" s="16" t="s">
        <v>388</v>
      </c>
      <c r="E538" s="16" t="s">
        <v>539</v>
      </c>
      <c r="H538" s="16" t="s">
        <v>33</v>
      </c>
      <c r="J538" s="16" t="s">
        <v>32</v>
      </c>
    </row>
    <row r="539" spans="1:12" x14ac:dyDescent="0.3">
      <c r="A539" s="16" t="s">
        <v>244</v>
      </c>
      <c r="B539" s="16" t="s">
        <v>245</v>
      </c>
      <c r="C539" s="16" t="s">
        <v>1915</v>
      </c>
      <c r="D539" s="16" t="s">
        <v>388</v>
      </c>
      <c r="E539" s="16" t="s">
        <v>539</v>
      </c>
      <c r="H539" s="16" t="s">
        <v>33</v>
      </c>
      <c r="J539" s="16" t="s">
        <v>32</v>
      </c>
    </row>
    <row r="540" spans="1:12" x14ac:dyDescent="0.3">
      <c r="A540" s="16" t="s">
        <v>244</v>
      </c>
      <c r="B540" s="16" t="s">
        <v>245</v>
      </c>
      <c r="C540" s="16" t="s">
        <v>1777</v>
      </c>
      <c r="D540" s="16" t="s">
        <v>388</v>
      </c>
      <c r="E540" s="16" t="s">
        <v>539</v>
      </c>
      <c r="H540" s="16" t="s">
        <v>33</v>
      </c>
      <c r="J540" s="16" t="s">
        <v>32</v>
      </c>
    </row>
    <row r="541" spans="1:12" x14ac:dyDescent="0.3">
      <c r="A541" s="16" t="s">
        <v>294</v>
      </c>
      <c r="B541" s="16" t="s">
        <v>295</v>
      </c>
      <c r="C541" s="16" t="s">
        <v>1779</v>
      </c>
      <c r="D541" s="16" t="s">
        <v>388</v>
      </c>
      <c r="E541" s="16" t="s">
        <v>539</v>
      </c>
      <c r="H541" s="16" t="s">
        <v>33</v>
      </c>
      <c r="J541" s="16" t="s">
        <v>32</v>
      </c>
    </row>
    <row r="542" spans="1:12" x14ac:dyDescent="0.3">
      <c r="A542" s="16" t="s">
        <v>294</v>
      </c>
      <c r="B542" s="16" t="s">
        <v>295</v>
      </c>
      <c r="C542" s="16" t="s">
        <v>1777</v>
      </c>
      <c r="D542" s="16" t="s">
        <v>388</v>
      </c>
      <c r="E542" s="16" t="s">
        <v>539</v>
      </c>
      <c r="H542" s="16" t="s">
        <v>33</v>
      </c>
      <c r="J542" s="16" t="s">
        <v>32</v>
      </c>
    </row>
    <row r="543" spans="1:12" x14ac:dyDescent="0.3">
      <c r="A543" s="16" t="s">
        <v>1119</v>
      </c>
      <c r="B543" s="16" t="s">
        <v>1120</v>
      </c>
      <c r="C543" s="16" t="s">
        <v>2092</v>
      </c>
      <c r="D543" s="16" t="s">
        <v>18</v>
      </c>
      <c r="E543" s="16" t="s">
        <v>539</v>
      </c>
      <c r="G543" s="16" t="s">
        <v>1103</v>
      </c>
      <c r="H543" s="16" t="s">
        <v>33</v>
      </c>
    </row>
    <row r="544" spans="1:12" x14ac:dyDescent="0.3">
      <c r="A544" s="16" t="s">
        <v>2387</v>
      </c>
      <c r="B544" s="16" t="s">
        <v>2388</v>
      </c>
      <c r="C544" s="16" t="s">
        <v>1777</v>
      </c>
      <c r="D544" s="16" t="s">
        <v>18</v>
      </c>
      <c r="E544" s="16" t="s">
        <v>539</v>
      </c>
      <c r="G544" s="16" t="s">
        <v>1770</v>
      </c>
      <c r="H544" s="16" t="s">
        <v>33</v>
      </c>
    </row>
    <row r="545" spans="1:8" x14ac:dyDescent="0.3">
      <c r="A545" s="16" t="s">
        <v>1497</v>
      </c>
      <c r="B545" s="16" t="s">
        <v>1498</v>
      </c>
      <c r="C545" s="16" t="s">
        <v>1779</v>
      </c>
      <c r="D545" s="16" t="s">
        <v>18</v>
      </c>
      <c r="E545" s="16" t="s">
        <v>539</v>
      </c>
      <c r="G545" s="16" t="s">
        <v>1103</v>
      </c>
      <c r="H545" s="16" t="s">
        <v>33</v>
      </c>
    </row>
    <row r="546" spans="1:8" x14ac:dyDescent="0.3">
      <c r="A546" s="16" t="s">
        <v>1499</v>
      </c>
      <c r="B546" s="16" t="s">
        <v>1500</v>
      </c>
      <c r="C546" s="16" t="s">
        <v>1779</v>
      </c>
      <c r="D546" s="16" t="s">
        <v>18</v>
      </c>
      <c r="E546" s="16" t="s">
        <v>539</v>
      </c>
      <c r="G546" s="16" t="s">
        <v>1103</v>
      </c>
      <c r="H546" s="16" t="s">
        <v>33</v>
      </c>
    </row>
    <row r="547" spans="1:8" x14ac:dyDescent="0.3">
      <c r="A547" s="16" t="s">
        <v>1501</v>
      </c>
      <c r="B547" s="16" t="s">
        <v>1502</v>
      </c>
      <c r="C547" s="16" t="s">
        <v>1779</v>
      </c>
      <c r="D547" s="16" t="s">
        <v>18</v>
      </c>
      <c r="E547" s="16" t="s">
        <v>539</v>
      </c>
      <c r="G547" s="16" t="s">
        <v>1103</v>
      </c>
      <c r="H547" s="16" t="s">
        <v>33</v>
      </c>
    </row>
    <row r="548" spans="1:8" x14ac:dyDescent="0.3">
      <c r="A548" s="16" t="s">
        <v>1503</v>
      </c>
      <c r="B548" s="16" t="s">
        <v>1504</v>
      </c>
      <c r="C548" s="16" t="s">
        <v>1779</v>
      </c>
      <c r="D548" s="16" t="s">
        <v>18</v>
      </c>
      <c r="E548" s="16" t="s">
        <v>1791</v>
      </c>
      <c r="G548" s="16" t="s">
        <v>1103</v>
      </c>
      <c r="H548" s="16" t="s">
        <v>33</v>
      </c>
    </row>
    <row r="549" spans="1:8" x14ac:dyDescent="0.3">
      <c r="A549" s="16" t="s">
        <v>1505</v>
      </c>
      <c r="B549" s="16" t="s">
        <v>1732</v>
      </c>
      <c r="C549" s="16" t="s">
        <v>1779</v>
      </c>
      <c r="D549" s="16" t="s">
        <v>18</v>
      </c>
      <c r="E549" s="16" t="s">
        <v>1402</v>
      </c>
      <c r="G549" s="16" t="s">
        <v>1103</v>
      </c>
      <c r="H549" s="16" t="s">
        <v>33</v>
      </c>
    </row>
    <row r="550" spans="1:8" x14ac:dyDescent="0.3">
      <c r="A550" s="16" t="s">
        <v>1505</v>
      </c>
      <c r="B550" s="16" t="s">
        <v>1506</v>
      </c>
      <c r="C550" s="16" t="s">
        <v>1779</v>
      </c>
      <c r="D550" s="16" t="s">
        <v>18</v>
      </c>
      <c r="E550" s="16" t="s">
        <v>1402</v>
      </c>
      <c r="G550" s="16" t="s">
        <v>1103</v>
      </c>
      <c r="H550" s="16" t="s">
        <v>33</v>
      </c>
    </row>
    <row r="551" spans="1:8" x14ac:dyDescent="0.3">
      <c r="A551" s="16" t="s">
        <v>1507</v>
      </c>
      <c r="B551" s="16" t="s">
        <v>1508</v>
      </c>
      <c r="C551" s="16" t="s">
        <v>1779</v>
      </c>
      <c r="D551" s="16" t="s">
        <v>18</v>
      </c>
      <c r="E551" s="16" t="s">
        <v>539</v>
      </c>
      <c r="G551" s="16" t="s">
        <v>1103</v>
      </c>
      <c r="H551" s="16" t="s">
        <v>33</v>
      </c>
    </row>
    <row r="552" spans="1:8" x14ac:dyDescent="0.3">
      <c r="A552" s="16" t="s">
        <v>1509</v>
      </c>
      <c r="B552" s="16" t="s">
        <v>1510</v>
      </c>
      <c r="C552" s="16" t="s">
        <v>1779</v>
      </c>
      <c r="D552" s="16" t="s">
        <v>18</v>
      </c>
      <c r="E552" s="16" t="s">
        <v>539</v>
      </c>
      <c r="G552" s="16" t="s">
        <v>1103</v>
      </c>
      <c r="H552" s="16" t="s">
        <v>33</v>
      </c>
    </row>
    <row r="553" spans="1:8" x14ac:dyDescent="0.3">
      <c r="A553" s="16" t="s">
        <v>1511</v>
      </c>
      <c r="B553" s="16" t="s">
        <v>1512</v>
      </c>
      <c r="C553" s="16" t="s">
        <v>1779</v>
      </c>
      <c r="D553" s="16" t="s">
        <v>18</v>
      </c>
      <c r="E553" s="16" t="s">
        <v>539</v>
      </c>
      <c r="G553" s="16" t="s">
        <v>1103</v>
      </c>
      <c r="H553" s="16" t="s">
        <v>33</v>
      </c>
    </row>
    <row r="554" spans="1:8" x14ac:dyDescent="0.3">
      <c r="A554" s="16" t="s">
        <v>1513</v>
      </c>
      <c r="B554" s="16" t="s">
        <v>1514</v>
      </c>
      <c r="C554" s="16" t="s">
        <v>1779</v>
      </c>
      <c r="D554" s="16" t="s">
        <v>18</v>
      </c>
      <c r="E554" s="16" t="s">
        <v>539</v>
      </c>
      <c r="G554" s="16" t="s">
        <v>1103</v>
      </c>
      <c r="H554" s="16" t="s">
        <v>33</v>
      </c>
    </row>
    <row r="555" spans="1:8" x14ac:dyDescent="0.3">
      <c r="A555" s="16" t="s">
        <v>1515</v>
      </c>
      <c r="B555" s="16" t="s">
        <v>1516</v>
      </c>
      <c r="C555" s="16" t="s">
        <v>1779</v>
      </c>
      <c r="D555" s="16" t="s">
        <v>18</v>
      </c>
      <c r="E555" s="16" t="s">
        <v>1791</v>
      </c>
      <c r="G555" s="16" t="s">
        <v>1103</v>
      </c>
      <c r="H555" s="16" t="s">
        <v>33</v>
      </c>
    </row>
    <row r="556" spans="1:8" x14ac:dyDescent="0.3">
      <c r="A556" s="16" t="s">
        <v>1517</v>
      </c>
      <c r="B556" s="16" t="s">
        <v>1518</v>
      </c>
      <c r="C556" s="16" t="s">
        <v>1779</v>
      </c>
      <c r="D556" s="16" t="s">
        <v>18</v>
      </c>
      <c r="E556" s="16" t="s">
        <v>1791</v>
      </c>
      <c r="G556" s="16" t="s">
        <v>1103</v>
      </c>
      <c r="H556" s="16" t="s">
        <v>33</v>
      </c>
    </row>
    <row r="557" spans="1:8" x14ac:dyDescent="0.3">
      <c r="A557" s="16" t="s">
        <v>1519</v>
      </c>
      <c r="B557" s="16" t="s">
        <v>1520</v>
      </c>
      <c r="C557" s="16" t="s">
        <v>1779</v>
      </c>
      <c r="D557" s="16" t="s">
        <v>18</v>
      </c>
      <c r="E557" s="16" t="s">
        <v>1791</v>
      </c>
      <c r="G557" s="16" t="s">
        <v>1103</v>
      </c>
      <c r="H557" s="16" t="s">
        <v>33</v>
      </c>
    </row>
    <row r="558" spans="1:8" x14ac:dyDescent="0.3">
      <c r="A558" s="16" t="s">
        <v>1521</v>
      </c>
      <c r="B558" s="16" t="s">
        <v>1522</v>
      </c>
      <c r="C558" s="16" t="s">
        <v>1779</v>
      </c>
      <c r="D558" s="16" t="s">
        <v>18</v>
      </c>
      <c r="E558" s="16" t="s">
        <v>539</v>
      </c>
      <c r="G558" s="16" t="s">
        <v>1103</v>
      </c>
      <c r="H558" s="16" t="s">
        <v>33</v>
      </c>
    </row>
    <row r="559" spans="1:8" x14ac:dyDescent="0.3">
      <c r="A559" s="16" t="s">
        <v>1523</v>
      </c>
      <c r="B559" s="16" t="s">
        <v>1524</v>
      </c>
      <c r="C559" s="16" t="s">
        <v>1779</v>
      </c>
      <c r="D559" s="16" t="s">
        <v>18</v>
      </c>
      <c r="E559" s="16" t="s">
        <v>539</v>
      </c>
      <c r="G559" s="16" t="s">
        <v>1103</v>
      </c>
      <c r="H559" s="16" t="s">
        <v>33</v>
      </c>
    </row>
    <row r="560" spans="1:8" x14ac:dyDescent="0.3">
      <c r="A560" s="16" t="s">
        <v>1525</v>
      </c>
      <c r="B560" s="16" t="s">
        <v>1526</v>
      </c>
      <c r="C560" s="16" t="s">
        <v>1779</v>
      </c>
      <c r="D560" s="16" t="s">
        <v>18</v>
      </c>
      <c r="E560" s="16" t="s">
        <v>1791</v>
      </c>
      <c r="G560" s="16" t="s">
        <v>1103</v>
      </c>
      <c r="H560" s="16" t="s">
        <v>33</v>
      </c>
    </row>
    <row r="561" spans="1:10" x14ac:dyDescent="0.3">
      <c r="A561" s="16" t="s">
        <v>1527</v>
      </c>
      <c r="B561" s="16" t="s">
        <v>1528</v>
      </c>
      <c r="C561" s="16" t="s">
        <v>1779</v>
      </c>
      <c r="D561" s="16" t="s">
        <v>18</v>
      </c>
      <c r="E561" s="16" t="s">
        <v>539</v>
      </c>
      <c r="G561" s="16" t="s">
        <v>1103</v>
      </c>
      <c r="H561" s="16" t="s">
        <v>33</v>
      </c>
    </row>
    <row r="562" spans="1:10" x14ac:dyDescent="0.3">
      <c r="A562" s="16" t="s">
        <v>1529</v>
      </c>
      <c r="B562" s="16" t="s">
        <v>1530</v>
      </c>
      <c r="C562" s="16" t="s">
        <v>1779</v>
      </c>
      <c r="D562" s="16" t="s">
        <v>18</v>
      </c>
      <c r="E562" s="16" t="s">
        <v>1791</v>
      </c>
      <c r="G562" s="16" t="s">
        <v>1103</v>
      </c>
      <c r="H562" s="16" t="s">
        <v>33</v>
      </c>
    </row>
    <row r="563" spans="1:10" x14ac:dyDescent="0.3">
      <c r="A563" s="16" t="s">
        <v>1531</v>
      </c>
      <c r="B563" s="16" t="s">
        <v>1532</v>
      </c>
      <c r="C563" s="16" t="s">
        <v>1779</v>
      </c>
      <c r="D563" s="16" t="s">
        <v>18</v>
      </c>
      <c r="E563" s="16" t="s">
        <v>617</v>
      </c>
      <c r="G563" s="16" t="s">
        <v>1103</v>
      </c>
      <c r="H563" s="16" t="s">
        <v>33</v>
      </c>
    </row>
    <row r="564" spans="1:10" x14ac:dyDescent="0.3">
      <c r="A564" s="16" t="s">
        <v>1299</v>
      </c>
      <c r="B564" s="16" t="s">
        <v>1533</v>
      </c>
      <c r="C564" s="16" t="s">
        <v>1779</v>
      </c>
      <c r="D564" s="16" t="s">
        <v>18</v>
      </c>
      <c r="E564" s="16" t="s">
        <v>539</v>
      </c>
      <c r="G564" s="16" t="s">
        <v>1127</v>
      </c>
      <c r="H564" s="16" t="s">
        <v>33</v>
      </c>
    </row>
    <row r="565" spans="1:10" x14ac:dyDescent="0.3">
      <c r="A565" s="16" t="s">
        <v>1299</v>
      </c>
      <c r="B565" s="16" t="s">
        <v>1300</v>
      </c>
      <c r="C565" s="16" t="s">
        <v>1778</v>
      </c>
      <c r="D565" s="16" t="s">
        <v>18</v>
      </c>
      <c r="E565" s="16" t="s">
        <v>539</v>
      </c>
      <c r="G565" s="16" t="s">
        <v>1127</v>
      </c>
      <c r="H565" s="16" t="s">
        <v>33</v>
      </c>
    </row>
    <row r="566" spans="1:10" x14ac:dyDescent="0.3">
      <c r="A566" s="16" t="s">
        <v>419</v>
      </c>
      <c r="B566" s="16" t="s">
        <v>420</v>
      </c>
      <c r="C566" s="16" t="s">
        <v>1777</v>
      </c>
      <c r="D566" s="16" t="s">
        <v>18</v>
      </c>
      <c r="E566" s="16" t="s">
        <v>539</v>
      </c>
      <c r="G566" s="16" t="s">
        <v>1127</v>
      </c>
      <c r="H566" s="16" t="s">
        <v>33</v>
      </c>
    </row>
    <row r="567" spans="1:10" x14ac:dyDescent="0.3">
      <c r="A567" s="16" t="s">
        <v>419</v>
      </c>
      <c r="B567" s="16" t="s">
        <v>1301</v>
      </c>
      <c r="C567" s="16" t="s">
        <v>1778</v>
      </c>
      <c r="D567" s="16" t="s">
        <v>18</v>
      </c>
      <c r="E567" s="16" t="s">
        <v>539</v>
      </c>
      <c r="G567" s="16" t="s">
        <v>1127</v>
      </c>
      <c r="H567" s="16" t="s">
        <v>33</v>
      </c>
    </row>
    <row r="568" spans="1:10" x14ac:dyDescent="0.3">
      <c r="A568" s="16" t="s">
        <v>419</v>
      </c>
      <c r="B568" s="16" t="s">
        <v>421</v>
      </c>
      <c r="C568" s="16" t="s">
        <v>1779</v>
      </c>
      <c r="D568" s="16" t="s">
        <v>18</v>
      </c>
      <c r="E568" s="16" t="s">
        <v>539</v>
      </c>
      <c r="G568" s="16" t="s">
        <v>1127</v>
      </c>
      <c r="H568" s="16" t="s">
        <v>33</v>
      </c>
    </row>
    <row r="569" spans="1:10" x14ac:dyDescent="0.3">
      <c r="A569" s="16" t="s">
        <v>61</v>
      </c>
      <c r="B569" s="16" t="s">
        <v>63</v>
      </c>
      <c r="C569" s="16" t="s">
        <v>1779</v>
      </c>
      <c r="D569" s="16" t="s">
        <v>388</v>
      </c>
      <c r="E569" s="16" t="s">
        <v>539</v>
      </c>
      <c r="H569" s="16" t="s">
        <v>33</v>
      </c>
      <c r="J569" s="16" t="s">
        <v>32</v>
      </c>
    </row>
    <row r="570" spans="1:10" x14ac:dyDescent="0.3">
      <c r="A570" s="16" t="s">
        <v>67</v>
      </c>
      <c r="B570" s="16" t="s">
        <v>69</v>
      </c>
      <c r="C570" s="16" t="s">
        <v>1779</v>
      </c>
      <c r="D570" s="16" t="s">
        <v>388</v>
      </c>
      <c r="E570" s="16" t="s">
        <v>539</v>
      </c>
      <c r="H570" s="16" t="s">
        <v>33</v>
      </c>
      <c r="J570" s="16" t="s">
        <v>32</v>
      </c>
    </row>
    <row r="571" spans="1:10" x14ac:dyDescent="0.3">
      <c r="A571" s="16" t="s">
        <v>2389</v>
      </c>
      <c r="B571" s="16" t="s">
        <v>2390</v>
      </c>
      <c r="C571" s="16" t="s">
        <v>1796</v>
      </c>
      <c r="D571" s="16" t="s">
        <v>388</v>
      </c>
      <c r="E571" s="16" t="s">
        <v>539</v>
      </c>
      <c r="H571" s="16" t="s">
        <v>33</v>
      </c>
      <c r="J571" s="16" t="s">
        <v>32</v>
      </c>
    </row>
    <row r="572" spans="1:10" x14ac:dyDescent="0.3">
      <c r="A572" s="16" t="s">
        <v>2391</v>
      </c>
      <c r="B572" s="16" t="s">
        <v>2392</v>
      </c>
      <c r="C572" s="16" t="s">
        <v>1779</v>
      </c>
      <c r="D572" s="16" t="s">
        <v>388</v>
      </c>
      <c r="E572" s="16" t="s">
        <v>539</v>
      </c>
      <c r="H572" s="16" t="s">
        <v>33</v>
      </c>
      <c r="J572" s="16" t="s">
        <v>32</v>
      </c>
    </row>
    <row r="573" spans="1:10" x14ac:dyDescent="0.3">
      <c r="A573" s="16" t="s">
        <v>2393</v>
      </c>
      <c r="B573" s="16" t="s">
        <v>2394</v>
      </c>
      <c r="C573" s="16" t="s">
        <v>1779</v>
      </c>
      <c r="D573" s="16" t="s">
        <v>388</v>
      </c>
      <c r="E573" s="16" t="s">
        <v>539</v>
      </c>
      <c r="H573" s="16" t="s">
        <v>33</v>
      </c>
      <c r="J573" s="16" t="s">
        <v>1988</v>
      </c>
    </row>
    <row r="574" spans="1:10" x14ac:dyDescent="0.3">
      <c r="A574" s="16" t="s">
        <v>2395</v>
      </c>
      <c r="B574" s="16" t="s">
        <v>2396</v>
      </c>
      <c r="C574" s="16" t="s">
        <v>1779</v>
      </c>
      <c r="D574" s="16" t="s">
        <v>388</v>
      </c>
      <c r="E574" s="16" t="s">
        <v>539</v>
      </c>
      <c r="H574" s="16" t="s">
        <v>33</v>
      </c>
      <c r="J574" s="16" t="s">
        <v>1988</v>
      </c>
    </row>
    <row r="575" spans="1:10" x14ac:dyDescent="0.3">
      <c r="A575" s="16" t="s">
        <v>1302</v>
      </c>
      <c r="B575" s="16" t="s">
        <v>1303</v>
      </c>
      <c r="C575" s="16" t="s">
        <v>1778</v>
      </c>
      <c r="D575" s="16" t="s">
        <v>18</v>
      </c>
      <c r="E575" s="16" t="s">
        <v>539</v>
      </c>
      <c r="G575" s="16" t="s">
        <v>1127</v>
      </c>
      <c r="H575" s="16" t="s">
        <v>33</v>
      </c>
    </row>
    <row r="576" spans="1:10" x14ac:dyDescent="0.3">
      <c r="A576" s="16" t="s">
        <v>2397</v>
      </c>
      <c r="B576" s="16" t="s">
        <v>445</v>
      </c>
      <c r="C576" s="16" t="s">
        <v>1779</v>
      </c>
      <c r="D576" s="16" t="s">
        <v>388</v>
      </c>
      <c r="E576" s="16" t="s">
        <v>539</v>
      </c>
      <c r="H576" s="16" t="s">
        <v>33</v>
      </c>
      <c r="J576" s="16" t="s">
        <v>1988</v>
      </c>
    </row>
    <row r="577" spans="1:10" x14ac:dyDescent="0.3">
      <c r="A577" s="16" t="s">
        <v>2398</v>
      </c>
      <c r="B577" s="16" t="s">
        <v>2399</v>
      </c>
      <c r="C577" s="16" t="s">
        <v>1777</v>
      </c>
      <c r="D577" s="16" t="s">
        <v>388</v>
      </c>
      <c r="E577" s="16" t="s">
        <v>539</v>
      </c>
      <c r="H577" s="16" t="s">
        <v>33</v>
      </c>
      <c r="J577" s="16" t="s">
        <v>1988</v>
      </c>
    </row>
    <row r="578" spans="1:10" x14ac:dyDescent="0.3">
      <c r="A578" s="16" t="s">
        <v>2400</v>
      </c>
      <c r="B578" s="16" t="s">
        <v>2401</v>
      </c>
      <c r="C578" s="16" t="s">
        <v>1779</v>
      </c>
      <c r="D578" s="16" t="s">
        <v>388</v>
      </c>
      <c r="E578" s="16" t="s">
        <v>539</v>
      </c>
      <c r="H578" s="16" t="s">
        <v>33</v>
      </c>
      <c r="J578" s="16" t="s">
        <v>1988</v>
      </c>
    </row>
    <row r="579" spans="1:10" x14ac:dyDescent="0.3">
      <c r="A579" s="16" t="s">
        <v>1534</v>
      </c>
      <c r="B579" s="16" t="s">
        <v>1535</v>
      </c>
      <c r="C579" s="16" t="s">
        <v>1779</v>
      </c>
      <c r="D579" s="16" t="s">
        <v>18</v>
      </c>
      <c r="E579" s="16" t="s">
        <v>539</v>
      </c>
      <c r="G579" s="16" t="s">
        <v>1127</v>
      </c>
      <c r="H579" s="16" t="s">
        <v>33</v>
      </c>
    </row>
    <row r="580" spans="1:10" x14ac:dyDescent="0.3">
      <c r="A580" s="16" t="s">
        <v>173</v>
      </c>
      <c r="B580" s="16" t="s">
        <v>174</v>
      </c>
      <c r="C580" s="16" t="s">
        <v>1779</v>
      </c>
      <c r="D580" s="16" t="s">
        <v>388</v>
      </c>
      <c r="E580" s="16" t="s">
        <v>539</v>
      </c>
      <c r="H580" s="16" t="s">
        <v>33</v>
      </c>
      <c r="J580" s="16" t="s">
        <v>32</v>
      </c>
    </row>
    <row r="581" spans="1:10" x14ac:dyDescent="0.3">
      <c r="A581" s="16" t="s">
        <v>175</v>
      </c>
      <c r="B581" s="16" t="s">
        <v>176</v>
      </c>
      <c r="C581" s="16" t="s">
        <v>1779</v>
      </c>
      <c r="D581" s="16" t="s">
        <v>388</v>
      </c>
      <c r="E581" s="16" t="s">
        <v>539</v>
      </c>
      <c r="H581" s="16" t="s">
        <v>33</v>
      </c>
      <c r="J581" s="16" t="s">
        <v>32</v>
      </c>
    </row>
    <row r="582" spans="1:10" x14ac:dyDescent="0.3">
      <c r="A582" s="16" t="s">
        <v>177</v>
      </c>
      <c r="B582" s="16" t="s">
        <v>178</v>
      </c>
      <c r="C582" s="16" t="s">
        <v>1779</v>
      </c>
      <c r="D582" s="16" t="s">
        <v>388</v>
      </c>
      <c r="E582" s="16" t="s">
        <v>539</v>
      </c>
      <c r="H582" s="16" t="s">
        <v>33</v>
      </c>
      <c r="J582" s="16" t="s">
        <v>32</v>
      </c>
    </row>
    <row r="583" spans="1:10" x14ac:dyDescent="0.3">
      <c r="A583" s="16" t="s">
        <v>179</v>
      </c>
      <c r="B583" s="16" t="s">
        <v>180</v>
      </c>
      <c r="C583" s="16" t="s">
        <v>1779</v>
      </c>
      <c r="D583" s="16" t="s">
        <v>388</v>
      </c>
      <c r="E583" s="16" t="s">
        <v>539</v>
      </c>
      <c r="H583" s="16" t="s">
        <v>33</v>
      </c>
      <c r="J583" s="16" t="s">
        <v>32</v>
      </c>
    </row>
    <row r="584" spans="1:10" x14ac:dyDescent="0.3">
      <c r="A584" s="16" t="s">
        <v>2405</v>
      </c>
      <c r="B584" s="16" t="s">
        <v>458</v>
      </c>
      <c r="C584" s="16" t="s">
        <v>1779</v>
      </c>
      <c r="D584" s="16" t="s">
        <v>388</v>
      </c>
      <c r="E584" s="16" t="s">
        <v>539</v>
      </c>
      <c r="H584" s="16" t="s">
        <v>33</v>
      </c>
      <c r="J584" s="16" t="s">
        <v>32</v>
      </c>
    </row>
    <row r="585" spans="1:10" x14ac:dyDescent="0.3">
      <c r="A585" s="16" t="s">
        <v>2405</v>
      </c>
      <c r="B585" s="16" t="s">
        <v>458</v>
      </c>
      <c r="C585" s="16" t="s">
        <v>1777</v>
      </c>
      <c r="D585" s="16" t="s">
        <v>388</v>
      </c>
      <c r="E585" s="16" t="s">
        <v>539</v>
      </c>
      <c r="J585" s="16" t="s">
        <v>32</v>
      </c>
    </row>
    <row r="586" spans="1:10" x14ac:dyDescent="0.3">
      <c r="A586" s="16" t="s">
        <v>1536</v>
      </c>
      <c r="B586" s="16" t="s">
        <v>1537</v>
      </c>
      <c r="C586" s="16" t="s">
        <v>1779</v>
      </c>
      <c r="D586" s="16" t="s">
        <v>18</v>
      </c>
      <c r="E586" s="16" t="s">
        <v>1402</v>
      </c>
      <c r="G586" s="16" t="s">
        <v>1127</v>
      </c>
      <c r="H586" s="16" t="s">
        <v>33</v>
      </c>
    </row>
    <row r="587" spans="1:10" x14ac:dyDescent="0.3">
      <c r="A587" s="16" t="s">
        <v>160</v>
      </c>
      <c r="B587" s="16" t="s">
        <v>161</v>
      </c>
      <c r="C587" s="16" t="s">
        <v>1779</v>
      </c>
      <c r="D587" s="16" t="s">
        <v>18</v>
      </c>
      <c r="E587" s="16" t="s">
        <v>539</v>
      </c>
      <c r="G587" s="16" t="s">
        <v>1127</v>
      </c>
      <c r="H587" s="16" t="s">
        <v>33</v>
      </c>
    </row>
    <row r="588" spans="1:10" x14ac:dyDescent="0.3">
      <c r="A588" s="16" t="s">
        <v>1304</v>
      </c>
      <c r="B588" s="16" t="s">
        <v>1305</v>
      </c>
      <c r="C588" s="16" t="s">
        <v>1778</v>
      </c>
      <c r="D588" s="16" t="s">
        <v>18</v>
      </c>
      <c r="E588" s="16" t="s">
        <v>555</v>
      </c>
      <c r="G588" s="16" t="s">
        <v>1127</v>
      </c>
      <c r="H588" s="16" t="s">
        <v>33</v>
      </c>
    </row>
    <row r="589" spans="1:10" x14ac:dyDescent="0.3">
      <c r="A589" s="16" t="s">
        <v>45</v>
      </c>
      <c r="B589" s="16" t="s">
        <v>46</v>
      </c>
      <c r="C589" s="16" t="s">
        <v>1778</v>
      </c>
      <c r="D589" s="16" t="s">
        <v>18</v>
      </c>
      <c r="E589" s="16" t="s">
        <v>555</v>
      </c>
      <c r="G589" s="16" t="s">
        <v>1127</v>
      </c>
      <c r="H589" s="16" t="s">
        <v>33</v>
      </c>
    </row>
    <row r="590" spans="1:10" x14ac:dyDescent="0.3">
      <c r="A590" s="16" t="s">
        <v>47</v>
      </c>
      <c r="B590" s="16" t="s">
        <v>48</v>
      </c>
      <c r="C590" s="16" t="s">
        <v>1778</v>
      </c>
      <c r="D590" s="16" t="s">
        <v>18</v>
      </c>
      <c r="E590" s="16" t="s">
        <v>555</v>
      </c>
      <c r="G590" s="16" t="s">
        <v>1127</v>
      </c>
      <c r="H590" s="16" t="s">
        <v>33</v>
      </c>
    </row>
    <row r="591" spans="1:10" x14ac:dyDescent="0.3">
      <c r="A591" s="16" t="s">
        <v>49</v>
      </c>
      <c r="B591" s="16" t="s">
        <v>2437</v>
      </c>
      <c r="C591" s="16" t="s">
        <v>1778</v>
      </c>
      <c r="D591" s="16" t="s">
        <v>50</v>
      </c>
      <c r="E591" s="16" t="s">
        <v>555</v>
      </c>
      <c r="H591" s="16" t="s">
        <v>33</v>
      </c>
    </row>
    <row r="592" spans="1:10" x14ac:dyDescent="0.3">
      <c r="A592" s="16" t="s">
        <v>51</v>
      </c>
      <c r="B592" s="16" t="s">
        <v>52</v>
      </c>
      <c r="C592" s="16" t="s">
        <v>1778</v>
      </c>
      <c r="D592" s="16" t="s">
        <v>18</v>
      </c>
      <c r="E592" s="16" t="s">
        <v>555</v>
      </c>
      <c r="G592" s="16" t="s">
        <v>1127</v>
      </c>
      <c r="H592" s="16" t="s">
        <v>33</v>
      </c>
    </row>
    <row r="593" spans="1:12" x14ac:dyDescent="0.3">
      <c r="A593" s="16" t="s">
        <v>1306</v>
      </c>
      <c r="B593" s="16" t="s">
        <v>1307</v>
      </c>
      <c r="C593" s="16" t="s">
        <v>1778</v>
      </c>
      <c r="D593" s="16" t="s">
        <v>18</v>
      </c>
      <c r="E593" s="16" t="s">
        <v>539</v>
      </c>
      <c r="G593" s="16" t="s">
        <v>1127</v>
      </c>
      <c r="H593" s="16" t="s">
        <v>33</v>
      </c>
    </row>
    <row r="594" spans="1:12" x14ac:dyDescent="0.3">
      <c r="A594" s="16" t="s">
        <v>1308</v>
      </c>
      <c r="B594" s="16" t="s">
        <v>1538</v>
      </c>
      <c r="C594" s="16" t="s">
        <v>1779</v>
      </c>
      <c r="D594" s="16" t="s">
        <v>18</v>
      </c>
      <c r="E594" s="16" t="s">
        <v>539</v>
      </c>
      <c r="G594" s="16" t="s">
        <v>1127</v>
      </c>
      <c r="H594" s="16" t="s">
        <v>33</v>
      </c>
    </row>
    <row r="595" spans="1:12" x14ac:dyDescent="0.3">
      <c r="A595" s="16" t="s">
        <v>1308</v>
      </c>
      <c r="B595" s="16" t="s">
        <v>1309</v>
      </c>
      <c r="C595" s="16" t="s">
        <v>1778</v>
      </c>
      <c r="D595" s="16" t="s">
        <v>18</v>
      </c>
      <c r="E595" s="16" t="s">
        <v>539</v>
      </c>
      <c r="G595" s="16" t="s">
        <v>1127</v>
      </c>
      <c r="H595" s="16" t="s">
        <v>33</v>
      </c>
    </row>
    <row r="596" spans="1:12" x14ac:dyDescent="0.3">
      <c r="A596" s="16" t="s">
        <v>1310</v>
      </c>
      <c r="B596" s="16" t="s">
        <v>1311</v>
      </c>
      <c r="C596" s="16" t="s">
        <v>1778</v>
      </c>
      <c r="D596" s="16" t="s">
        <v>18</v>
      </c>
      <c r="E596" s="16" t="s">
        <v>539</v>
      </c>
      <c r="G596" s="16" t="s">
        <v>1127</v>
      </c>
      <c r="H596" s="16" t="s">
        <v>33</v>
      </c>
    </row>
    <row r="597" spans="1:12" x14ac:dyDescent="0.3">
      <c r="A597" s="16" t="s">
        <v>1312</v>
      </c>
      <c r="B597" s="16" t="s">
        <v>1313</v>
      </c>
      <c r="C597" s="16" t="s">
        <v>1778</v>
      </c>
      <c r="D597" s="16" t="s">
        <v>18</v>
      </c>
      <c r="E597" s="16" t="s">
        <v>617</v>
      </c>
      <c r="G597" s="16" t="s">
        <v>1127</v>
      </c>
      <c r="H597" s="16" t="s">
        <v>33</v>
      </c>
    </row>
    <row r="598" spans="1:12" x14ac:dyDescent="0.3">
      <c r="A598" s="16" t="s">
        <v>2411</v>
      </c>
      <c r="B598" s="16" t="s">
        <v>2412</v>
      </c>
      <c r="C598" s="16" t="s">
        <v>1779</v>
      </c>
      <c r="D598" s="16" t="s">
        <v>133</v>
      </c>
      <c r="E598" s="16" t="s">
        <v>661</v>
      </c>
      <c r="H598" s="16" t="s">
        <v>33</v>
      </c>
    </row>
    <row r="599" spans="1:12" x14ac:dyDescent="0.3">
      <c r="A599" s="16" t="s">
        <v>394</v>
      </c>
      <c r="B599" s="16" t="s">
        <v>395</v>
      </c>
      <c r="C599" s="16" t="s">
        <v>1779</v>
      </c>
      <c r="D599" s="16" t="s">
        <v>388</v>
      </c>
      <c r="E599" s="16" t="s">
        <v>539</v>
      </c>
      <c r="H599" s="16" t="s">
        <v>33</v>
      </c>
      <c r="J599" s="16" t="s">
        <v>32</v>
      </c>
    </row>
    <row r="600" spans="1:12" x14ac:dyDescent="0.3">
      <c r="A600" s="16" t="s">
        <v>2413</v>
      </c>
      <c r="B600" s="16" t="s">
        <v>2414</v>
      </c>
      <c r="C600" s="16" t="s">
        <v>1779</v>
      </c>
      <c r="D600" s="16" t="s">
        <v>388</v>
      </c>
      <c r="E600" s="16" t="s">
        <v>539</v>
      </c>
      <c r="H600" s="16" t="s">
        <v>33</v>
      </c>
      <c r="J600" s="16" t="s">
        <v>32</v>
      </c>
    </row>
    <row r="601" spans="1:12" x14ac:dyDescent="0.3">
      <c r="A601" s="16" t="s">
        <v>2415</v>
      </c>
      <c r="B601" s="16" t="s">
        <v>2416</v>
      </c>
      <c r="C601" s="16" t="s">
        <v>1779</v>
      </c>
      <c r="D601" s="16" t="s">
        <v>388</v>
      </c>
      <c r="E601" s="16" t="s">
        <v>539</v>
      </c>
      <c r="H601" s="16" t="s">
        <v>33</v>
      </c>
      <c r="J601" s="16" t="s">
        <v>32</v>
      </c>
      <c r="K601" s="16" t="s">
        <v>2417</v>
      </c>
      <c r="L601" s="16" t="s">
        <v>33</v>
      </c>
    </row>
    <row r="602" spans="1:12" x14ac:dyDescent="0.3">
      <c r="A602" s="16" t="s">
        <v>2415</v>
      </c>
      <c r="B602" s="16" t="s">
        <v>2416</v>
      </c>
      <c r="C602" s="16" t="s">
        <v>1915</v>
      </c>
      <c r="D602" s="16" t="s">
        <v>388</v>
      </c>
      <c r="E602" s="16" t="s">
        <v>539</v>
      </c>
      <c r="H602" s="16" t="s">
        <v>33</v>
      </c>
      <c r="J602" s="16" t="s">
        <v>32</v>
      </c>
      <c r="K602" s="16" t="s">
        <v>2417</v>
      </c>
      <c r="L602" s="16" t="s">
        <v>33</v>
      </c>
    </row>
    <row r="603" spans="1:12" x14ac:dyDescent="0.3">
      <c r="A603" s="16" t="s">
        <v>2418</v>
      </c>
      <c r="B603" s="16" t="s">
        <v>2419</v>
      </c>
      <c r="C603" s="16" t="s">
        <v>1779</v>
      </c>
      <c r="D603" s="16" t="s">
        <v>133</v>
      </c>
      <c r="E603" s="16" t="s">
        <v>539</v>
      </c>
      <c r="H603" s="16" t="s">
        <v>33</v>
      </c>
    </row>
    <row r="604" spans="1:12" x14ac:dyDescent="0.3">
      <c r="A604" s="16" t="s">
        <v>2418</v>
      </c>
      <c r="B604" s="16" t="s">
        <v>2420</v>
      </c>
      <c r="C604" s="16" t="s">
        <v>1915</v>
      </c>
      <c r="D604" s="16" t="s">
        <v>133</v>
      </c>
      <c r="E604" s="16" t="s">
        <v>539</v>
      </c>
      <c r="H604" s="16" t="s">
        <v>33</v>
      </c>
    </row>
    <row r="605" spans="1:12" x14ac:dyDescent="0.3">
      <c r="A605" s="16" t="s">
        <v>2418</v>
      </c>
      <c r="B605" s="16" t="s">
        <v>2421</v>
      </c>
      <c r="C605" s="16" t="s">
        <v>1778</v>
      </c>
      <c r="D605" s="16" t="s">
        <v>133</v>
      </c>
      <c r="E605" s="16" t="s">
        <v>539</v>
      </c>
      <c r="H605" s="16" t="s">
        <v>33</v>
      </c>
    </row>
    <row r="606" spans="1:12" x14ac:dyDescent="0.3">
      <c r="A606" s="16" t="s">
        <v>3437</v>
      </c>
      <c r="B606" s="16" t="s">
        <v>3438</v>
      </c>
      <c r="C606" s="16" t="s">
        <v>1915</v>
      </c>
      <c r="D606" s="16" t="s">
        <v>133</v>
      </c>
      <c r="E606" s="16" t="s">
        <v>539</v>
      </c>
      <c r="H606" s="16" t="s">
        <v>33</v>
      </c>
    </row>
    <row r="607" spans="1:12" x14ac:dyDescent="0.3">
      <c r="A607" s="16" t="s">
        <v>3439</v>
      </c>
      <c r="B607" s="16" t="s">
        <v>3440</v>
      </c>
      <c r="C607" s="16" t="s">
        <v>1779</v>
      </c>
      <c r="D607" s="16" t="s">
        <v>133</v>
      </c>
      <c r="E607" s="16" t="s">
        <v>539</v>
      </c>
      <c r="H607" s="16" t="s">
        <v>33</v>
      </c>
    </row>
    <row r="608" spans="1:12" x14ac:dyDescent="0.3">
      <c r="A608" s="16" t="s">
        <v>3441</v>
      </c>
      <c r="B608" s="16" t="s">
        <v>3442</v>
      </c>
      <c r="C608" s="16" t="s">
        <v>1778</v>
      </c>
      <c r="D608" s="16" t="s">
        <v>133</v>
      </c>
      <c r="E608" s="16" t="s">
        <v>539</v>
      </c>
      <c r="H608" s="16" t="s">
        <v>33</v>
      </c>
    </row>
    <row r="609" spans="1:12" x14ac:dyDescent="0.3">
      <c r="A609" s="16" t="s">
        <v>2422</v>
      </c>
      <c r="B609" s="16" t="s">
        <v>2423</v>
      </c>
      <c r="C609" s="16" t="s">
        <v>1779</v>
      </c>
      <c r="D609" s="16" t="s">
        <v>133</v>
      </c>
      <c r="E609" s="16" t="s">
        <v>2424</v>
      </c>
      <c r="H609" s="16" t="s">
        <v>33</v>
      </c>
    </row>
    <row r="610" spans="1:12" x14ac:dyDescent="0.3">
      <c r="A610" s="16" t="s">
        <v>2422</v>
      </c>
      <c r="B610" s="16" t="s">
        <v>2423</v>
      </c>
      <c r="C610" s="16" t="s">
        <v>1915</v>
      </c>
      <c r="D610" s="16" t="s">
        <v>133</v>
      </c>
      <c r="E610" s="16" t="s">
        <v>2424</v>
      </c>
      <c r="H610" s="16" t="s">
        <v>33</v>
      </c>
    </row>
    <row r="611" spans="1:12" x14ac:dyDescent="0.3">
      <c r="A611" s="16" t="s">
        <v>2422</v>
      </c>
      <c r="B611" s="16" t="s">
        <v>2423</v>
      </c>
      <c r="C611" s="16" t="s">
        <v>1778</v>
      </c>
      <c r="D611" s="16" t="s">
        <v>133</v>
      </c>
      <c r="E611" s="16" t="s">
        <v>2424</v>
      </c>
      <c r="H611" s="16" t="s">
        <v>33</v>
      </c>
    </row>
    <row r="612" spans="1:12" x14ac:dyDescent="0.3">
      <c r="A612" s="16" t="s">
        <v>2425</v>
      </c>
      <c r="B612" s="16" t="s">
        <v>2426</v>
      </c>
      <c r="C612" s="16" t="s">
        <v>1779</v>
      </c>
      <c r="D612" s="16" t="s">
        <v>388</v>
      </c>
      <c r="E612" s="16" t="s">
        <v>539</v>
      </c>
      <c r="H612" s="16" t="s">
        <v>33</v>
      </c>
      <c r="J612" s="16" t="s">
        <v>32</v>
      </c>
      <c r="K612" s="16" t="s">
        <v>2417</v>
      </c>
      <c r="L612" s="16" t="s">
        <v>33</v>
      </c>
    </row>
    <row r="613" spans="1:12" x14ac:dyDescent="0.3">
      <c r="A613" s="16" t="s">
        <v>416</v>
      </c>
      <c r="B613" s="16" t="s">
        <v>418</v>
      </c>
      <c r="C613" s="16" t="s">
        <v>1779</v>
      </c>
      <c r="D613" s="16" t="s">
        <v>388</v>
      </c>
      <c r="E613" s="16" t="s">
        <v>539</v>
      </c>
      <c r="H613" s="16" t="s">
        <v>33</v>
      </c>
      <c r="J613" s="16" t="s">
        <v>32</v>
      </c>
    </row>
    <row r="614" spans="1:12" x14ac:dyDescent="0.3">
      <c r="A614" s="16" t="s">
        <v>416</v>
      </c>
      <c r="B614" s="16" t="s">
        <v>417</v>
      </c>
      <c r="C614" s="16" t="s">
        <v>1777</v>
      </c>
      <c r="D614" s="16" t="s">
        <v>388</v>
      </c>
      <c r="E614" s="16" t="s">
        <v>539</v>
      </c>
      <c r="H614" s="16" t="s">
        <v>33</v>
      </c>
      <c r="J614" s="16" t="s">
        <v>32</v>
      </c>
    </row>
    <row r="615" spans="1:12" x14ac:dyDescent="0.3">
      <c r="A615" s="16" t="s">
        <v>2427</v>
      </c>
      <c r="B615" s="16" t="s">
        <v>143</v>
      </c>
      <c r="C615" s="16" t="s">
        <v>1779</v>
      </c>
      <c r="D615" s="16" t="s">
        <v>388</v>
      </c>
      <c r="E615" s="16" t="s">
        <v>539</v>
      </c>
      <c r="H615" s="16" t="s">
        <v>33</v>
      </c>
      <c r="J615" s="16" t="s">
        <v>32</v>
      </c>
    </row>
    <row r="616" spans="1:12" x14ac:dyDescent="0.3">
      <c r="A616" s="16" t="s">
        <v>2427</v>
      </c>
      <c r="B616" s="16" t="s">
        <v>143</v>
      </c>
      <c r="C616" s="16" t="s">
        <v>1777</v>
      </c>
      <c r="D616" s="16" t="s">
        <v>388</v>
      </c>
      <c r="E616" s="16" t="s">
        <v>539</v>
      </c>
      <c r="H616" s="16" t="s">
        <v>33</v>
      </c>
      <c r="J616" s="16" t="s">
        <v>32</v>
      </c>
    </row>
    <row r="617" spans="1:12" x14ac:dyDescent="0.3">
      <c r="A617" s="16" t="s">
        <v>139</v>
      </c>
      <c r="B617" s="16" t="s">
        <v>141</v>
      </c>
      <c r="C617" s="16" t="s">
        <v>1779</v>
      </c>
      <c r="D617" s="16" t="s">
        <v>388</v>
      </c>
      <c r="E617" s="16" t="s">
        <v>539</v>
      </c>
      <c r="H617" s="16" t="s">
        <v>33</v>
      </c>
      <c r="J617" s="16" t="s">
        <v>32</v>
      </c>
    </row>
    <row r="618" spans="1:12" x14ac:dyDescent="0.3">
      <c r="A618" s="16" t="s">
        <v>451</v>
      </c>
      <c r="B618" s="16" t="s">
        <v>452</v>
      </c>
      <c r="C618" s="16" t="s">
        <v>1779</v>
      </c>
      <c r="D618" s="16" t="s">
        <v>388</v>
      </c>
      <c r="E618" s="16" t="s">
        <v>539</v>
      </c>
      <c r="H618" s="16" t="s">
        <v>33</v>
      </c>
      <c r="J618" s="16" t="s">
        <v>32</v>
      </c>
    </row>
    <row r="619" spans="1:12" x14ac:dyDescent="0.3">
      <c r="A619" s="16" t="s">
        <v>2428</v>
      </c>
      <c r="B619" s="16" t="s">
        <v>2429</v>
      </c>
      <c r="C619" s="16" t="s">
        <v>1777</v>
      </c>
      <c r="D619" s="16" t="s">
        <v>388</v>
      </c>
      <c r="E619" s="16" t="s">
        <v>539</v>
      </c>
      <c r="H619" s="16" t="s">
        <v>33</v>
      </c>
      <c r="J619" s="16" t="s">
        <v>32</v>
      </c>
    </row>
    <row r="620" spans="1:12" x14ac:dyDescent="0.3">
      <c r="A620" s="16" t="s">
        <v>2430</v>
      </c>
      <c r="B620" s="16" t="s">
        <v>2431</v>
      </c>
      <c r="C620" s="16" t="s">
        <v>1779</v>
      </c>
      <c r="D620" s="16" t="s">
        <v>133</v>
      </c>
      <c r="E620" s="16" t="s">
        <v>1791</v>
      </c>
      <c r="H620" s="16" t="s">
        <v>33</v>
      </c>
    </row>
    <row r="621" spans="1:12" x14ac:dyDescent="0.3">
      <c r="A621" s="16" t="s">
        <v>2432</v>
      </c>
      <c r="B621" s="16" t="s">
        <v>2433</v>
      </c>
      <c r="C621" s="16" t="s">
        <v>1779</v>
      </c>
      <c r="D621" s="16" t="s">
        <v>133</v>
      </c>
      <c r="E621" s="16" t="s">
        <v>1791</v>
      </c>
      <c r="H621" s="16" t="s">
        <v>33</v>
      </c>
    </row>
    <row r="622" spans="1:12" x14ac:dyDescent="0.3">
      <c r="A622" s="16" t="s">
        <v>2434</v>
      </c>
      <c r="B622" s="16" t="s">
        <v>2435</v>
      </c>
      <c r="C622" s="16" t="s">
        <v>1915</v>
      </c>
      <c r="D622" s="16" t="s">
        <v>133</v>
      </c>
      <c r="E622" s="16" t="s">
        <v>1791</v>
      </c>
      <c r="H622" s="16" t="s">
        <v>33</v>
      </c>
    </row>
    <row r="623" spans="1:12" x14ac:dyDescent="0.3">
      <c r="A623" s="16" t="s">
        <v>322</v>
      </c>
      <c r="B623" s="16" t="s">
        <v>323</v>
      </c>
      <c r="C623" s="16" t="s">
        <v>1779</v>
      </c>
      <c r="D623" s="16" t="s">
        <v>18</v>
      </c>
      <c r="E623" s="16" t="s">
        <v>539</v>
      </c>
      <c r="G623" s="16" t="s">
        <v>1127</v>
      </c>
      <c r="H623" s="16" t="s">
        <v>33</v>
      </c>
    </row>
    <row r="624" spans="1:12" x14ac:dyDescent="0.3">
      <c r="A624" s="16" t="s">
        <v>53</v>
      </c>
      <c r="B624" s="16" t="s">
        <v>189</v>
      </c>
      <c r="C624" s="16" t="s">
        <v>1779</v>
      </c>
      <c r="D624" s="16" t="s">
        <v>18</v>
      </c>
      <c r="E624" s="16" t="s">
        <v>539</v>
      </c>
      <c r="G624" s="16" t="s">
        <v>1127</v>
      </c>
      <c r="H624" s="16" t="s">
        <v>33</v>
      </c>
    </row>
    <row r="625" spans="1:10" x14ac:dyDescent="0.3">
      <c r="A625" s="16" t="s">
        <v>1314</v>
      </c>
      <c r="B625" s="16" t="s">
        <v>54</v>
      </c>
      <c r="C625" s="16" t="s">
        <v>1778</v>
      </c>
      <c r="D625" s="16" t="s">
        <v>18</v>
      </c>
      <c r="E625" s="16" t="s">
        <v>539</v>
      </c>
      <c r="G625" s="16" t="s">
        <v>1127</v>
      </c>
      <c r="H625" s="16" t="s">
        <v>33</v>
      </c>
    </row>
    <row r="626" spans="1:10" x14ac:dyDescent="0.3">
      <c r="A626" s="16" t="s">
        <v>1315</v>
      </c>
      <c r="B626" s="16" t="s">
        <v>1316</v>
      </c>
      <c r="C626" s="16" t="s">
        <v>1778</v>
      </c>
      <c r="D626" s="16" t="s">
        <v>18</v>
      </c>
      <c r="E626" s="16" t="s">
        <v>555</v>
      </c>
      <c r="G626" s="16" t="s">
        <v>1127</v>
      </c>
      <c r="H626" s="16" t="s">
        <v>33</v>
      </c>
    </row>
    <row r="627" spans="1:10" x14ac:dyDescent="0.3">
      <c r="A627" s="16" t="s">
        <v>1317</v>
      </c>
      <c r="B627" s="16" t="s">
        <v>1318</v>
      </c>
      <c r="C627" s="16" t="s">
        <v>1778</v>
      </c>
      <c r="D627" s="16" t="s">
        <v>18</v>
      </c>
      <c r="E627" s="16" t="s">
        <v>555</v>
      </c>
      <c r="G627" s="16" t="s">
        <v>1127</v>
      </c>
      <c r="H627" s="16" t="s">
        <v>33</v>
      </c>
    </row>
    <row r="628" spans="1:10" x14ac:dyDescent="0.3">
      <c r="A628" s="16" t="s">
        <v>2438</v>
      </c>
      <c r="B628" s="16" t="s">
        <v>2439</v>
      </c>
      <c r="C628" s="16" t="s">
        <v>1778</v>
      </c>
      <c r="D628" s="16" t="s">
        <v>50</v>
      </c>
      <c r="E628" s="16" t="s">
        <v>555</v>
      </c>
      <c r="H628" s="16" t="s">
        <v>33</v>
      </c>
    </row>
    <row r="629" spans="1:10" x14ac:dyDescent="0.3">
      <c r="A629" s="16" t="s">
        <v>2438</v>
      </c>
      <c r="B629" s="16" t="s">
        <v>2440</v>
      </c>
      <c r="C629" s="16" t="s">
        <v>1778</v>
      </c>
      <c r="D629" s="16" t="s">
        <v>18</v>
      </c>
      <c r="E629" s="16" t="s">
        <v>555</v>
      </c>
      <c r="G629" s="16" t="s">
        <v>1770</v>
      </c>
      <c r="H629" s="16" t="s">
        <v>33</v>
      </c>
    </row>
    <row r="630" spans="1:10" x14ac:dyDescent="0.3">
      <c r="A630" s="16" t="s">
        <v>2441</v>
      </c>
      <c r="B630" s="16" t="s">
        <v>2442</v>
      </c>
      <c r="C630" s="16" t="s">
        <v>1778</v>
      </c>
      <c r="D630" s="16" t="s">
        <v>18</v>
      </c>
      <c r="E630" s="16" t="s">
        <v>555</v>
      </c>
      <c r="G630" s="16" t="s">
        <v>1770</v>
      </c>
      <c r="H630" s="16" t="s">
        <v>33</v>
      </c>
    </row>
    <row r="631" spans="1:10" x14ac:dyDescent="0.3">
      <c r="A631" s="16" t="s">
        <v>1319</v>
      </c>
      <c r="B631" s="16" t="s">
        <v>1320</v>
      </c>
      <c r="C631" s="16" t="s">
        <v>1778</v>
      </c>
      <c r="D631" s="16" t="s">
        <v>18</v>
      </c>
      <c r="E631" s="16" t="s">
        <v>555</v>
      </c>
      <c r="G631" s="16" t="s">
        <v>1127</v>
      </c>
      <c r="H631" s="16" t="s">
        <v>33</v>
      </c>
    </row>
    <row r="632" spans="1:10" x14ac:dyDescent="0.3">
      <c r="A632" s="16" t="s">
        <v>1319</v>
      </c>
      <c r="B632" s="16" t="s">
        <v>1539</v>
      </c>
      <c r="C632" s="16" t="s">
        <v>1779</v>
      </c>
      <c r="D632" s="16" t="s">
        <v>18</v>
      </c>
      <c r="E632" s="16" t="s">
        <v>555</v>
      </c>
      <c r="G632" s="16" t="s">
        <v>1127</v>
      </c>
      <c r="H632" s="16" t="s">
        <v>33</v>
      </c>
    </row>
    <row r="633" spans="1:10" x14ac:dyDescent="0.3">
      <c r="A633" s="16" t="s">
        <v>2443</v>
      </c>
      <c r="B633" s="16" t="s">
        <v>2444</v>
      </c>
      <c r="C633" s="16" t="s">
        <v>1778</v>
      </c>
      <c r="D633" s="16" t="s">
        <v>50</v>
      </c>
      <c r="E633" s="16" t="s">
        <v>555</v>
      </c>
      <c r="H633" s="16" t="s">
        <v>33</v>
      </c>
    </row>
    <row r="634" spans="1:10" x14ac:dyDescent="0.3">
      <c r="A634" s="16" t="s">
        <v>1321</v>
      </c>
      <c r="B634" s="16" t="s">
        <v>2445</v>
      </c>
      <c r="C634" s="16" t="s">
        <v>1778</v>
      </c>
      <c r="D634" s="16" t="s">
        <v>50</v>
      </c>
      <c r="E634" s="16" t="s">
        <v>555</v>
      </c>
      <c r="H634" s="16" t="s">
        <v>33</v>
      </c>
    </row>
    <row r="635" spans="1:10" x14ac:dyDescent="0.3">
      <c r="A635" s="16" t="s">
        <v>1321</v>
      </c>
      <c r="B635" s="16" t="s">
        <v>1322</v>
      </c>
      <c r="C635" s="16" t="s">
        <v>1778</v>
      </c>
      <c r="D635" s="16" t="s">
        <v>18</v>
      </c>
      <c r="E635" s="16" t="s">
        <v>555</v>
      </c>
      <c r="G635" s="16" t="s">
        <v>1770</v>
      </c>
      <c r="H635" s="16" t="s">
        <v>33</v>
      </c>
    </row>
    <row r="636" spans="1:10" x14ac:dyDescent="0.3">
      <c r="A636" s="16" t="s">
        <v>3443</v>
      </c>
      <c r="B636" s="16" t="s">
        <v>3444</v>
      </c>
      <c r="C636" s="16" t="s">
        <v>1779</v>
      </c>
      <c r="D636" s="16" t="s">
        <v>388</v>
      </c>
      <c r="E636" s="16" t="s">
        <v>539</v>
      </c>
      <c r="H636" s="16" t="s">
        <v>33</v>
      </c>
      <c r="J636" s="16" t="s">
        <v>32</v>
      </c>
    </row>
    <row r="637" spans="1:10" x14ac:dyDescent="0.3">
      <c r="A637" s="16" t="s">
        <v>1540</v>
      </c>
      <c r="B637" s="16" t="s">
        <v>1541</v>
      </c>
      <c r="C637" s="16" t="s">
        <v>1779</v>
      </c>
      <c r="D637" s="16" t="s">
        <v>18</v>
      </c>
      <c r="E637" s="16" t="s">
        <v>539</v>
      </c>
      <c r="G637" s="16" t="s">
        <v>1127</v>
      </c>
      <c r="H637" s="16" t="s">
        <v>33</v>
      </c>
    </row>
    <row r="638" spans="1:10" x14ac:dyDescent="0.3">
      <c r="A638" s="16" t="s">
        <v>3445</v>
      </c>
      <c r="B638" s="16" t="s">
        <v>511</v>
      </c>
      <c r="C638" s="16" t="s">
        <v>1779</v>
      </c>
      <c r="D638" s="16" t="s">
        <v>388</v>
      </c>
      <c r="E638" s="16" t="s">
        <v>539</v>
      </c>
      <c r="H638" s="16" t="s">
        <v>33</v>
      </c>
      <c r="J638" s="16" t="s">
        <v>32</v>
      </c>
    </row>
    <row r="639" spans="1:10" x14ac:dyDescent="0.3">
      <c r="A639" s="16" t="s">
        <v>1542</v>
      </c>
      <c r="B639" s="16" t="s">
        <v>513</v>
      </c>
      <c r="C639" s="16" t="s">
        <v>1779</v>
      </c>
      <c r="D639" s="16" t="s">
        <v>18</v>
      </c>
      <c r="E639" s="16" t="s">
        <v>539</v>
      </c>
      <c r="G639" s="16" t="s">
        <v>1127</v>
      </c>
      <c r="H639" s="16" t="s">
        <v>33</v>
      </c>
    </row>
    <row r="640" spans="1:10" x14ac:dyDescent="0.3">
      <c r="A640" s="16" t="s">
        <v>2446</v>
      </c>
      <c r="B640" s="16" t="s">
        <v>2447</v>
      </c>
      <c r="C640" s="16" t="s">
        <v>1779</v>
      </c>
      <c r="D640" s="16" t="s">
        <v>18</v>
      </c>
      <c r="E640" s="16" t="s">
        <v>539</v>
      </c>
      <c r="G640" s="16" t="s">
        <v>1770</v>
      </c>
      <c r="H640" s="16" t="s">
        <v>33</v>
      </c>
    </row>
    <row r="641" spans="1:10" x14ac:dyDescent="0.3">
      <c r="A641" s="16" t="s">
        <v>335</v>
      </c>
      <c r="B641" s="16" t="s">
        <v>337</v>
      </c>
      <c r="C641" s="16" t="s">
        <v>1779</v>
      </c>
      <c r="D641" s="16" t="s">
        <v>388</v>
      </c>
      <c r="E641" s="16" t="s">
        <v>539</v>
      </c>
      <c r="H641" s="16" t="s">
        <v>33</v>
      </c>
      <c r="J641" s="16" t="s">
        <v>32</v>
      </c>
    </row>
    <row r="642" spans="1:10" x14ac:dyDescent="0.3">
      <c r="A642" s="16" t="s">
        <v>1543</v>
      </c>
      <c r="B642" s="16" t="s">
        <v>339</v>
      </c>
      <c r="C642" s="16" t="s">
        <v>1779</v>
      </c>
      <c r="D642" s="16" t="s">
        <v>18</v>
      </c>
      <c r="E642" s="16" t="s">
        <v>539</v>
      </c>
      <c r="G642" s="16" t="s">
        <v>1127</v>
      </c>
      <c r="H642" s="16" t="s">
        <v>33</v>
      </c>
    </row>
    <row r="643" spans="1:10" x14ac:dyDescent="0.3">
      <c r="A643" s="16" t="s">
        <v>346</v>
      </c>
      <c r="B643" s="16" t="s">
        <v>348</v>
      </c>
      <c r="C643" s="16" t="s">
        <v>1779</v>
      </c>
      <c r="D643" s="16" t="s">
        <v>388</v>
      </c>
      <c r="E643" s="16" t="s">
        <v>539</v>
      </c>
      <c r="H643" s="16" t="s">
        <v>33</v>
      </c>
      <c r="J643" s="16" t="s">
        <v>32</v>
      </c>
    </row>
    <row r="644" spans="1:10" x14ac:dyDescent="0.3">
      <c r="A644" s="16" t="s">
        <v>1544</v>
      </c>
      <c r="B644" s="16" t="s">
        <v>1545</v>
      </c>
      <c r="C644" s="16" t="s">
        <v>1779</v>
      </c>
      <c r="D644" s="16" t="s">
        <v>18</v>
      </c>
      <c r="E644" s="16" t="s">
        <v>539</v>
      </c>
      <c r="G644" s="16" t="s">
        <v>1127</v>
      </c>
      <c r="H644" s="16" t="s">
        <v>33</v>
      </c>
    </row>
    <row r="645" spans="1:10" x14ac:dyDescent="0.3">
      <c r="A645" s="16" t="s">
        <v>2448</v>
      </c>
      <c r="B645" s="16" t="s">
        <v>2449</v>
      </c>
      <c r="C645" s="16" t="s">
        <v>1779</v>
      </c>
      <c r="D645" s="16" t="s">
        <v>388</v>
      </c>
      <c r="E645" s="16" t="s">
        <v>539</v>
      </c>
      <c r="H645" s="16" t="s">
        <v>33</v>
      </c>
      <c r="J645" s="16" t="s">
        <v>32</v>
      </c>
    </row>
    <row r="646" spans="1:10" x14ac:dyDescent="0.3">
      <c r="A646" s="16" t="s">
        <v>1546</v>
      </c>
      <c r="B646" s="16" t="s">
        <v>1547</v>
      </c>
      <c r="C646" s="16" t="s">
        <v>1779</v>
      </c>
      <c r="D646" s="16" t="s">
        <v>18</v>
      </c>
      <c r="E646" s="16" t="s">
        <v>539</v>
      </c>
      <c r="G646" s="16" t="s">
        <v>1127</v>
      </c>
      <c r="H646" s="16" t="s">
        <v>33</v>
      </c>
    </row>
    <row r="647" spans="1:10" x14ac:dyDescent="0.3">
      <c r="A647" s="16" t="s">
        <v>355</v>
      </c>
      <c r="B647" s="16" t="s">
        <v>266</v>
      </c>
      <c r="C647" s="16" t="s">
        <v>1779</v>
      </c>
      <c r="D647" s="16" t="s">
        <v>388</v>
      </c>
      <c r="E647" s="16" t="s">
        <v>539</v>
      </c>
      <c r="H647" s="16" t="s">
        <v>33</v>
      </c>
      <c r="J647" s="16" t="s">
        <v>32</v>
      </c>
    </row>
    <row r="648" spans="1:10" x14ac:dyDescent="0.3">
      <c r="A648" s="16" t="s">
        <v>357</v>
      </c>
      <c r="B648" s="16" t="s">
        <v>358</v>
      </c>
      <c r="C648" s="16" t="s">
        <v>1779</v>
      </c>
      <c r="D648" s="16" t="s">
        <v>18</v>
      </c>
      <c r="E648" s="16" t="s">
        <v>539</v>
      </c>
      <c r="G648" s="16" t="s">
        <v>1127</v>
      </c>
      <c r="H648" s="16" t="s">
        <v>33</v>
      </c>
    </row>
    <row r="649" spans="1:10" x14ac:dyDescent="0.3">
      <c r="A649" s="16" t="s">
        <v>1323</v>
      </c>
      <c r="B649" s="16" t="s">
        <v>1324</v>
      </c>
      <c r="C649" s="16" t="s">
        <v>1778</v>
      </c>
      <c r="D649" s="16" t="s">
        <v>18</v>
      </c>
      <c r="E649" s="16" t="s">
        <v>555</v>
      </c>
      <c r="G649" s="16" t="s">
        <v>1127</v>
      </c>
      <c r="H649" s="16" t="s">
        <v>33</v>
      </c>
    </row>
    <row r="650" spans="1:10" x14ac:dyDescent="0.3">
      <c r="A650" s="16" t="s">
        <v>1325</v>
      </c>
      <c r="B650" s="16" t="s">
        <v>1326</v>
      </c>
      <c r="C650" s="16" t="s">
        <v>1778</v>
      </c>
      <c r="D650" s="16" t="s">
        <v>18</v>
      </c>
      <c r="E650" s="16" t="s">
        <v>555</v>
      </c>
      <c r="G650" s="16" t="s">
        <v>1127</v>
      </c>
      <c r="H650" s="16" t="s">
        <v>33</v>
      </c>
    </row>
    <row r="651" spans="1:10" x14ac:dyDescent="0.3">
      <c r="A651" s="16" t="s">
        <v>2450</v>
      </c>
      <c r="B651" s="16" t="s">
        <v>2451</v>
      </c>
      <c r="C651" s="16" t="s">
        <v>1779</v>
      </c>
      <c r="D651" s="16" t="s">
        <v>2042</v>
      </c>
      <c r="E651" s="16" t="s">
        <v>555</v>
      </c>
      <c r="H651" s="16" t="s">
        <v>33</v>
      </c>
    </row>
    <row r="652" spans="1:10" x14ac:dyDescent="0.3">
      <c r="A652" s="16" t="s">
        <v>2450</v>
      </c>
      <c r="B652" s="16" t="s">
        <v>2451</v>
      </c>
      <c r="C652" s="16" t="s">
        <v>1778</v>
      </c>
      <c r="D652" s="16" t="s">
        <v>2042</v>
      </c>
      <c r="E652" s="16" t="s">
        <v>555</v>
      </c>
      <c r="H652" s="16" t="s">
        <v>33</v>
      </c>
    </row>
    <row r="653" spans="1:10" x14ac:dyDescent="0.3">
      <c r="A653" s="16" t="s">
        <v>2450</v>
      </c>
      <c r="B653" s="16" t="s">
        <v>2451</v>
      </c>
      <c r="C653" s="16" t="s">
        <v>2320</v>
      </c>
      <c r="D653" s="16" t="s">
        <v>2042</v>
      </c>
      <c r="E653" s="16" t="s">
        <v>555</v>
      </c>
      <c r="H653" s="16" t="s">
        <v>33</v>
      </c>
    </row>
    <row r="654" spans="1:10" x14ac:dyDescent="0.3">
      <c r="A654" s="16" t="s">
        <v>2450</v>
      </c>
      <c r="B654" s="16" t="s">
        <v>2452</v>
      </c>
      <c r="C654" s="16" t="s">
        <v>1779</v>
      </c>
      <c r="D654" s="16" t="s">
        <v>18</v>
      </c>
      <c r="E654" s="16" t="s">
        <v>555</v>
      </c>
      <c r="G654" s="16" t="s">
        <v>1770</v>
      </c>
      <c r="H654" s="16" t="s">
        <v>33</v>
      </c>
    </row>
    <row r="655" spans="1:10" x14ac:dyDescent="0.3">
      <c r="A655" s="16" t="s">
        <v>2450</v>
      </c>
      <c r="B655" s="16" t="s">
        <v>2453</v>
      </c>
      <c r="C655" s="16" t="s">
        <v>1778</v>
      </c>
      <c r="D655" s="16" t="s">
        <v>18</v>
      </c>
      <c r="E655" s="16" t="s">
        <v>555</v>
      </c>
      <c r="G655" s="16" t="s">
        <v>1770</v>
      </c>
      <c r="H655" s="16" t="s">
        <v>33</v>
      </c>
    </row>
    <row r="656" spans="1:10" x14ac:dyDescent="0.3">
      <c r="A656" s="16" t="s">
        <v>2454</v>
      </c>
      <c r="B656" s="16" t="s">
        <v>2455</v>
      </c>
      <c r="C656" s="16" t="s">
        <v>1779</v>
      </c>
      <c r="D656" s="16" t="s">
        <v>2042</v>
      </c>
      <c r="E656" s="16" t="s">
        <v>661</v>
      </c>
      <c r="H656" s="16" t="s">
        <v>33</v>
      </c>
    </row>
    <row r="657" spans="1:8" x14ac:dyDescent="0.3">
      <c r="A657" s="16" t="s">
        <v>2454</v>
      </c>
      <c r="B657" s="16" t="s">
        <v>2455</v>
      </c>
      <c r="C657" s="16" t="s">
        <v>1778</v>
      </c>
      <c r="D657" s="16" t="s">
        <v>2042</v>
      </c>
      <c r="E657" s="16" t="s">
        <v>661</v>
      </c>
      <c r="H657" s="16" t="s">
        <v>33</v>
      </c>
    </row>
    <row r="658" spans="1:8" x14ac:dyDescent="0.3">
      <c r="A658" s="16" t="s">
        <v>2454</v>
      </c>
      <c r="B658" s="16" t="s">
        <v>2455</v>
      </c>
      <c r="C658" s="16" t="s">
        <v>2320</v>
      </c>
      <c r="D658" s="16" t="s">
        <v>2042</v>
      </c>
      <c r="E658" s="16" t="s">
        <v>661</v>
      </c>
      <c r="H658" s="16" t="s">
        <v>33</v>
      </c>
    </row>
    <row r="659" spans="1:8" x14ac:dyDescent="0.3">
      <c r="A659" s="16" t="s">
        <v>2454</v>
      </c>
      <c r="B659" s="16" t="s">
        <v>2456</v>
      </c>
      <c r="C659" s="16" t="s">
        <v>1779</v>
      </c>
      <c r="D659" s="16" t="s">
        <v>18</v>
      </c>
      <c r="E659" s="16" t="s">
        <v>661</v>
      </c>
      <c r="G659" s="16" t="s">
        <v>1770</v>
      </c>
      <c r="H659" s="16" t="s">
        <v>33</v>
      </c>
    </row>
    <row r="660" spans="1:8" x14ac:dyDescent="0.3">
      <c r="A660" s="16" t="s">
        <v>2454</v>
      </c>
      <c r="B660" s="16" t="s">
        <v>2457</v>
      </c>
      <c r="C660" s="16" t="s">
        <v>1778</v>
      </c>
      <c r="D660" s="16" t="s">
        <v>18</v>
      </c>
      <c r="E660" s="16" t="s">
        <v>661</v>
      </c>
      <c r="G660" s="16" t="s">
        <v>1770</v>
      </c>
      <c r="H660" s="16" t="s">
        <v>33</v>
      </c>
    </row>
    <row r="661" spans="1:8" x14ac:dyDescent="0.3">
      <c r="A661" s="16" t="s">
        <v>2458</v>
      </c>
      <c r="B661" s="16" t="s">
        <v>2459</v>
      </c>
      <c r="C661" s="16" t="s">
        <v>1779</v>
      </c>
      <c r="D661" s="16" t="s">
        <v>2042</v>
      </c>
      <c r="E661" s="16" t="s">
        <v>2328</v>
      </c>
      <c r="H661" s="16" t="s">
        <v>33</v>
      </c>
    </row>
    <row r="662" spans="1:8" x14ac:dyDescent="0.3">
      <c r="A662" s="16" t="s">
        <v>2458</v>
      </c>
      <c r="B662" s="16" t="s">
        <v>2459</v>
      </c>
      <c r="C662" s="16" t="s">
        <v>1778</v>
      </c>
      <c r="D662" s="16" t="s">
        <v>2042</v>
      </c>
      <c r="E662" s="16" t="s">
        <v>2328</v>
      </c>
      <c r="H662" s="16" t="s">
        <v>33</v>
      </c>
    </row>
    <row r="663" spans="1:8" x14ac:dyDescent="0.3">
      <c r="A663" s="16" t="s">
        <v>2458</v>
      </c>
      <c r="B663" s="16" t="s">
        <v>2459</v>
      </c>
      <c r="C663" s="16" t="s">
        <v>2320</v>
      </c>
      <c r="D663" s="16" t="s">
        <v>2042</v>
      </c>
      <c r="E663" s="16" t="s">
        <v>2328</v>
      </c>
      <c r="H663" s="16" t="s">
        <v>33</v>
      </c>
    </row>
    <row r="664" spans="1:8" x14ac:dyDescent="0.3">
      <c r="A664" s="16" t="s">
        <v>2458</v>
      </c>
      <c r="B664" s="16" t="s">
        <v>2460</v>
      </c>
      <c r="C664" s="16" t="s">
        <v>1779</v>
      </c>
      <c r="D664" s="16" t="s">
        <v>18</v>
      </c>
      <c r="E664" s="16" t="s">
        <v>1791</v>
      </c>
      <c r="G664" s="16" t="s">
        <v>1770</v>
      </c>
      <c r="H664" s="16" t="s">
        <v>33</v>
      </c>
    </row>
    <row r="665" spans="1:8" x14ac:dyDescent="0.3">
      <c r="A665" s="16" t="s">
        <v>2458</v>
      </c>
      <c r="B665" s="16" t="s">
        <v>2461</v>
      </c>
      <c r="C665" s="16" t="s">
        <v>1778</v>
      </c>
      <c r="D665" s="16" t="s">
        <v>18</v>
      </c>
      <c r="E665" s="16" t="s">
        <v>1791</v>
      </c>
      <c r="G665" s="16" t="s">
        <v>1770</v>
      </c>
      <c r="H665" s="16" t="s">
        <v>33</v>
      </c>
    </row>
    <row r="666" spans="1:8" x14ac:dyDescent="0.3">
      <c r="A666" s="16" t="s">
        <v>2462</v>
      </c>
      <c r="B666" s="16" t="s">
        <v>2463</v>
      </c>
      <c r="C666" s="16" t="s">
        <v>1779</v>
      </c>
      <c r="D666" s="16" t="s">
        <v>2042</v>
      </c>
      <c r="E666" s="16" t="s">
        <v>2328</v>
      </c>
      <c r="H666" s="16" t="s">
        <v>33</v>
      </c>
    </row>
    <row r="667" spans="1:8" x14ac:dyDescent="0.3">
      <c r="A667" s="16" t="s">
        <v>2462</v>
      </c>
      <c r="B667" s="16" t="s">
        <v>2463</v>
      </c>
      <c r="C667" s="16" t="s">
        <v>1778</v>
      </c>
      <c r="D667" s="16" t="s">
        <v>2042</v>
      </c>
      <c r="E667" s="16" t="s">
        <v>2328</v>
      </c>
      <c r="H667" s="16" t="s">
        <v>33</v>
      </c>
    </row>
    <row r="668" spans="1:8" x14ac:dyDescent="0.3">
      <c r="A668" s="16" t="s">
        <v>2462</v>
      </c>
      <c r="B668" s="16" t="s">
        <v>2463</v>
      </c>
      <c r="C668" s="16" t="s">
        <v>2320</v>
      </c>
      <c r="D668" s="16" t="s">
        <v>2042</v>
      </c>
      <c r="E668" s="16" t="s">
        <v>2328</v>
      </c>
      <c r="H668" s="16" t="s">
        <v>33</v>
      </c>
    </row>
    <row r="669" spans="1:8" x14ac:dyDescent="0.3">
      <c r="A669" s="16" t="s">
        <v>2462</v>
      </c>
      <c r="B669" s="16" t="s">
        <v>2464</v>
      </c>
      <c r="C669" s="16" t="s">
        <v>1779</v>
      </c>
      <c r="D669" s="16" t="s">
        <v>18</v>
      </c>
      <c r="E669" s="16" t="s">
        <v>1791</v>
      </c>
      <c r="G669" s="16" t="s">
        <v>1770</v>
      </c>
      <c r="H669" s="16" t="s">
        <v>33</v>
      </c>
    </row>
    <row r="670" spans="1:8" x14ac:dyDescent="0.3">
      <c r="A670" s="16" t="s">
        <v>2462</v>
      </c>
      <c r="B670" s="16" t="s">
        <v>2465</v>
      </c>
      <c r="C670" s="16" t="s">
        <v>1778</v>
      </c>
      <c r="D670" s="16" t="s">
        <v>18</v>
      </c>
      <c r="E670" s="16" t="s">
        <v>1791</v>
      </c>
      <c r="G670" s="16" t="s">
        <v>1770</v>
      </c>
      <c r="H670" s="16" t="s">
        <v>33</v>
      </c>
    </row>
    <row r="671" spans="1:8" x14ac:dyDescent="0.3">
      <c r="A671" s="16" t="s">
        <v>2466</v>
      </c>
      <c r="B671" s="16" t="s">
        <v>2467</v>
      </c>
      <c r="C671" s="16" t="s">
        <v>1779</v>
      </c>
      <c r="D671" s="16" t="s">
        <v>2042</v>
      </c>
      <c r="E671" s="16" t="s">
        <v>2328</v>
      </c>
      <c r="H671" s="16" t="s">
        <v>33</v>
      </c>
    </row>
    <row r="672" spans="1:8" x14ac:dyDescent="0.3">
      <c r="A672" s="16" t="s">
        <v>2466</v>
      </c>
      <c r="B672" s="16" t="s">
        <v>2467</v>
      </c>
      <c r="C672" s="16" t="s">
        <v>1778</v>
      </c>
      <c r="D672" s="16" t="s">
        <v>2042</v>
      </c>
      <c r="E672" s="16" t="s">
        <v>2328</v>
      </c>
      <c r="H672" s="16" t="s">
        <v>33</v>
      </c>
    </row>
    <row r="673" spans="1:10" x14ac:dyDescent="0.3">
      <c r="A673" s="16" t="s">
        <v>2466</v>
      </c>
      <c r="B673" s="16" t="s">
        <v>2467</v>
      </c>
      <c r="C673" s="16" t="s">
        <v>2320</v>
      </c>
      <c r="D673" s="16" t="s">
        <v>2042</v>
      </c>
      <c r="E673" s="16" t="s">
        <v>2328</v>
      </c>
      <c r="H673" s="16" t="s">
        <v>33</v>
      </c>
    </row>
    <row r="674" spans="1:10" x14ac:dyDescent="0.3">
      <c r="A674" s="16" t="s">
        <v>2466</v>
      </c>
      <c r="B674" s="16" t="s">
        <v>2468</v>
      </c>
      <c r="C674" s="16" t="s">
        <v>1779</v>
      </c>
      <c r="D674" s="16" t="s">
        <v>18</v>
      </c>
      <c r="E674" s="16" t="s">
        <v>1791</v>
      </c>
      <c r="G674" s="16" t="s">
        <v>1770</v>
      </c>
      <c r="H674" s="16" t="s">
        <v>33</v>
      </c>
    </row>
    <row r="675" spans="1:10" x14ac:dyDescent="0.3">
      <c r="A675" s="16" t="s">
        <v>2466</v>
      </c>
      <c r="B675" s="16" t="s">
        <v>2469</v>
      </c>
      <c r="C675" s="16" t="s">
        <v>1778</v>
      </c>
      <c r="D675" s="16" t="s">
        <v>18</v>
      </c>
      <c r="E675" s="16" t="s">
        <v>1791</v>
      </c>
      <c r="G675" s="16" t="s">
        <v>1770</v>
      </c>
      <c r="H675" s="16" t="s">
        <v>33</v>
      </c>
    </row>
    <row r="676" spans="1:10" x14ac:dyDescent="0.3">
      <c r="A676" s="16" t="s">
        <v>2470</v>
      </c>
      <c r="B676" s="16" t="s">
        <v>2471</v>
      </c>
      <c r="C676" s="16" t="s">
        <v>1769</v>
      </c>
      <c r="D676" s="16" t="s">
        <v>133</v>
      </c>
      <c r="E676" s="16" t="s">
        <v>588</v>
      </c>
      <c r="H676" s="16" t="s">
        <v>33</v>
      </c>
    </row>
    <row r="677" spans="1:10" x14ac:dyDescent="0.3">
      <c r="A677" s="16" t="s">
        <v>231</v>
      </c>
      <c r="B677" s="16" t="s">
        <v>2472</v>
      </c>
      <c r="C677" s="16" t="s">
        <v>1782</v>
      </c>
      <c r="D677" s="16" t="s">
        <v>133</v>
      </c>
      <c r="E677" s="16" t="s">
        <v>539</v>
      </c>
      <c r="H677" s="16" t="s">
        <v>33</v>
      </c>
    </row>
    <row r="678" spans="1:10" x14ac:dyDescent="0.3">
      <c r="A678" s="16" t="s">
        <v>2473</v>
      </c>
      <c r="B678" s="16" t="s">
        <v>2474</v>
      </c>
      <c r="C678" s="16" t="s">
        <v>1782</v>
      </c>
      <c r="D678" s="16" t="s">
        <v>133</v>
      </c>
      <c r="E678" s="16" t="s">
        <v>588</v>
      </c>
      <c r="H678" s="16" t="s">
        <v>33</v>
      </c>
    </row>
    <row r="679" spans="1:10" x14ac:dyDescent="0.3">
      <c r="A679" s="16" t="s">
        <v>2475</v>
      </c>
      <c r="B679" s="16" t="s">
        <v>2476</v>
      </c>
      <c r="C679" s="16" t="s">
        <v>1779</v>
      </c>
      <c r="D679" s="16" t="s">
        <v>133</v>
      </c>
      <c r="E679" s="16" t="s">
        <v>588</v>
      </c>
      <c r="H679" s="16" t="s">
        <v>33</v>
      </c>
    </row>
    <row r="680" spans="1:10" x14ac:dyDescent="0.3">
      <c r="A680" s="16" t="s">
        <v>2477</v>
      </c>
      <c r="B680" s="16" t="s">
        <v>2478</v>
      </c>
      <c r="C680" s="16" t="s">
        <v>1779</v>
      </c>
      <c r="D680" s="16" t="s">
        <v>133</v>
      </c>
      <c r="E680" s="16" t="s">
        <v>588</v>
      </c>
      <c r="H680" s="16" t="s">
        <v>33</v>
      </c>
    </row>
    <row r="681" spans="1:10" x14ac:dyDescent="0.3">
      <c r="A681" s="16" t="s">
        <v>2479</v>
      </c>
      <c r="B681" s="16" t="s">
        <v>2480</v>
      </c>
      <c r="C681" s="16" t="s">
        <v>1779</v>
      </c>
      <c r="D681" s="16" t="s">
        <v>133</v>
      </c>
      <c r="E681" s="16" t="s">
        <v>1791</v>
      </c>
      <c r="H681" s="16" t="s">
        <v>33</v>
      </c>
    </row>
    <row r="682" spans="1:10" x14ac:dyDescent="0.3">
      <c r="A682" s="16" t="s">
        <v>455</v>
      </c>
      <c r="B682" s="16" t="s">
        <v>456</v>
      </c>
      <c r="C682" s="16" t="s">
        <v>1779</v>
      </c>
      <c r="D682" s="16" t="s">
        <v>388</v>
      </c>
      <c r="E682" s="16" t="s">
        <v>539</v>
      </c>
      <c r="H682" s="16" t="s">
        <v>33</v>
      </c>
      <c r="J682" s="16" t="s">
        <v>32</v>
      </c>
    </row>
    <row r="683" spans="1:10" x14ac:dyDescent="0.3">
      <c r="A683" s="16" t="s">
        <v>459</v>
      </c>
      <c r="B683" s="16" t="s">
        <v>460</v>
      </c>
      <c r="C683" s="16" t="s">
        <v>1779</v>
      </c>
      <c r="D683" s="16" t="s">
        <v>388</v>
      </c>
      <c r="E683" s="16" t="s">
        <v>539</v>
      </c>
      <c r="H683" s="16" t="s">
        <v>33</v>
      </c>
      <c r="J683" s="16" t="s">
        <v>32</v>
      </c>
    </row>
    <row r="684" spans="1:10" x14ac:dyDescent="0.3">
      <c r="A684" s="16" t="s">
        <v>459</v>
      </c>
      <c r="B684" s="16" t="s">
        <v>460</v>
      </c>
      <c r="C684" s="16" t="s">
        <v>1777</v>
      </c>
      <c r="D684" s="16" t="s">
        <v>388</v>
      </c>
      <c r="E684" s="16" t="s">
        <v>539</v>
      </c>
      <c r="H684" s="16" t="s">
        <v>33</v>
      </c>
      <c r="J684" s="16" t="s">
        <v>32</v>
      </c>
    </row>
    <row r="685" spans="1:10" x14ac:dyDescent="0.3">
      <c r="A685" s="16" t="s">
        <v>1548</v>
      </c>
      <c r="B685" s="16" t="s">
        <v>2481</v>
      </c>
      <c r="C685" s="16" t="s">
        <v>1778</v>
      </c>
      <c r="D685" s="16" t="s">
        <v>18</v>
      </c>
      <c r="E685" s="16" t="s">
        <v>539</v>
      </c>
      <c r="G685" s="16" t="s">
        <v>1770</v>
      </c>
      <c r="H685" s="16" t="s">
        <v>33</v>
      </c>
    </row>
    <row r="686" spans="1:10" x14ac:dyDescent="0.3">
      <c r="A686" s="16" t="s">
        <v>1548</v>
      </c>
      <c r="B686" s="16" t="s">
        <v>1549</v>
      </c>
      <c r="C686" s="16" t="s">
        <v>1779</v>
      </c>
      <c r="D686" s="16" t="s">
        <v>18</v>
      </c>
      <c r="E686" s="16" t="s">
        <v>539</v>
      </c>
      <c r="G686" s="16" t="s">
        <v>1103</v>
      </c>
      <c r="H686" s="16" t="s">
        <v>33</v>
      </c>
    </row>
    <row r="687" spans="1:10" x14ac:dyDescent="0.3">
      <c r="A687" s="16" t="s">
        <v>2482</v>
      </c>
      <c r="B687" s="16" t="s">
        <v>2483</v>
      </c>
      <c r="C687" s="16" t="s">
        <v>1778</v>
      </c>
      <c r="D687" s="16" t="s">
        <v>133</v>
      </c>
      <c r="E687" s="16" t="s">
        <v>539</v>
      </c>
      <c r="H687" s="16" t="s">
        <v>33</v>
      </c>
    </row>
    <row r="688" spans="1:10" x14ac:dyDescent="0.3">
      <c r="A688" s="16" t="s">
        <v>2485</v>
      </c>
      <c r="B688" s="16" t="s">
        <v>2486</v>
      </c>
      <c r="C688" s="16" t="s">
        <v>1779</v>
      </c>
      <c r="D688" s="16" t="s">
        <v>133</v>
      </c>
      <c r="E688" s="16" t="s">
        <v>1791</v>
      </c>
      <c r="H688" s="16" t="s">
        <v>33</v>
      </c>
    </row>
    <row r="689" spans="1:11" x14ac:dyDescent="0.3">
      <c r="A689" s="16" t="s">
        <v>2487</v>
      </c>
      <c r="B689" s="16" t="s">
        <v>2488</v>
      </c>
      <c r="C689" s="16" t="s">
        <v>2489</v>
      </c>
      <c r="D689" s="16" t="s">
        <v>388</v>
      </c>
      <c r="E689" s="16" t="s">
        <v>539</v>
      </c>
      <c r="H689" s="16" t="s">
        <v>33</v>
      </c>
      <c r="J689" s="16" t="s">
        <v>32</v>
      </c>
    </row>
    <row r="690" spans="1:11" x14ac:dyDescent="0.3">
      <c r="A690" s="16" t="s">
        <v>2487</v>
      </c>
      <c r="B690" s="16" t="s">
        <v>2488</v>
      </c>
      <c r="C690" s="16" t="s">
        <v>1769</v>
      </c>
      <c r="D690" s="16" t="s">
        <v>388</v>
      </c>
      <c r="E690" s="16" t="s">
        <v>539</v>
      </c>
      <c r="H690" s="16" t="s">
        <v>33</v>
      </c>
      <c r="J690" s="16" t="s">
        <v>32</v>
      </c>
    </row>
    <row r="691" spans="1:11" x14ac:dyDescent="0.3">
      <c r="A691" s="16" t="s">
        <v>2490</v>
      </c>
      <c r="B691" s="16" t="s">
        <v>2491</v>
      </c>
      <c r="C691" s="16" t="s">
        <v>1779</v>
      </c>
      <c r="D691" s="16" t="s">
        <v>18</v>
      </c>
      <c r="E691" s="16" t="s">
        <v>539</v>
      </c>
      <c r="G691" s="16" t="s">
        <v>1770</v>
      </c>
      <c r="H691" s="16" t="s">
        <v>33</v>
      </c>
    </row>
    <row r="692" spans="1:11" x14ac:dyDescent="0.3">
      <c r="A692" s="16" t="s">
        <v>2492</v>
      </c>
      <c r="B692" s="16" t="s">
        <v>2493</v>
      </c>
      <c r="C692" s="16" t="s">
        <v>1779</v>
      </c>
      <c r="D692" s="16" t="s">
        <v>18</v>
      </c>
      <c r="E692" s="16" t="s">
        <v>539</v>
      </c>
      <c r="G692" s="16" t="s">
        <v>1770</v>
      </c>
      <c r="H692" s="16" t="s">
        <v>33</v>
      </c>
    </row>
    <row r="693" spans="1:11" x14ac:dyDescent="0.3">
      <c r="A693" s="16" t="s">
        <v>2494</v>
      </c>
      <c r="B693" s="16" t="s">
        <v>2495</v>
      </c>
      <c r="C693" s="16" t="s">
        <v>1779</v>
      </c>
      <c r="D693" s="16" t="s">
        <v>18</v>
      </c>
      <c r="E693" s="16" t="s">
        <v>588</v>
      </c>
      <c r="G693" s="16" t="s">
        <v>1770</v>
      </c>
      <c r="H693" s="16" t="s">
        <v>33</v>
      </c>
    </row>
    <row r="694" spans="1:11" x14ac:dyDescent="0.3">
      <c r="A694" s="16" t="s">
        <v>2496</v>
      </c>
      <c r="B694" s="16" t="s">
        <v>2497</v>
      </c>
      <c r="C694" s="16" t="s">
        <v>1915</v>
      </c>
      <c r="D694" s="16" t="s">
        <v>388</v>
      </c>
      <c r="E694" s="16" t="s">
        <v>539</v>
      </c>
      <c r="H694" s="16" t="s">
        <v>33</v>
      </c>
      <c r="J694" s="16" t="s">
        <v>32</v>
      </c>
    </row>
    <row r="695" spans="1:11" x14ac:dyDescent="0.3">
      <c r="A695" s="16" t="s">
        <v>2498</v>
      </c>
      <c r="B695" s="16" t="s">
        <v>2499</v>
      </c>
      <c r="C695" s="16" t="s">
        <v>1915</v>
      </c>
      <c r="D695" s="16" t="s">
        <v>388</v>
      </c>
      <c r="E695" s="16" t="s">
        <v>539</v>
      </c>
      <c r="H695" s="16" t="s">
        <v>33</v>
      </c>
      <c r="J695" s="16" t="s">
        <v>32</v>
      </c>
    </row>
    <row r="696" spans="1:11" x14ac:dyDescent="0.3">
      <c r="A696" s="16" t="s">
        <v>1327</v>
      </c>
      <c r="B696" s="16" t="s">
        <v>1328</v>
      </c>
      <c r="C696" s="16" t="s">
        <v>1778</v>
      </c>
      <c r="D696" s="16" t="s">
        <v>18</v>
      </c>
      <c r="E696" s="16" t="s">
        <v>539</v>
      </c>
      <c r="G696" s="16" t="s">
        <v>1127</v>
      </c>
      <c r="H696" s="16" t="s">
        <v>33</v>
      </c>
    </row>
    <row r="697" spans="1:11" x14ac:dyDescent="0.3">
      <c r="A697" s="16" t="s">
        <v>2500</v>
      </c>
      <c r="B697" s="16" t="s">
        <v>2501</v>
      </c>
      <c r="C697" s="16" t="s">
        <v>1778</v>
      </c>
      <c r="D697" s="16" t="s">
        <v>18</v>
      </c>
      <c r="E697" s="16" t="s">
        <v>539</v>
      </c>
      <c r="G697" s="16" t="s">
        <v>1770</v>
      </c>
      <c r="H697" s="16" t="s">
        <v>33</v>
      </c>
    </row>
    <row r="698" spans="1:11" x14ac:dyDescent="0.3">
      <c r="A698" s="16" t="s">
        <v>249</v>
      </c>
      <c r="B698" s="16" t="s">
        <v>250</v>
      </c>
      <c r="C698" s="16" t="s">
        <v>1779</v>
      </c>
      <c r="D698" s="16" t="s">
        <v>133</v>
      </c>
      <c r="E698" s="16" t="s">
        <v>539</v>
      </c>
      <c r="H698" s="16" t="s">
        <v>33</v>
      </c>
    </row>
    <row r="699" spans="1:11" x14ac:dyDescent="0.3">
      <c r="A699" s="16" t="s">
        <v>2502</v>
      </c>
      <c r="B699" s="16" t="s">
        <v>2503</v>
      </c>
      <c r="C699" s="16" t="s">
        <v>1779</v>
      </c>
      <c r="D699" s="16" t="s">
        <v>388</v>
      </c>
      <c r="E699" s="16" t="s">
        <v>539</v>
      </c>
      <c r="H699" s="16" t="s">
        <v>33</v>
      </c>
      <c r="J699" s="16" t="s">
        <v>32</v>
      </c>
    </row>
    <row r="700" spans="1:11" x14ac:dyDescent="0.3">
      <c r="A700" s="16" t="s">
        <v>2504</v>
      </c>
      <c r="B700" s="16" t="s">
        <v>2505</v>
      </c>
      <c r="C700" s="16" t="s">
        <v>1782</v>
      </c>
      <c r="D700" s="16" t="s">
        <v>388</v>
      </c>
      <c r="E700" s="16" t="s">
        <v>539</v>
      </c>
      <c r="H700" s="16" t="s">
        <v>33</v>
      </c>
      <c r="J700" s="16" t="s">
        <v>32</v>
      </c>
    </row>
    <row r="701" spans="1:11" x14ac:dyDescent="0.3">
      <c r="A701" s="16" t="s">
        <v>2504</v>
      </c>
      <c r="B701" s="16" t="s">
        <v>2506</v>
      </c>
      <c r="C701" s="16" t="s">
        <v>1915</v>
      </c>
      <c r="D701" s="16" t="s">
        <v>388</v>
      </c>
      <c r="E701" s="16" t="s">
        <v>539</v>
      </c>
      <c r="H701" s="16" t="s">
        <v>33</v>
      </c>
      <c r="J701" s="16" t="s">
        <v>32</v>
      </c>
      <c r="K701" s="16" t="s">
        <v>2507</v>
      </c>
    </row>
    <row r="702" spans="1:11" x14ac:dyDescent="0.3">
      <c r="A702" s="16" t="s">
        <v>1550</v>
      </c>
      <c r="B702" s="16" t="s">
        <v>1551</v>
      </c>
      <c r="C702" s="16" t="s">
        <v>1779</v>
      </c>
      <c r="D702" s="16" t="s">
        <v>18</v>
      </c>
      <c r="E702" s="16" t="s">
        <v>539</v>
      </c>
      <c r="G702" s="16" t="s">
        <v>1127</v>
      </c>
      <c r="H702" s="16" t="s">
        <v>33</v>
      </c>
    </row>
    <row r="703" spans="1:11" x14ac:dyDescent="0.3">
      <c r="A703" s="16" t="s">
        <v>1552</v>
      </c>
      <c r="B703" s="16" t="s">
        <v>1553</v>
      </c>
      <c r="C703" s="16" t="s">
        <v>1779</v>
      </c>
      <c r="D703" s="16" t="s">
        <v>18</v>
      </c>
      <c r="E703" s="16" t="s">
        <v>539</v>
      </c>
      <c r="G703" s="16" t="s">
        <v>1127</v>
      </c>
      <c r="H703" s="16" t="s">
        <v>33</v>
      </c>
    </row>
    <row r="704" spans="1:11" x14ac:dyDescent="0.3">
      <c r="A704" s="16" t="s">
        <v>2508</v>
      </c>
      <c r="B704" s="16" t="s">
        <v>2509</v>
      </c>
      <c r="C704" s="16" t="s">
        <v>1779</v>
      </c>
      <c r="D704" s="16" t="s">
        <v>133</v>
      </c>
      <c r="E704" s="16" t="s">
        <v>1791</v>
      </c>
      <c r="H704" s="16" t="s">
        <v>33</v>
      </c>
    </row>
    <row r="705" spans="1:10" x14ac:dyDescent="0.3">
      <c r="A705" s="16" t="s">
        <v>2510</v>
      </c>
      <c r="B705" s="16" t="s">
        <v>2511</v>
      </c>
      <c r="C705" s="16" t="s">
        <v>1779</v>
      </c>
      <c r="D705" s="16" t="s">
        <v>133</v>
      </c>
      <c r="E705" s="16" t="s">
        <v>1791</v>
      </c>
      <c r="H705" s="16" t="s">
        <v>33</v>
      </c>
    </row>
    <row r="706" spans="1:10" x14ac:dyDescent="0.3">
      <c r="A706" s="16" t="s">
        <v>2512</v>
      </c>
      <c r="B706" s="16" t="s">
        <v>2513</v>
      </c>
      <c r="C706" s="16" t="s">
        <v>1779</v>
      </c>
      <c r="D706" s="16" t="s">
        <v>133</v>
      </c>
      <c r="E706" s="16" t="s">
        <v>1791</v>
      </c>
      <c r="H706" s="16" t="s">
        <v>33</v>
      </c>
    </row>
    <row r="707" spans="1:10" x14ac:dyDescent="0.3">
      <c r="A707" s="16" t="s">
        <v>2514</v>
      </c>
      <c r="B707" s="16" t="s">
        <v>2515</v>
      </c>
      <c r="C707" s="16" t="s">
        <v>1779</v>
      </c>
      <c r="D707" s="16" t="s">
        <v>133</v>
      </c>
      <c r="E707" s="16" t="s">
        <v>1791</v>
      </c>
      <c r="H707" s="16" t="s">
        <v>33</v>
      </c>
    </row>
    <row r="708" spans="1:10" x14ac:dyDescent="0.3">
      <c r="A708" s="16" t="s">
        <v>2516</v>
      </c>
      <c r="B708" s="16" t="s">
        <v>2517</v>
      </c>
      <c r="C708" s="16" t="s">
        <v>1779</v>
      </c>
      <c r="D708" s="16" t="s">
        <v>133</v>
      </c>
      <c r="E708" s="16" t="s">
        <v>1791</v>
      </c>
      <c r="H708" s="16" t="s">
        <v>33</v>
      </c>
    </row>
    <row r="709" spans="1:10" x14ac:dyDescent="0.3">
      <c r="A709" s="16" t="s">
        <v>2516</v>
      </c>
      <c r="B709" s="16" t="s">
        <v>2518</v>
      </c>
      <c r="C709" s="16" t="s">
        <v>1915</v>
      </c>
      <c r="D709" s="16" t="s">
        <v>133</v>
      </c>
      <c r="E709" s="16" t="s">
        <v>1791</v>
      </c>
      <c r="H709" s="16" t="s">
        <v>33</v>
      </c>
    </row>
    <row r="710" spans="1:10" x14ac:dyDescent="0.3">
      <c r="A710" s="16" t="s">
        <v>2519</v>
      </c>
      <c r="B710" s="16" t="s">
        <v>2520</v>
      </c>
      <c r="C710" s="16" t="s">
        <v>1779</v>
      </c>
      <c r="D710" s="16" t="s">
        <v>133</v>
      </c>
      <c r="E710" s="16" t="s">
        <v>1791</v>
      </c>
      <c r="H710" s="16" t="s">
        <v>33</v>
      </c>
    </row>
    <row r="711" spans="1:10" x14ac:dyDescent="0.3">
      <c r="A711" s="16" t="s">
        <v>2521</v>
      </c>
      <c r="B711" s="16" t="s">
        <v>2522</v>
      </c>
      <c r="C711" s="16" t="s">
        <v>1779</v>
      </c>
      <c r="D711" s="16" t="s">
        <v>133</v>
      </c>
      <c r="E711" s="16" t="s">
        <v>1791</v>
      </c>
      <c r="H711" s="16" t="s">
        <v>33</v>
      </c>
    </row>
    <row r="712" spans="1:10" x14ac:dyDescent="0.3">
      <c r="A712" s="16" t="s">
        <v>2523</v>
      </c>
      <c r="B712" s="16" t="s">
        <v>2524</v>
      </c>
      <c r="C712" s="16" t="s">
        <v>1778</v>
      </c>
      <c r="D712" s="16" t="s">
        <v>18</v>
      </c>
      <c r="E712" s="16" t="s">
        <v>588</v>
      </c>
      <c r="G712" s="16" t="s">
        <v>1770</v>
      </c>
      <c r="H712" s="16" t="s">
        <v>33</v>
      </c>
    </row>
    <row r="713" spans="1:10" x14ac:dyDescent="0.3">
      <c r="A713" s="16" t="s">
        <v>2525</v>
      </c>
      <c r="B713" s="16" t="s">
        <v>2526</v>
      </c>
      <c r="C713" s="16" t="s">
        <v>1779</v>
      </c>
      <c r="D713" s="16" t="s">
        <v>388</v>
      </c>
      <c r="E713" s="16" t="s">
        <v>539</v>
      </c>
      <c r="H713" s="16" t="s">
        <v>33</v>
      </c>
      <c r="J713" s="16" t="s">
        <v>32</v>
      </c>
    </row>
    <row r="714" spans="1:10" x14ac:dyDescent="0.3">
      <c r="A714" s="16" t="s">
        <v>16</v>
      </c>
      <c r="B714" s="16" t="s">
        <v>1121</v>
      </c>
      <c r="C714" s="16" t="s">
        <v>2092</v>
      </c>
      <c r="D714" s="16" t="s">
        <v>18</v>
      </c>
      <c r="E714" s="16" t="s">
        <v>539</v>
      </c>
      <c r="G714" s="16" t="s">
        <v>1103</v>
      </c>
      <c r="H714" s="16" t="s">
        <v>33</v>
      </c>
      <c r="I714" s="16" t="s">
        <v>33</v>
      </c>
    </row>
    <row r="715" spans="1:10" x14ac:dyDescent="0.3">
      <c r="A715" s="16" t="s">
        <v>16</v>
      </c>
      <c r="B715" s="16" t="s">
        <v>2527</v>
      </c>
      <c r="C715" s="16" t="s">
        <v>1782</v>
      </c>
      <c r="D715" s="16" t="s">
        <v>133</v>
      </c>
      <c r="E715" s="16" t="s">
        <v>539</v>
      </c>
      <c r="H715" s="16" t="s">
        <v>33</v>
      </c>
    </row>
    <row r="716" spans="1:10" x14ac:dyDescent="0.3">
      <c r="A716" s="16" t="s">
        <v>16</v>
      </c>
      <c r="B716" s="16" t="s">
        <v>17</v>
      </c>
      <c r="C716" s="16" t="s">
        <v>1778</v>
      </c>
      <c r="D716" s="16" t="s">
        <v>18</v>
      </c>
      <c r="E716" s="16" t="s">
        <v>539</v>
      </c>
      <c r="G716" s="16" t="s">
        <v>1103</v>
      </c>
      <c r="H716" s="16" t="s">
        <v>33</v>
      </c>
      <c r="I716" s="16" t="s">
        <v>33</v>
      </c>
    </row>
    <row r="717" spans="1:10" x14ac:dyDescent="0.3">
      <c r="A717" s="16" t="s">
        <v>1554</v>
      </c>
      <c r="B717" s="16" t="s">
        <v>1555</v>
      </c>
      <c r="C717" s="16" t="s">
        <v>1779</v>
      </c>
      <c r="D717" s="16" t="s">
        <v>18</v>
      </c>
      <c r="E717" s="16" t="s">
        <v>539</v>
      </c>
      <c r="G717" s="16" t="s">
        <v>1127</v>
      </c>
      <c r="H717" s="16" t="s">
        <v>33</v>
      </c>
    </row>
    <row r="718" spans="1:10" x14ac:dyDescent="0.3">
      <c r="A718" s="16" t="s">
        <v>2528</v>
      </c>
      <c r="B718" s="16" t="s">
        <v>2529</v>
      </c>
      <c r="C718" s="16" t="s">
        <v>1779</v>
      </c>
      <c r="D718" s="16" t="s">
        <v>133</v>
      </c>
      <c r="E718" s="16" t="s">
        <v>661</v>
      </c>
      <c r="H718" s="16" t="s">
        <v>33</v>
      </c>
    </row>
    <row r="719" spans="1:10" x14ac:dyDescent="0.3">
      <c r="A719" s="16" t="s">
        <v>2530</v>
      </c>
      <c r="B719" s="16" t="s">
        <v>2531</v>
      </c>
      <c r="C719" s="16" t="s">
        <v>1778</v>
      </c>
      <c r="D719" s="16" t="s">
        <v>50</v>
      </c>
      <c r="E719" s="16" t="s">
        <v>555</v>
      </c>
      <c r="H719" s="16" t="s">
        <v>33</v>
      </c>
    </row>
    <row r="720" spans="1:10" x14ac:dyDescent="0.3">
      <c r="A720" s="16" t="s">
        <v>2530</v>
      </c>
      <c r="B720" s="16" t="s">
        <v>2532</v>
      </c>
      <c r="C720" s="16" t="s">
        <v>1778</v>
      </c>
      <c r="D720" s="16" t="s">
        <v>18</v>
      </c>
      <c r="E720" s="16" t="s">
        <v>555</v>
      </c>
      <c r="G720" s="16" t="s">
        <v>1770</v>
      </c>
      <c r="H720" s="16" t="s">
        <v>33</v>
      </c>
    </row>
    <row r="721" spans="1:8" x14ac:dyDescent="0.3">
      <c r="A721" s="16" t="s">
        <v>2533</v>
      </c>
      <c r="B721" s="16" t="s">
        <v>2534</v>
      </c>
      <c r="C721" s="16" t="s">
        <v>1778</v>
      </c>
      <c r="D721" s="16" t="s">
        <v>50</v>
      </c>
      <c r="E721" s="16" t="s">
        <v>555</v>
      </c>
      <c r="H721" s="16" t="s">
        <v>33</v>
      </c>
    </row>
    <row r="722" spans="1:8" x14ac:dyDescent="0.3">
      <c r="A722" s="16" t="s">
        <v>2533</v>
      </c>
      <c r="B722" s="16" t="s">
        <v>2535</v>
      </c>
      <c r="C722" s="16" t="s">
        <v>1778</v>
      </c>
      <c r="D722" s="16" t="s">
        <v>18</v>
      </c>
      <c r="E722" s="16" t="s">
        <v>555</v>
      </c>
      <c r="G722" s="16" t="s">
        <v>1770</v>
      </c>
      <c r="H722" s="16" t="s">
        <v>33</v>
      </c>
    </row>
    <row r="723" spans="1:8" x14ac:dyDescent="0.3">
      <c r="A723" s="16" t="s">
        <v>1556</v>
      </c>
      <c r="B723" s="16" t="s">
        <v>1557</v>
      </c>
      <c r="C723" s="16" t="s">
        <v>1779</v>
      </c>
      <c r="D723" s="16" t="s">
        <v>18</v>
      </c>
      <c r="E723" s="16" t="s">
        <v>555</v>
      </c>
      <c r="G723" s="16" t="s">
        <v>1127</v>
      </c>
      <c r="H723" s="16" t="s">
        <v>33</v>
      </c>
    </row>
    <row r="724" spans="1:8" x14ac:dyDescent="0.3">
      <c r="A724" s="16" t="s">
        <v>2536</v>
      </c>
      <c r="B724" s="16" t="s">
        <v>2537</v>
      </c>
      <c r="C724" s="16" t="s">
        <v>1778</v>
      </c>
      <c r="D724" s="16" t="s">
        <v>50</v>
      </c>
      <c r="E724" s="16" t="s">
        <v>555</v>
      </c>
      <c r="H724" s="16" t="s">
        <v>33</v>
      </c>
    </row>
    <row r="725" spans="1:8" x14ac:dyDescent="0.3">
      <c r="A725" s="16" t="s">
        <v>2536</v>
      </c>
      <c r="B725" s="16" t="s">
        <v>2538</v>
      </c>
      <c r="C725" s="16" t="s">
        <v>1778</v>
      </c>
      <c r="D725" s="16" t="s">
        <v>18</v>
      </c>
      <c r="E725" s="16" t="s">
        <v>555</v>
      </c>
      <c r="G725" s="16" t="s">
        <v>1770</v>
      </c>
      <c r="H725" s="16" t="s">
        <v>33</v>
      </c>
    </row>
    <row r="726" spans="1:8" x14ac:dyDescent="0.3">
      <c r="A726" s="16" t="s">
        <v>203</v>
      </c>
      <c r="B726" s="16" t="s">
        <v>204</v>
      </c>
      <c r="C726" s="16" t="s">
        <v>1779</v>
      </c>
      <c r="D726" s="16" t="s">
        <v>18</v>
      </c>
      <c r="E726" s="16" t="s">
        <v>555</v>
      </c>
      <c r="G726" s="16" t="s">
        <v>1127</v>
      </c>
      <c r="H726" s="16" t="s">
        <v>33</v>
      </c>
    </row>
    <row r="727" spans="1:8" x14ac:dyDescent="0.3">
      <c r="A727" s="16" t="s">
        <v>205</v>
      </c>
      <c r="B727" s="16" t="s">
        <v>206</v>
      </c>
      <c r="C727" s="16" t="s">
        <v>1779</v>
      </c>
      <c r="D727" s="16" t="s">
        <v>18</v>
      </c>
      <c r="E727" s="16" t="s">
        <v>555</v>
      </c>
      <c r="G727" s="16" t="s">
        <v>1127</v>
      </c>
      <c r="H727" s="16" t="s">
        <v>33</v>
      </c>
    </row>
    <row r="728" spans="1:8" x14ac:dyDescent="0.3">
      <c r="A728" s="16" t="s">
        <v>2539</v>
      </c>
      <c r="B728" s="16" t="s">
        <v>2540</v>
      </c>
      <c r="C728" s="16" t="s">
        <v>1778</v>
      </c>
      <c r="D728" s="16" t="s">
        <v>50</v>
      </c>
      <c r="E728" s="16" t="s">
        <v>555</v>
      </c>
      <c r="H728" s="16" t="s">
        <v>33</v>
      </c>
    </row>
    <row r="729" spans="1:8" x14ac:dyDescent="0.3">
      <c r="A729" s="16" t="s">
        <v>2539</v>
      </c>
      <c r="B729" s="16" t="s">
        <v>2541</v>
      </c>
      <c r="C729" s="16" t="s">
        <v>1778</v>
      </c>
      <c r="D729" s="16" t="s">
        <v>18</v>
      </c>
      <c r="E729" s="16" t="s">
        <v>555</v>
      </c>
      <c r="G729" s="16" t="s">
        <v>1770</v>
      </c>
      <c r="H729" s="16" t="s">
        <v>33</v>
      </c>
    </row>
    <row r="730" spans="1:8" x14ac:dyDescent="0.3">
      <c r="A730" s="16" t="s">
        <v>2542</v>
      </c>
      <c r="B730" s="16" t="s">
        <v>2543</v>
      </c>
      <c r="C730" s="16" t="s">
        <v>1778</v>
      </c>
      <c r="D730" s="16" t="s">
        <v>50</v>
      </c>
      <c r="E730" s="16" t="s">
        <v>555</v>
      </c>
      <c r="H730" s="16" t="s">
        <v>33</v>
      </c>
    </row>
    <row r="731" spans="1:8" x14ac:dyDescent="0.3">
      <c r="A731" s="16" t="s">
        <v>2542</v>
      </c>
      <c r="B731" s="16" t="s">
        <v>2544</v>
      </c>
      <c r="C731" s="16" t="s">
        <v>1778</v>
      </c>
      <c r="D731" s="16" t="s">
        <v>18</v>
      </c>
      <c r="E731" s="16" t="s">
        <v>555</v>
      </c>
      <c r="G731" s="16" t="s">
        <v>1770</v>
      </c>
      <c r="H731" s="16" t="s">
        <v>33</v>
      </c>
    </row>
    <row r="732" spans="1:8" x14ac:dyDescent="0.3">
      <c r="A732" s="16" t="s">
        <v>2545</v>
      </c>
      <c r="B732" s="16" t="s">
        <v>2546</v>
      </c>
      <c r="C732" s="16" t="s">
        <v>1778</v>
      </c>
      <c r="D732" s="16" t="s">
        <v>50</v>
      </c>
      <c r="E732" s="16" t="s">
        <v>555</v>
      </c>
      <c r="H732" s="16" t="s">
        <v>33</v>
      </c>
    </row>
    <row r="733" spans="1:8" x14ac:dyDescent="0.3">
      <c r="A733" s="16" t="s">
        <v>2545</v>
      </c>
      <c r="B733" s="16" t="s">
        <v>2547</v>
      </c>
      <c r="C733" s="16" t="s">
        <v>1778</v>
      </c>
      <c r="D733" s="16" t="s">
        <v>18</v>
      </c>
      <c r="E733" s="16" t="s">
        <v>555</v>
      </c>
      <c r="G733" s="16" t="s">
        <v>1770</v>
      </c>
      <c r="H733" s="16" t="s">
        <v>33</v>
      </c>
    </row>
    <row r="734" spans="1:8" x14ac:dyDescent="0.3">
      <c r="A734" s="16" t="s">
        <v>2548</v>
      </c>
      <c r="B734" s="16" t="s">
        <v>2549</v>
      </c>
      <c r="C734" s="16" t="s">
        <v>1778</v>
      </c>
      <c r="D734" s="16" t="s">
        <v>50</v>
      </c>
      <c r="E734" s="16" t="s">
        <v>555</v>
      </c>
      <c r="H734" s="16" t="s">
        <v>33</v>
      </c>
    </row>
    <row r="735" spans="1:8" x14ac:dyDescent="0.3">
      <c r="A735" s="16" t="s">
        <v>2548</v>
      </c>
      <c r="B735" s="16" t="s">
        <v>2550</v>
      </c>
      <c r="C735" s="16" t="s">
        <v>1778</v>
      </c>
      <c r="D735" s="16" t="s">
        <v>18</v>
      </c>
      <c r="E735" s="16" t="s">
        <v>555</v>
      </c>
      <c r="G735" s="16" t="s">
        <v>1770</v>
      </c>
      <c r="H735" s="16" t="s">
        <v>33</v>
      </c>
    </row>
    <row r="736" spans="1:8" x14ac:dyDescent="0.3">
      <c r="A736" s="16" t="s">
        <v>2551</v>
      </c>
      <c r="B736" s="16" t="s">
        <v>2552</v>
      </c>
      <c r="C736" s="16" t="s">
        <v>1778</v>
      </c>
      <c r="D736" s="16" t="s">
        <v>50</v>
      </c>
      <c r="E736" s="16" t="s">
        <v>555</v>
      </c>
      <c r="H736" s="16" t="s">
        <v>33</v>
      </c>
    </row>
    <row r="737" spans="1:8" x14ac:dyDescent="0.3">
      <c r="A737" s="16" t="s">
        <v>2551</v>
      </c>
      <c r="B737" s="16" t="s">
        <v>2553</v>
      </c>
      <c r="C737" s="16" t="s">
        <v>1778</v>
      </c>
      <c r="D737" s="16" t="s">
        <v>18</v>
      </c>
      <c r="E737" s="16" t="s">
        <v>555</v>
      </c>
      <c r="G737" s="16" t="s">
        <v>1770</v>
      </c>
      <c r="H737" s="16" t="s">
        <v>33</v>
      </c>
    </row>
    <row r="738" spans="1:8" x14ac:dyDescent="0.3">
      <c r="A738" s="16" t="s">
        <v>2554</v>
      </c>
      <c r="B738" s="16" t="s">
        <v>2555</v>
      </c>
      <c r="C738" s="16" t="s">
        <v>1778</v>
      </c>
      <c r="D738" s="16" t="s">
        <v>50</v>
      </c>
      <c r="E738" s="16" t="s">
        <v>555</v>
      </c>
      <c r="H738" s="16" t="s">
        <v>33</v>
      </c>
    </row>
    <row r="739" spans="1:8" x14ac:dyDescent="0.3">
      <c r="A739" s="16" t="s">
        <v>2554</v>
      </c>
      <c r="B739" s="16" t="s">
        <v>2556</v>
      </c>
      <c r="C739" s="16" t="s">
        <v>1778</v>
      </c>
      <c r="D739" s="16" t="s">
        <v>18</v>
      </c>
      <c r="E739" s="16" t="s">
        <v>555</v>
      </c>
      <c r="G739" s="16" t="s">
        <v>1770</v>
      </c>
      <c r="H739" s="16" t="s">
        <v>33</v>
      </c>
    </row>
    <row r="740" spans="1:8" x14ac:dyDescent="0.3">
      <c r="A740" s="16" t="s">
        <v>2557</v>
      </c>
      <c r="B740" s="16" t="s">
        <v>2558</v>
      </c>
      <c r="C740" s="16" t="s">
        <v>1778</v>
      </c>
      <c r="D740" s="16" t="s">
        <v>50</v>
      </c>
      <c r="E740" s="16" t="s">
        <v>555</v>
      </c>
      <c r="H740" s="16" t="s">
        <v>33</v>
      </c>
    </row>
    <row r="741" spans="1:8" x14ac:dyDescent="0.3">
      <c r="A741" s="16" t="s">
        <v>2557</v>
      </c>
      <c r="B741" s="16" t="s">
        <v>2559</v>
      </c>
      <c r="C741" s="16" t="s">
        <v>1778</v>
      </c>
      <c r="D741" s="16" t="s">
        <v>18</v>
      </c>
      <c r="E741" s="16" t="s">
        <v>555</v>
      </c>
      <c r="G741" s="16" t="s">
        <v>1770</v>
      </c>
      <c r="H741" s="16" t="s">
        <v>33</v>
      </c>
    </row>
    <row r="742" spans="1:8" x14ac:dyDescent="0.3">
      <c r="A742" s="16" t="s">
        <v>2560</v>
      </c>
      <c r="B742" s="16" t="s">
        <v>2561</v>
      </c>
      <c r="C742" s="16" t="s">
        <v>1778</v>
      </c>
      <c r="D742" s="16" t="s">
        <v>50</v>
      </c>
      <c r="E742" s="16" t="s">
        <v>555</v>
      </c>
      <c r="H742" s="16" t="s">
        <v>33</v>
      </c>
    </row>
    <row r="743" spans="1:8" x14ac:dyDescent="0.3">
      <c r="A743" s="16" t="s">
        <v>2560</v>
      </c>
      <c r="B743" s="16" t="s">
        <v>2562</v>
      </c>
      <c r="C743" s="16" t="s">
        <v>1778</v>
      </c>
      <c r="D743" s="16" t="s">
        <v>18</v>
      </c>
      <c r="E743" s="16" t="s">
        <v>555</v>
      </c>
      <c r="G743" s="16" t="s">
        <v>1770</v>
      </c>
      <c r="H743" s="16" t="s">
        <v>33</v>
      </c>
    </row>
    <row r="744" spans="1:8" x14ac:dyDescent="0.3">
      <c r="A744" s="16" t="s">
        <v>2563</v>
      </c>
      <c r="B744" s="16" t="s">
        <v>2564</v>
      </c>
      <c r="C744" s="16" t="s">
        <v>1778</v>
      </c>
      <c r="D744" s="16" t="s">
        <v>50</v>
      </c>
      <c r="E744" s="16" t="s">
        <v>555</v>
      </c>
      <c r="H744" s="16" t="s">
        <v>33</v>
      </c>
    </row>
    <row r="745" spans="1:8" x14ac:dyDescent="0.3">
      <c r="A745" s="16" t="s">
        <v>2563</v>
      </c>
      <c r="B745" s="16" t="s">
        <v>2565</v>
      </c>
      <c r="C745" s="16" t="s">
        <v>1778</v>
      </c>
      <c r="D745" s="16" t="s">
        <v>18</v>
      </c>
      <c r="E745" s="16" t="s">
        <v>555</v>
      </c>
      <c r="G745" s="16" t="s">
        <v>1770</v>
      </c>
      <c r="H745" s="16" t="s">
        <v>33</v>
      </c>
    </row>
    <row r="746" spans="1:8" x14ac:dyDescent="0.3">
      <c r="A746" s="16" t="s">
        <v>2566</v>
      </c>
      <c r="B746" s="16" t="s">
        <v>2567</v>
      </c>
      <c r="C746" s="16" t="s">
        <v>1778</v>
      </c>
      <c r="D746" s="16" t="s">
        <v>50</v>
      </c>
      <c r="E746" s="16" t="s">
        <v>555</v>
      </c>
      <c r="H746" s="16" t="s">
        <v>33</v>
      </c>
    </row>
    <row r="747" spans="1:8" x14ac:dyDescent="0.3">
      <c r="A747" s="16" t="s">
        <v>2566</v>
      </c>
      <c r="B747" s="16" t="s">
        <v>2568</v>
      </c>
      <c r="C747" s="16" t="s">
        <v>1778</v>
      </c>
      <c r="D747" s="16" t="s">
        <v>18</v>
      </c>
      <c r="E747" s="16" t="s">
        <v>555</v>
      </c>
      <c r="G747" s="16" t="s">
        <v>1770</v>
      </c>
      <c r="H747" s="16" t="s">
        <v>33</v>
      </c>
    </row>
    <row r="748" spans="1:8" x14ac:dyDescent="0.3">
      <c r="A748" s="16" t="s">
        <v>195</v>
      </c>
      <c r="B748" s="16" t="s">
        <v>196</v>
      </c>
      <c r="C748" s="16" t="s">
        <v>1779</v>
      </c>
      <c r="D748" s="16" t="s">
        <v>18</v>
      </c>
      <c r="E748" s="16" t="s">
        <v>555</v>
      </c>
      <c r="G748" s="16" t="s">
        <v>1127</v>
      </c>
      <c r="H748" s="16" t="s">
        <v>33</v>
      </c>
    </row>
    <row r="749" spans="1:8" x14ac:dyDescent="0.3">
      <c r="A749" s="16" t="s">
        <v>197</v>
      </c>
      <c r="B749" s="16" t="s">
        <v>198</v>
      </c>
      <c r="C749" s="16" t="s">
        <v>1779</v>
      </c>
      <c r="D749" s="16" t="s">
        <v>18</v>
      </c>
      <c r="E749" s="16" t="s">
        <v>555</v>
      </c>
      <c r="G749" s="16" t="s">
        <v>1127</v>
      </c>
      <c r="H749" s="16" t="s">
        <v>33</v>
      </c>
    </row>
    <row r="750" spans="1:8" x14ac:dyDescent="0.3">
      <c r="A750" s="16" t="s">
        <v>199</v>
      </c>
      <c r="B750" s="16" t="s">
        <v>200</v>
      </c>
      <c r="C750" s="16" t="s">
        <v>1779</v>
      </c>
      <c r="D750" s="16" t="s">
        <v>18</v>
      </c>
      <c r="E750" s="16" t="s">
        <v>555</v>
      </c>
      <c r="G750" s="16" t="s">
        <v>1127</v>
      </c>
      <c r="H750" s="16" t="s">
        <v>33</v>
      </c>
    </row>
    <row r="751" spans="1:8" x14ac:dyDescent="0.3">
      <c r="A751" s="16" t="s">
        <v>193</v>
      </c>
      <c r="B751" s="16" t="s">
        <v>194</v>
      </c>
      <c r="C751" s="16" t="s">
        <v>1779</v>
      </c>
      <c r="D751" s="16" t="s">
        <v>18</v>
      </c>
      <c r="E751" s="16" t="s">
        <v>555</v>
      </c>
      <c r="G751" s="16" t="s">
        <v>1127</v>
      </c>
      <c r="H751" s="16" t="s">
        <v>33</v>
      </c>
    </row>
    <row r="752" spans="1:8" x14ac:dyDescent="0.3">
      <c r="A752" s="16" t="s">
        <v>201</v>
      </c>
      <c r="B752" s="16" t="s">
        <v>202</v>
      </c>
      <c r="C752" s="16" t="s">
        <v>1779</v>
      </c>
      <c r="D752" s="16" t="s">
        <v>18</v>
      </c>
      <c r="E752" s="16" t="s">
        <v>555</v>
      </c>
      <c r="G752" s="16" t="s">
        <v>1127</v>
      </c>
      <c r="H752" s="16" t="s">
        <v>33</v>
      </c>
    </row>
    <row r="753" spans="1:10" x14ac:dyDescent="0.3">
      <c r="A753" s="16" t="s">
        <v>1112</v>
      </c>
      <c r="B753" s="16" t="s">
        <v>1113</v>
      </c>
      <c r="C753" s="16" t="s">
        <v>1812</v>
      </c>
      <c r="D753" s="16" t="s">
        <v>18</v>
      </c>
      <c r="E753" s="16" t="s">
        <v>588</v>
      </c>
      <c r="G753" s="16" t="s">
        <v>1103</v>
      </c>
      <c r="H753" s="16" t="s">
        <v>33</v>
      </c>
    </row>
    <row r="754" spans="1:10" x14ac:dyDescent="0.3">
      <c r="A754" s="16" t="s">
        <v>1114</v>
      </c>
      <c r="B754" s="16" t="s">
        <v>1115</v>
      </c>
      <c r="C754" s="16" t="s">
        <v>1812</v>
      </c>
      <c r="D754" s="16" t="s">
        <v>18</v>
      </c>
      <c r="E754" s="16" t="s">
        <v>555</v>
      </c>
      <c r="G754" s="16" t="s">
        <v>1103</v>
      </c>
      <c r="H754" s="16" t="s">
        <v>33</v>
      </c>
    </row>
    <row r="755" spans="1:10" x14ac:dyDescent="0.3">
      <c r="A755" s="16" t="s">
        <v>899</v>
      </c>
      <c r="B755" s="16" t="s">
        <v>2569</v>
      </c>
      <c r="C755" s="16" t="s">
        <v>2570</v>
      </c>
      <c r="D755" s="16" t="s">
        <v>388</v>
      </c>
      <c r="E755" s="16" t="s">
        <v>539</v>
      </c>
      <c r="J755" s="16" t="s">
        <v>32</v>
      </c>
    </row>
    <row r="756" spans="1:10" x14ac:dyDescent="0.3">
      <c r="A756" s="16" t="s">
        <v>899</v>
      </c>
      <c r="B756" s="16" t="s">
        <v>2571</v>
      </c>
      <c r="C756" s="16" t="s">
        <v>1779</v>
      </c>
      <c r="D756" s="16" t="s">
        <v>133</v>
      </c>
      <c r="E756" s="16" t="s">
        <v>1791</v>
      </c>
      <c r="H756" s="16" t="s">
        <v>33</v>
      </c>
    </row>
    <row r="757" spans="1:10" x14ac:dyDescent="0.3">
      <c r="A757" s="16" t="s">
        <v>1558</v>
      </c>
      <c r="B757" s="16" t="s">
        <v>477</v>
      </c>
      <c r="C757" s="16" t="s">
        <v>1779</v>
      </c>
      <c r="D757" s="16" t="s">
        <v>18</v>
      </c>
      <c r="E757" s="16" t="s">
        <v>539</v>
      </c>
      <c r="G757" s="16" t="s">
        <v>1127</v>
      </c>
      <c r="H757" s="16" t="s">
        <v>33</v>
      </c>
    </row>
    <row r="758" spans="1:10" x14ac:dyDescent="0.3">
      <c r="A758" s="16" t="s">
        <v>1178</v>
      </c>
      <c r="B758" s="16" t="s">
        <v>476</v>
      </c>
      <c r="C758" s="16" t="s">
        <v>1778</v>
      </c>
      <c r="D758" s="16" t="s">
        <v>18</v>
      </c>
      <c r="E758" s="16" t="s">
        <v>539</v>
      </c>
      <c r="G758" s="16" t="s">
        <v>1127</v>
      </c>
      <c r="H758" s="16" t="s">
        <v>33</v>
      </c>
    </row>
    <row r="759" spans="1:10" x14ac:dyDescent="0.3">
      <c r="A759" s="16" t="s">
        <v>1178</v>
      </c>
      <c r="B759" s="16" t="s">
        <v>1179</v>
      </c>
      <c r="C759" s="16" t="s">
        <v>1777</v>
      </c>
      <c r="D759" s="16" t="s">
        <v>18</v>
      </c>
      <c r="E759" s="16" t="s">
        <v>539</v>
      </c>
      <c r="G759" s="16" t="s">
        <v>1127</v>
      </c>
      <c r="H759" s="16" t="s">
        <v>33</v>
      </c>
    </row>
    <row r="760" spans="1:10" x14ac:dyDescent="0.3">
      <c r="A760" s="16" t="s">
        <v>1178</v>
      </c>
      <c r="B760" s="16" t="s">
        <v>1559</v>
      </c>
      <c r="C760" s="16" t="s">
        <v>1779</v>
      </c>
      <c r="D760" s="16" t="s">
        <v>18</v>
      </c>
      <c r="E760" s="16" t="s">
        <v>539</v>
      </c>
      <c r="G760" s="16" t="s">
        <v>1127</v>
      </c>
      <c r="H760" s="16" t="s">
        <v>33</v>
      </c>
    </row>
    <row r="761" spans="1:10" x14ac:dyDescent="0.3">
      <c r="A761" s="16" t="s">
        <v>1329</v>
      </c>
      <c r="B761" s="16" t="s">
        <v>2572</v>
      </c>
      <c r="C761" s="16" t="s">
        <v>1778</v>
      </c>
      <c r="D761" s="16" t="s">
        <v>50</v>
      </c>
      <c r="E761" s="16" t="s">
        <v>555</v>
      </c>
      <c r="H761" s="16" t="s">
        <v>33</v>
      </c>
    </row>
    <row r="762" spans="1:10" x14ac:dyDescent="0.3">
      <c r="A762" s="16" t="s">
        <v>1329</v>
      </c>
      <c r="B762" s="16" t="s">
        <v>1330</v>
      </c>
      <c r="C762" s="16" t="s">
        <v>1778</v>
      </c>
      <c r="D762" s="16" t="s">
        <v>18</v>
      </c>
      <c r="E762" s="16" t="s">
        <v>555</v>
      </c>
      <c r="G762" s="16" t="s">
        <v>1770</v>
      </c>
      <c r="H762" s="16" t="s">
        <v>33</v>
      </c>
    </row>
    <row r="763" spans="1:10" x14ac:dyDescent="0.3">
      <c r="A763" s="16" t="s">
        <v>2573</v>
      </c>
      <c r="B763" s="16" t="s">
        <v>2574</v>
      </c>
      <c r="C763" s="16" t="s">
        <v>1778</v>
      </c>
      <c r="D763" s="16" t="s">
        <v>50</v>
      </c>
      <c r="E763" s="16" t="s">
        <v>555</v>
      </c>
      <c r="H763" s="16" t="s">
        <v>33</v>
      </c>
    </row>
    <row r="764" spans="1:10" x14ac:dyDescent="0.3">
      <c r="A764" s="16" t="s">
        <v>2573</v>
      </c>
      <c r="B764" s="16" t="s">
        <v>2575</v>
      </c>
      <c r="C764" s="16" t="s">
        <v>1778</v>
      </c>
      <c r="D764" s="16" t="s">
        <v>18</v>
      </c>
      <c r="E764" s="16" t="s">
        <v>555</v>
      </c>
      <c r="G764" s="16" t="s">
        <v>1770</v>
      </c>
      <c r="H764" s="16" t="s">
        <v>33</v>
      </c>
    </row>
    <row r="765" spans="1:10" x14ac:dyDescent="0.3">
      <c r="A765" s="16" t="s">
        <v>2576</v>
      </c>
      <c r="B765" s="16" t="s">
        <v>2577</v>
      </c>
      <c r="C765" s="16" t="s">
        <v>1778</v>
      </c>
      <c r="D765" s="16" t="s">
        <v>2042</v>
      </c>
      <c r="E765" s="16" t="s">
        <v>555</v>
      </c>
      <c r="H765" s="16" t="s">
        <v>33</v>
      </c>
    </row>
    <row r="766" spans="1:10" x14ac:dyDescent="0.3">
      <c r="A766" s="16" t="s">
        <v>2576</v>
      </c>
      <c r="B766" s="16" t="s">
        <v>2578</v>
      </c>
      <c r="C766" s="16" t="s">
        <v>1778</v>
      </c>
      <c r="D766" s="16" t="s">
        <v>18</v>
      </c>
      <c r="E766" s="16" t="s">
        <v>555</v>
      </c>
      <c r="G766" s="16" t="s">
        <v>1770</v>
      </c>
      <c r="H766" s="16" t="s">
        <v>33</v>
      </c>
    </row>
    <row r="767" spans="1:10" x14ac:dyDescent="0.3">
      <c r="A767" s="16" t="s">
        <v>2579</v>
      </c>
      <c r="B767" s="16" t="s">
        <v>2580</v>
      </c>
      <c r="C767" s="16" t="s">
        <v>1778</v>
      </c>
      <c r="D767" s="16" t="s">
        <v>2042</v>
      </c>
      <c r="E767" s="16" t="s">
        <v>555</v>
      </c>
      <c r="H767" s="16" t="s">
        <v>33</v>
      </c>
    </row>
    <row r="768" spans="1:10" x14ac:dyDescent="0.3">
      <c r="A768" s="16" t="s">
        <v>2579</v>
      </c>
      <c r="B768" s="16" t="s">
        <v>2581</v>
      </c>
      <c r="C768" s="16" t="s">
        <v>1778</v>
      </c>
      <c r="D768" s="16" t="s">
        <v>18</v>
      </c>
      <c r="E768" s="16" t="s">
        <v>555</v>
      </c>
      <c r="G768" s="16" t="s">
        <v>1770</v>
      </c>
      <c r="H768" s="16" t="s">
        <v>33</v>
      </c>
    </row>
    <row r="769" spans="1:8" x14ac:dyDescent="0.3">
      <c r="A769" s="16" t="s">
        <v>2582</v>
      </c>
      <c r="B769" s="16" t="s">
        <v>2583</v>
      </c>
      <c r="C769" s="16" t="s">
        <v>1778</v>
      </c>
      <c r="D769" s="16" t="s">
        <v>2042</v>
      </c>
      <c r="E769" s="16" t="s">
        <v>555</v>
      </c>
      <c r="H769" s="16" t="s">
        <v>33</v>
      </c>
    </row>
    <row r="770" spans="1:8" x14ac:dyDescent="0.3">
      <c r="A770" s="16" t="s">
        <v>2582</v>
      </c>
      <c r="B770" s="16" t="s">
        <v>2584</v>
      </c>
      <c r="C770" s="16" t="s">
        <v>1778</v>
      </c>
      <c r="D770" s="16" t="s">
        <v>18</v>
      </c>
      <c r="E770" s="16" t="s">
        <v>555</v>
      </c>
      <c r="G770" s="16" t="s">
        <v>1770</v>
      </c>
      <c r="H770" s="16" t="s">
        <v>33</v>
      </c>
    </row>
    <row r="771" spans="1:8" x14ac:dyDescent="0.3">
      <c r="A771" s="16" t="s">
        <v>2585</v>
      </c>
      <c r="B771" s="16" t="s">
        <v>2586</v>
      </c>
      <c r="C771" s="16" t="s">
        <v>1778</v>
      </c>
      <c r="D771" s="16" t="s">
        <v>2042</v>
      </c>
      <c r="E771" s="16" t="s">
        <v>555</v>
      </c>
      <c r="H771" s="16" t="s">
        <v>33</v>
      </c>
    </row>
    <row r="772" spans="1:8" x14ac:dyDescent="0.3">
      <c r="A772" s="16" t="s">
        <v>2585</v>
      </c>
      <c r="B772" s="16" t="s">
        <v>2587</v>
      </c>
      <c r="C772" s="16" t="s">
        <v>1778</v>
      </c>
      <c r="D772" s="16" t="s">
        <v>18</v>
      </c>
      <c r="E772" s="16" t="s">
        <v>555</v>
      </c>
      <c r="G772" s="16" t="s">
        <v>1770</v>
      </c>
      <c r="H772" s="16" t="s">
        <v>33</v>
      </c>
    </row>
    <row r="773" spans="1:8" x14ac:dyDescent="0.3">
      <c r="A773" s="16" t="s">
        <v>2588</v>
      </c>
      <c r="B773" s="16" t="s">
        <v>2589</v>
      </c>
      <c r="C773" s="16" t="s">
        <v>1778</v>
      </c>
      <c r="D773" s="16" t="s">
        <v>50</v>
      </c>
      <c r="E773" s="16" t="s">
        <v>555</v>
      </c>
      <c r="H773" s="16" t="s">
        <v>33</v>
      </c>
    </row>
    <row r="774" spans="1:8" x14ac:dyDescent="0.3">
      <c r="A774" s="16" t="s">
        <v>2588</v>
      </c>
      <c r="B774" s="16" t="s">
        <v>2590</v>
      </c>
      <c r="C774" s="16" t="s">
        <v>1778</v>
      </c>
      <c r="D774" s="16" t="s">
        <v>18</v>
      </c>
      <c r="E774" s="16" t="s">
        <v>555</v>
      </c>
      <c r="G774" s="16" t="s">
        <v>1770</v>
      </c>
      <c r="H774" s="16" t="s">
        <v>33</v>
      </c>
    </row>
    <row r="775" spans="1:8" x14ac:dyDescent="0.3">
      <c r="A775" s="16" t="s">
        <v>1331</v>
      </c>
      <c r="B775" s="16" t="s">
        <v>1332</v>
      </c>
      <c r="C775" s="16" t="s">
        <v>1778</v>
      </c>
      <c r="D775" s="16" t="s">
        <v>18</v>
      </c>
      <c r="E775" s="16" t="s">
        <v>555</v>
      </c>
      <c r="G775" s="16" t="s">
        <v>1127</v>
      </c>
      <c r="H775" s="16" t="s">
        <v>33</v>
      </c>
    </row>
    <row r="776" spans="1:8" x14ac:dyDescent="0.3">
      <c r="A776" s="16" t="s">
        <v>1674</v>
      </c>
      <c r="B776" s="16" t="s">
        <v>1675</v>
      </c>
      <c r="C776" s="16" t="s">
        <v>1778</v>
      </c>
      <c r="D776" s="16" t="s">
        <v>18</v>
      </c>
      <c r="E776" s="16" t="s">
        <v>555</v>
      </c>
      <c r="G776" s="16" t="s">
        <v>1770</v>
      </c>
      <c r="H776" s="16" t="s">
        <v>33</v>
      </c>
    </row>
    <row r="777" spans="1:8" x14ac:dyDescent="0.3">
      <c r="A777" s="16" t="s">
        <v>1333</v>
      </c>
      <c r="B777" s="16" t="s">
        <v>1334</v>
      </c>
      <c r="C777" s="16" t="s">
        <v>1778</v>
      </c>
      <c r="D777" s="16" t="s">
        <v>18</v>
      </c>
      <c r="E777" s="16" t="s">
        <v>555</v>
      </c>
      <c r="G777" s="16" t="s">
        <v>1770</v>
      </c>
      <c r="H777" s="16" t="s">
        <v>33</v>
      </c>
    </row>
    <row r="778" spans="1:8" x14ac:dyDescent="0.3">
      <c r="A778" s="16" t="s">
        <v>2591</v>
      </c>
      <c r="B778" s="16" t="s">
        <v>2592</v>
      </c>
      <c r="C778" s="16" t="s">
        <v>1778</v>
      </c>
      <c r="D778" s="16" t="s">
        <v>2042</v>
      </c>
      <c r="E778" s="16" t="s">
        <v>555</v>
      </c>
      <c r="H778" s="16" t="s">
        <v>33</v>
      </c>
    </row>
    <row r="779" spans="1:8" x14ac:dyDescent="0.3">
      <c r="A779" s="16" t="s">
        <v>2593</v>
      </c>
      <c r="B779" s="16" t="s">
        <v>2594</v>
      </c>
      <c r="C779" s="16" t="s">
        <v>1778</v>
      </c>
      <c r="D779" s="16" t="s">
        <v>2042</v>
      </c>
      <c r="E779" s="16" t="s">
        <v>555</v>
      </c>
      <c r="H779" s="16" t="s">
        <v>33</v>
      </c>
    </row>
    <row r="780" spans="1:8" x14ac:dyDescent="0.3">
      <c r="A780" s="16" t="s">
        <v>2593</v>
      </c>
      <c r="B780" s="16" t="s">
        <v>2595</v>
      </c>
      <c r="C780" s="16" t="s">
        <v>1778</v>
      </c>
      <c r="D780" s="16" t="s">
        <v>18</v>
      </c>
      <c r="E780" s="16" t="s">
        <v>555</v>
      </c>
      <c r="G780" s="16" t="s">
        <v>1770</v>
      </c>
      <c r="H780" s="16" t="s">
        <v>33</v>
      </c>
    </row>
    <row r="781" spans="1:8" x14ac:dyDescent="0.3">
      <c r="A781" s="16" t="s">
        <v>2596</v>
      </c>
      <c r="B781" s="16" t="s">
        <v>2597</v>
      </c>
      <c r="C781" s="16" t="s">
        <v>1778</v>
      </c>
      <c r="D781" s="16" t="s">
        <v>2042</v>
      </c>
      <c r="E781" s="16" t="s">
        <v>555</v>
      </c>
      <c r="H781" s="16" t="s">
        <v>33</v>
      </c>
    </row>
    <row r="782" spans="1:8" x14ac:dyDescent="0.3">
      <c r="A782" s="16" t="s">
        <v>2596</v>
      </c>
      <c r="B782" s="16" t="s">
        <v>2598</v>
      </c>
      <c r="C782" s="16" t="s">
        <v>1778</v>
      </c>
      <c r="D782" s="16" t="s">
        <v>18</v>
      </c>
      <c r="E782" s="16" t="s">
        <v>555</v>
      </c>
      <c r="G782" s="16" t="s">
        <v>1770</v>
      </c>
      <c r="H782" s="16" t="s">
        <v>33</v>
      </c>
    </row>
    <row r="783" spans="1:8" x14ac:dyDescent="0.3">
      <c r="A783" s="16" t="s">
        <v>2599</v>
      </c>
      <c r="B783" s="16" t="s">
        <v>2600</v>
      </c>
      <c r="C783" s="16" t="s">
        <v>1778</v>
      </c>
      <c r="D783" s="16" t="s">
        <v>2042</v>
      </c>
      <c r="E783" s="16" t="s">
        <v>555</v>
      </c>
      <c r="H783" s="16" t="s">
        <v>33</v>
      </c>
    </row>
    <row r="784" spans="1:8" x14ac:dyDescent="0.3">
      <c r="A784" s="16" t="s">
        <v>2599</v>
      </c>
      <c r="B784" s="16" t="s">
        <v>2601</v>
      </c>
      <c r="C784" s="16" t="s">
        <v>1778</v>
      </c>
      <c r="D784" s="16" t="s">
        <v>18</v>
      </c>
      <c r="E784" s="16" t="s">
        <v>555</v>
      </c>
      <c r="G784" s="16" t="s">
        <v>1770</v>
      </c>
      <c r="H784" s="16" t="s">
        <v>33</v>
      </c>
    </row>
    <row r="785" spans="1:8" x14ac:dyDescent="0.3">
      <c r="A785" s="16" t="s">
        <v>2602</v>
      </c>
      <c r="B785" s="16" t="s">
        <v>2603</v>
      </c>
      <c r="C785" s="16" t="s">
        <v>1778</v>
      </c>
      <c r="D785" s="16" t="s">
        <v>2042</v>
      </c>
      <c r="E785" s="16" t="s">
        <v>555</v>
      </c>
      <c r="H785" s="16" t="s">
        <v>33</v>
      </c>
    </row>
    <row r="786" spans="1:8" x14ac:dyDescent="0.3">
      <c r="A786" s="16" t="s">
        <v>2604</v>
      </c>
      <c r="B786" s="16" t="s">
        <v>2605</v>
      </c>
      <c r="C786" s="16" t="s">
        <v>1778</v>
      </c>
      <c r="D786" s="16" t="s">
        <v>2042</v>
      </c>
      <c r="E786" s="16" t="s">
        <v>555</v>
      </c>
      <c r="H786" s="16" t="s">
        <v>33</v>
      </c>
    </row>
    <row r="787" spans="1:8" x14ac:dyDescent="0.3">
      <c r="A787" s="16" t="s">
        <v>2604</v>
      </c>
      <c r="B787" s="16" t="s">
        <v>2606</v>
      </c>
      <c r="C787" s="16" t="s">
        <v>1778</v>
      </c>
      <c r="D787" s="16" t="s">
        <v>18</v>
      </c>
      <c r="E787" s="16" t="s">
        <v>555</v>
      </c>
      <c r="G787" s="16" t="s">
        <v>1770</v>
      </c>
      <c r="H787" s="16" t="s">
        <v>33</v>
      </c>
    </row>
    <row r="788" spans="1:8" x14ac:dyDescent="0.3">
      <c r="A788" s="16" t="s">
        <v>2607</v>
      </c>
      <c r="B788" s="16" t="s">
        <v>2608</v>
      </c>
      <c r="C788" s="16" t="s">
        <v>1778</v>
      </c>
      <c r="D788" s="16" t="s">
        <v>2042</v>
      </c>
      <c r="E788" s="16" t="s">
        <v>555</v>
      </c>
      <c r="H788" s="16" t="s">
        <v>33</v>
      </c>
    </row>
    <row r="789" spans="1:8" x14ac:dyDescent="0.3">
      <c r="A789" s="16" t="s">
        <v>2607</v>
      </c>
      <c r="B789" s="16" t="s">
        <v>2609</v>
      </c>
      <c r="C789" s="16" t="s">
        <v>1778</v>
      </c>
      <c r="D789" s="16" t="s">
        <v>18</v>
      </c>
      <c r="E789" s="16" t="s">
        <v>555</v>
      </c>
      <c r="G789" s="16" t="s">
        <v>1770</v>
      </c>
      <c r="H789" s="16" t="s">
        <v>33</v>
      </c>
    </row>
    <row r="790" spans="1:8" x14ac:dyDescent="0.3">
      <c r="A790" s="16" t="s">
        <v>2610</v>
      </c>
      <c r="B790" s="16" t="s">
        <v>2611</v>
      </c>
      <c r="C790" s="16" t="s">
        <v>1778</v>
      </c>
      <c r="D790" s="16" t="s">
        <v>50</v>
      </c>
      <c r="E790" s="16" t="s">
        <v>555</v>
      </c>
      <c r="H790" s="16" t="s">
        <v>33</v>
      </c>
    </row>
    <row r="791" spans="1:8" x14ac:dyDescent="0.3">
      <c r="A791" s="16" t="s">
        <v>2610</v>
      </c>
      <c r="B791" s="16" t="s">
        <v>2612</v>
      </c>
      <c r="C791" s="16" t="s">
        <v>1778</v>
      </c>
      <c r="D791" s="16" t="s">
        <v>18</v>
      </c>
      <c r="E791" s="16" t="s">
        <v>555</v>
      </c>
      <c r="G791" s="16" t="s">
        <v>1770</v>
      </c>
      <c r="H791" s="16" t="s">
        <v>33</v>
      </c>
    </row>
    <row r="792" spans="1:8" x14ac:dyDescent="0.3">
      <c r="A792" s="16" t="s">
        <v>2613</v>
      </c>
      <c r="B792" s="16" t="s">
        <v>2614</v>
      </c>
      <c r="C792" s="16" t="s">
        <v>1778</v>
      </c>
      <c r="D792" s="16" t="s">
        <v>50</v>
      </c>
      <c r="E792" s="16" t="s">
        <v>555</v>
      </c>
      <c r="H792" s="16" t="s">
        <v>33</v>
      </c>
    </row>
    <row r="793" spans="1:8" x14ac:dyDescent="0.3">
      <c r="A793" s="16" t="s">
        <v>2613</v>
      </c>
      <c r="B793" s="16" t="s">
        <v>2615</v>
      </c>
      <c r="C793" s="16" t="s">
        <v>1778</v>
      </c>
      <c r="D793" s="16" t="s">
        <v>18</v>
      </c>
      <c r="E793" s="16" t="s">
        <v>555</v>
      </c>
      <c r="G793" s="16" t="s">
        <v>1770</v>
      </c>
      <c r="H793" s="16" t="s">
        <v>33</v>
      </c>
    </row>
    <row r="794" spans="1:8" x14ac:dyDescent="0.3">
      <c r="A794" s="16" t="s">
        <v>2616</v>
      </c>
      <c r="B794" s="16" t="s">
        <v>2617</v>
      </c>
      <c r="C794" s="16" t="s">
        <v>1778</v>
      </c>
      <c r="D794" s="16" t="s">
        <v>50</v>
      </c>
      <c r="E794" s="16" t="s">
        <v>555</v>
      </c>
      <c r="H794" s="16" t="s">
        <v>33</v>
      </c>
    </row>
    <row r="795" spans="1:8" x14ac:dyDescent="0.3">
      <c r="A795" s="16" t="s">
        <v>2616</v>
      </c>
      <c r="B795" s="16" t="s">
        <v>2618</v>
      </c>
      <c r="C795" s="16" t="s">
        <v>1778</v>
      </c>
      <c r="D795" s="16" t="s">
        <v>18</v>
      </c>
      <c r="E795" s="16" t="s">
        <v>555</v>
      </c>
      <c r="G795" s="16" t="s">
        <v>1770</v>
      </c>
      <c r="H795" s="16" t="s">
        <v>33</v>
      </c>
    </row>
    <row r="796" spans="1:8" x14ac:dyDescent="0.3">
      <c r="A796" s="16" t="s">
        <v>2619</v>
      </c>
      <c r="B796" s="16" t="s">
        <v>2620</v>
      </c>
      <c r="C796" s="16" t="s">
        <v>1778</v>
      </c>
      <c r="D796" s="16" t="s">
        <v>50</v>
      </c>
      <c r="E796" s="16" t="s">
        <v>555</v>
      </c>
      <c r="H796" s="16" t="s">
        <v>33</v>
      </c>
    </row>
    <row r="797" spans="1:8" x14ac:dyDescent="0.3">
      <c r="A797" s="16" t="s">
        <v>2619</v>
      </c>
      <c r="B797" s="16" t="s">
        <v>2621</v>
      </c>
      <c r="C797" s="16" t="s">
        <v>1778</v>
      </c>
      <c r="D797" s="16" t="s">
        <v>18</v>
      </c>
      <c r="E797" s="16" t="s">
        <v>555</v>
      </c>
      <c r="G797" s="16" t="s">
        <v>1770</v>
      </c>
      <c r="H797" s="16" t="s">
        <v>33</v>
      </c>
    </row>
    <row r="798" spans="1:8" x14ac:dyDescent="0.3">
      <c r="A798" s="16" t="s">
        <v>2622</v>
      </c>
      <c r="B798" s="16" t="s">
        <v>2623</v>
      </c>
      <c r="C798" s="16" t="s">
        <v>1778</v>
      </c>
      <c r="D798" s="16" t="s">
        <v>50</v>
      </c>
      <c r="E798" s="16" t="s">
        <v>555</v>
      </c>
      <c r="H798" s="16" t="s">
        <v>33</v>
      </c>
    </row>
    <row r="799" spans="1:8" x14ac:dyDescent="0.3">
      <c r="A799" s="16" t="s">
        <v>2622</v>
      </c>
      <c r="B799" s="16" t="s">
        <v>2624</v>
      </c>
      <c r="C799" s="16" t="s">
        <v>1778</v>
      </c>
      <c r="D799" s="16" t="s">
        <v>18</v>
      </c>
      <c r="E799" s="16" t="s">
        <v>555</v>
      </c>
      <c r="G799" s="16" t="s">
        <v>1770</v>
      </c>
      <c r="H799" s="16" t="s">
        <v>33</v>
      </c>
    </row>
    <row r="800" spans="1:8" x14ac:dyDescent="0.3">
      <c r="A800" s="16" t="s">
        <v>2625</v>
      </c>
      <c r="B800" s="16" t="s">
        <v>2626</v>
      </c>
      <c r="C800" s="16" t="s">
        <v>1915</v>
      </c>
      <c r="D800" s="16" t="s">
        <v>133</v>
      </c>
      <c r="E800" s="16" t="s">
        <v>1791</v>
      </c>
      <c r="H800" s="16" t="s">
        <v>33</v>
      </c>
    </row>
    <row r="801" spans="1:8" x14ac:dyDescent="0.3">
      <c r="A801" s="16" t="s">
        <v>1560</v>
      </c>
      <c r="B801" s="16" t="s">
        <v>1561</v>
      </c>
      <c r="C801" s="16" t="s">
        <v>1779</v>
      </c>
      <c r="D801" s="16" t="s">
        <v>133</v>
      </c>
      <c r="E801" s="16" t="s">
        <v>1791</v>
      </c>
      <c r="G801" s="16" t="s">
        <v>1337</v>
      </c>
      <c r="H801" s="16" t="s">
        <v>33</v>
      </c>
    </row>
    <row r="802" spans="1:8" x14ac:dyDescent="0.3">
      <c r="A802" s="16" t="s">
        <v>1335</v>
      </c>
      <c r="B802" s="16" t="s">
        <v>1336</v>
      </c>
      <c r="C802" s="16" t="s">
        <v>1778</v>
      </c>
      <c r="D802" s="16" t="s">
        <v>133</v>
      </c>
      <c r="E802" s="16" t="s">
        <v>1791</v>
      </c>
      <c r="G802" s="16" t="s">
        <v>1337</v>
      </c>
      <c r="H802" s="16" t="s">
        <v>33</v>
      </c>
    </row>
    <row r="803" spans="1:8" x14ac:dyDescent="0.3">
      <c r="A803" s="16" t="s">
        <v>1562</v>
      </c>
      <c r="B803" s="16" t="s">
        <v>1563</v>
      </c>
      <c r="C803" s="16" t="s">
        <v>1779</v>
      </c>
      <c r="D803" s="16" t="s">
        <v>133</v>
      </c>
      <c r="E803" s="16" t="s">
        <v>1791</v>
      </c>
      <c r="G803" s="16" t="s">
        <v>1337</v>
      </c>
      <c r="H803" s="16" t="s">
        <v>33</v>
      </c>
    </row>
    <row r="804" spans="1:8" x14ac:dyDescent="0.3">
      <c r="A804" s="16" t="s">
        <v>2627</v>
      </c>
      <c r="B804" s="16" t="s">
        <v>2628</v>
      </c>
      <c r="C804" s="16" t="s">
        <v>1778</v>
      </c>
      <c r="D804" s="16" t="s">
        <v>18</v>
      </c>
      <c r="E804" s="16" t="s">
        <v>555</v>
      </c>
      <c r="G804" s="16" t="s">
        <v>1770</v>
      </c>
      <c r="H804" s="16" t="s">
        <v>33</v>
      </c>
    </row>
    <row r="805" spans="1:8" x14ac:dyDescent="0.3">
      <c r="A805" s="16" t="s">
        <v>2629</v>
      </c>
      <c r="B805" s="16" t="s">
        <v>2630</v>
      </c>
      <c r="C805" s="16" t="s">
        <v>1778</v>
      </c>
      <c r="D805" s="16" t="s">
        <v>18</v>
      </c>
      <c r="E805" s="16" t="s">
        <v>555</v>
      </c>
      <c r="G805" s="16" t="s">
        <v>1770</v>
      </c>
      <c r="H805" s="16" t="s">
        <v>33</v>
      </c>
    </row>
    <row r="806" spans="1:8" x14ac:dyDescent="0.3">
      <c r="A806" s="16" t="s">
        <v>2631</v>
      </c>
      <c r="B806" s="16" t="s">
        <v>2632</v>
      </c>
      <c r="C806" s="16" t="s">
        <v>1778</v>
      </c>
      <c r="D806" s="16" t="s">
        <v>18</v>
      </c>
      <c r="E806" s="16" t="s">
        <v>555</v>
      </c>
      <c r="G806" s="16" t="s">
        <v>1770</v>
      </c>
      <c r="H806" s="16" t="s">
        <v>33</v>
      </c>
    </row>
    <row r="807" spans="1:8" x14ac:dyDescent="0.3">
      <c r="A807" s="16" t="s">
        <v>2633</v>
      </c>
      <c r="B807" s="16" t="s">
        <v>2634</v>
      </c>
      <c r="C807" s="16" t="s">
        <v>1778</v>
      </c>
      <c r="D807" s="16" t="s">
        <v>18</v>
      </c>
      <c r="E807" s="16" t="s">
        <v>555</v>
      </c>
      <c r="G807" s="16" t="s">
        <v>1770</v>
      </c>
      <c r="H807" s="16" t="s">
        <v>33</v>
      </c>
    </row>
    <row r="808" spans="1:8" x14ac:dyDescent="0.3">
      <c r="A808" s="16" t="s">
        <v>2635</v>
      </c>
      <c r="B808" s="16" t="s">
        <v>2636</v>
      </c>
      <c r="C808" s="16" t="s">
        <v>1778</v>
      </c>
      <c r="D808" s="16" t="s">
        <v>18</v>
      </c>
      <c r="E808" s="16" t="s">
        <v>555</v>
      </c>
      <c r="G808" s="16" t="s">
        <v>1770</v>
      </c>
      <c r="H808" s="16" t="s">
        <v>33</v>
      </c>
    </row>
    <row r="809" spans="1:8" x14ac:dyDescent="0.3">
      <c r="A809" s="16" t="s">
        <v>2637</v>
      </c>
      <c r="B809" s="16" t="s">
        <v>2638</v>
      </c>
      <c r="C809" s="16" t="s">
        <v>1778</v>
      </c>
      <c r="D809" s="16" t="s">
        <v>18</v>
      </c>
      <c r="E809" s="16" t="s">
        <v>555</v>
      </c>
      <c r="G809" s="16" t="s">
        <v>1770</v>
      </c>
      <c r="H809" s="16" t="s">
        <v>33</v>
      </c>
    </row>
    <row r="810" spans="1:8" x14ac:dyDescent="0.3">
      <c r="A810" s="16" t="s">
        <v>2639</v>
      </c>
      <c r="B810" s="16" t="s">
        <v>2640</v>
      </c>
      <c r="C810" s="16" t="s">
        <v>1778</v>
      </c>
      <c r="D810" s="16" t="s">
        <v>18</v>
      </c>
      <c r="E810" s="16" t="s">
        <v>555</v>
      </c>
      <c r="G810" s="16" t="s">
        <v>1770</v>
      </c>
      <c r="H810" s="16" t="s">
        <v>33</v>
      </c>
    </row>
    <row r="811" spans="1:8" x14ac:dyDescent="0.3">
      <c r="A811" s="16" t="s">
        <v>2641</v>
      </c>
      <c r="B811" s="16" t="s">
        <v>2642</v>
      </c>
      <c r="C811" s="16" t="s">
        <v>1778</v>
      </c>
      <c r="D811" s="16" t="s">
        <v>18</v>
      </c>
      <c r="E811" s="16" t="s">
        <v>555</v>
      </c>
      <c r="G811" s="16" t="s">
        <v>1770</v>
      </c>
      <c r="H811" s="16" t="s">
        <v>33</v>
      </c>
    </row>
    <row r="812" spans="1:8" x14ac:dyDescent="0.3">
      <c r="A812" s="16" t="s">
        <v>2643</v>
      </c>
      <c r="B812" s="16" t="s">
        <v>2644</v>
      </c>
      <c r="C812" s="16" t="s">
        <v>1778</v>
      </c>
      <c r="D812" s="16" t="s">
        <v>18</v>
      </c>
      <c r="E812" s="16" t="s">
        <v>555</v>
      </c>
      <c r="G812" s="16" t="s">
        <v>1770</v>
      </c>
      <c r="H812" s="16" t="s">
        <v>33</v>
      </c>
    </row>
    <row r="813" spans="1:8" x14ac:dyDescent="0.3">
      <c r="A813" s="16" t="s">
        <v>2645</v>
      </c>
      <c r="B813" s="16" t="s">
        <v>2646</v>
      </c>
      <c r="C813" s="16" t="s">
        <v>1778</v>
      </c>
      <c r="D813" s="16" t="s">
        <v>18</v>
      </c>
      <c r="E813" s="16" t="s">
        <v>555</v>
      </c>
      <c r="G813" s="16" t="s">
        <v>1770</v>
      </c>
      <c r="H813" s="16" t="s">
        <v>33</v>
      </c>
    </row>
    <row r="814" spans="1:8" x14ac:dyDescent="0.3">
      <c r="A814" s="16" t="s">
        <v>2647</v>
      </c>
      <c r="B814" s="16" t="s">
        <v>2648</v>
      </c>
      <c r="C814" s="16" t="s">
        <v>1778</v>
      </c>
      <c r="D814" s="16" t="s">
        <v>18</v>
      </c>
      <c r="E814" s="16" t="s">
        <v>555</v>
      </c>
      <c r="G814" s="16" t="s">
        <v>1770</v>
      </c>
      <c r="H814" s="16" t="s">
        <v>33</v>
      </c>
    </row>
    <row r="815" spans="1:8" x14ac:dyDescent="0.3">
      <c r="A815" s="16" t="s">
        <v>2649</v>
      </c>
      <c r="B815" s="16" t="s">
        <v>2650</v>
      </c>
      <c r="C815" s="16" t="s">
        <v>1778</v>
      </c>
      <c r="D815" s="16" t="s">
        <v>18</v>
      </c>
      <c r="E815" s="16" t="s">
        <v>555</v>
      </c>
      <c r="G815" s="16" t="s">
        <v>1770</v>
      </c>
      <c r="H815" s="16" t="s">
        <v>33</v>
      </c>
    </row>
    <row r="816" spans="1:8" x14ac:dyDescent="0.3">
      <c r="A816" s="16" t="s">
        <v>2651</v>
      </c>
      <c r="B816" s="16" t="s">
        <v>2652</v>
      </c>
      <c r="C816" s="16" t="s">
        <v>1778</v>
      </c>
      <c r="D816" s="16" t="s">
        <v>18</v>
      </c>
      <c r="E816" s="16" t="s">
        <v>555</v>
      </c>
      <c r="G816" s="16" t="s">
        <v>1770</v>
      </c>
      <c r="H816" s="16" t="s">
        <v>33</v>
      </c>
    </row>
    <row r="817" spans="1:8" x14ac:dyDescent="0.3">
      <c r="A817" s="16" t="s">
        <v>2653</v>
      </c>
      <c r="B817" s="16" t="s">
        <v>2654</v>
      </c>
      <c r="C817" s="16" t="s">
        <v>1778</v>
      </c>
      <c r="D817" s="16" t="s">
        <v>18</v>
      </c>
      <c r="E817" s="16" t="s">
        <v>555</v>
      </c>
      <c r="G817" s="16" t="s">
        <v>1770</v>
      </c>
      <c r="H817" s="16" t="s">
        <v>33</v>
      </c>
    </row>
    <row r="818" spans="1:8" x14ac:dyDescent="0.3">
      <c r="A818" s="16" t="s">
        <v>2655</v>
      </c>
      <c r="B818" s="16" t="s">
        <v>2656</v>
      </c>
      <c r="C818" s="16" t="s">
        <v>1778</v>
      </c>
      <c r="D818" s="16" t="s">
        <v>18</v>
      </c>
      <c r="E818" s="16" t="s">
        <v>555</v>
      </c>
      <c r="G818" s="16" t="s">
        <v>1770</v>
      </c>
      <c r="H818" s="16" t="s">
        <v>33</v>
      </c>
    </row>
    <row r="819" spans="1:8" x14ac:dyDescent="0.3">
      <c r="A819" s="16" t="s">
        <v>2657</v>
      </c>
      <c r="B819" s="16" t="s">
        <v>2658</v>
      </c>
      <c r="C819" s="16" t="s">
        <v>1778</v>
      </c>
      <c r="D819" s="16" t="s">
        <v>18</v>
      </c>
      <c r="E819" s="16" t="s">
        <v>555</v>
      </c>
      <c r="G819" s="16" t="s">
        <v>1770</v>
      </c>
      <c r="H819" s="16" t="s">
        <v>33</v>
      </c>
    </row>
    <row r="820" spans="1:8" x14ac:dyDescent="0.3">
      <c r="A820" s="16" t="s">
        <v>2659</v>
      </c>
      <c r="B820" s="16" t="s">
        <v>2660</v>
      </c>
      <c r="C820" s="16" t="s">
        <v>1778</v>
      </c>
      <c r="D820" s="16" t="s">
        <v>18</v>
      </c>
      <c r="E820" s="16" t="s">
        <v>555</v>
      </c>
      <c r="G820" s="16" t="s">
        <v>1770</v>
      </c>
      <c r="H820" s="16" t="s">
        <v>33</v>
      </c>
    </row>
    <row r="821" spans="1:8" x14ac:dyDescent="0.3">
      <c r="A821" s="16" t="s">
        <v>2661</v>
      </c>
      <c r="B821" s="16" t="s">
        <v>2662</v>
      </c>
      <c r="C821" s="16" t="s">
        <v>1778</v>
      </c>
      <c r="D821" s="16" t="s">
        <v>18</v>
      </c>
      <c r="E821" s="16" t="s">
        <v>555</v>
      </c>
      <c r="G821" s="16" t="s">
        <v>1770</v>
      </c>
      <c r="H821" s="16" t="s">
        <v>33</v>
      </c>
    </row>
    <row r="822" spans="1:8" x14ac:dyDescent="0.3">
      <c r="A822" s="16" t="s">
        <v>2663</v>
      </c>
      <c r="B822" s="16" t="s">
        <v>2664</v>
      </c>
      <c r="C822" s="16" t="s">
        <v>1778</v>
      </c>
      <c r="D822" s="16" t="s">
        <v>18</v>
      </c>
      <c r="E822" s="16" t="s">
        <v>555</v>
      </c>
      <c r="G822" s="16" t="s">
        <v>1770</v>
      </c>
      <c r="H822" s="16" t="s">
        <v>33</v>
      </c>
    </row>
    <row r="823" spans="1:8" x14ac:dyDescent="0.3">
      <c r="A823" s="16" t="s">
        <v>2665</v>
      </c>
      <c r="B823" s="16" t="s">
        <v>2666</v>
      </c>
      <c r="C823" s="16" t="s">
        <v>1778</v>
      </c>
      <c r="D823" s="16" t="s">
        <v>18</v>
      </c>
      <c r="E823" s="16" t="s">
        <v>555</v>
      </c>
      <c r="G823" s="16" t="s">
        <v>1770</v>
      </c>
      <c r="H823" s="16" t="s">
        <v>33</v>
      </c>
    </row>
    <row r="824" spans="1:8" x14ac:dyDescent="0.3">
      <c r="A824" s="16" t="s">
        <v>2667</v>
      </c>
      <c r="B824" s="16" t="s">
        <v>2668</v>
      </c>
      <c r="C824" s="16" t="s">
        <v>1778</v>
      </c>
      <c r="D824" s="16" t="s">
        <v>18</v>
      </c>
      <c r="E824" s="16" t="s">
        <v>555</v>
      </c>
      <c r="G824" s="16" t="s">
        <v>1770</v>
      </c>
      <c r="H824" s="16" t="s">
        <v>33</v>
      </c>
    </row>
    <row r="825" spans="1:8" x14ac:dyDescent="0.3">
      <c r="A825" s="16" t="s">
        <v>2669</v>
      </c>
      <c r="B825" s="16" t="s">
        <v>2670</v>
      </c>
      <c r="C825" s="16" t="s">
        <v>1778</v>
      </c>
      <c r="D825" s="16" t="s">
        <v>18</v>
      </c>
      <c r="E825" s="16" t="s">
        <v>555</v>
      </c>
      <c r="G825" s="16" t="s">
        <v>1770</v>
      </c>
      <c r="H825" s="16" t="s">
        <v>33</v>
      </c>
    </row>
    <row r="826" spans="1:8" x14ac:dyDescent="0.3">
      <c r="A826" s="16" t="s">
        <v>2671</v>
      </c>
      <c r="B826" s="16" t="s">
        <v>2672</v>
      </c>
      <c r="C826" s="16" t="s">
        <v>1778</v>
      </c>
      <c r="D826" s="16" t="s">
        <v>18</v>
      </c>
      <c r="E826" s="16" t="s">
        <v>555</v>
      </c>
      <c r="G826" s="16" t="s">
        <v>1770</v>
      </c>
      <c r="H826" s="16" t="s">
        <v>33</v>
      </c>
    </row>
    <row r="827" spans="1:8" x14ac:dyDescent="0.3">
      <c r="A827" s="16" t="s">
        <v>2673</v>
      </c>
      <c r="B827" s="16" t="s">
        <v>2674</v>
      </c>
      <c r="C827" s="16" t="s">
        <v>1778</v>
      </c>
      <c r="D827" s="16" t="s">
        <v>18</v>
      </c>
      <c r="E827" s="16" t="s">
        <v>555</v>
      </c>
      <c r="G827" s="16" t="s">
        <v>1770</v>
      </c>
      <c r="H827" s="16" t="s">
        <v>33</v>
      </c>
    </row>
    <row r="828" spans="1:8" x14ac:dyDescent="0.3">
      <c r="A828" s="16" t="s">
        <v>2675</v>
      </c>
      <c r="B828" s="16" t="s">
        <v>2676</v>
      </c>
      <c r="C828" s="16" t="s">
        <v>1778</v>
      </c>
      <c r="D828" s="16" t="s">
        <v>18</v>
      </c>
      <c r="E828" s="16" t="s">
        <v>555</v>
      </c>
      <c r="G828" s="16" t="s">
        <v>1770</v>
      </c>
      <c r="H828" s="16" t="s">
        <v>33</v>
      </c>
    </row>
    <row r="829" spans="1:8" x14ac:dyDescent="0.3">
      <c r="A829" s="16" t="s">
        <v>2677</v>
      </c>
      <c r="B829" s="16" t="s">
        <v>2678</v>
      </c>
      <c r="C829" s="16" t="s">
        <v>1778</v>
      </c>
      <c r="D829" s="16" t="s">
        <v>18</v>
      </c>
      <c r="E829" s="16" t="s">
        <v>555</v>
      </c>
      <c r="G829" s="16" t="s">
        <v>1770</v>
      </c>
      <c r="H829" s="16" t="s">
        <v>33</v>
      </c>
    </row>
    <row r="830" spans="1:8" x14ac:dyDescent="0.3">
      <c r="A830" s="16" t="s">
        <v>2679</v>
      </c>
      <c r="B830" s="16" t="s">
        <v>2680</v>
      </c>
      <c r="C830" s="16" t="s">
        <v>1778</v>
      </c>
      <c r="D830" s="16" t="s">
        <v>18</v>
      </c>
      <c r="E830" s="16" t="s">
        <v>555</v>
      </c>
      <c r="G830" s="16" t="s">
        <v>1770</v>
      </c>
      <c r="H830" s="16" t="s">
        <v>33</v>
      </c>
    </row>
    <row r="831" spans="1:8" x14ac:dyDescent="0.3">
      <c r="A831" s="16" t="s">
        <v>2681</v>
      </c>
      <c r="B831" s="16" t="s">
        <v>2682</v>
      </c>
      <c r="C831" s="16" t="s">
        <v>1778</v>
      </c>
      <c r="D831" s="16" t="s">
        <v>18</v>
      </c>
      <c r="E831" s="16" t="s">
        <v>555</v>
      </c>
      <c r="G831" s="16" t="s">
        <v>1770</v>
      </c>
      <c r="H831" s="16" t="s">
        <v>33</v>
      </c>
    </row>
    <row r="832" spans="1:8" x14ac:dyDescent="0.3">
      <c r="A832" s="16" t="s">
        <v>2683</v>
      </c>
      <c r="B832" s="16" t="s">
        <v>2684</v>
      </c>
      <c r="C832" s="16" t="s">
        <v>1778</v>
      </c>
      <c r="D832" s="16" t="s">
        <v>18</v>
      </c>
      <c r="E832" s="16" t="s">
        <v>555</v>
      </c>
      <c r="G832" s="16" t="s">
        <v>1770</v>
      </c>
      <c r="H832" s="16" t="s">
        <v>33</v>
      </c>
    </row>
    <row r="833" spans="1:8" x14ac:dyDescent="0.3">
      <c r="A833" s="16" t="s">
        <v>2685</v>
      </c>
      <c r="B833" s="16" t="s">
        <v>2686</v>
      </c>
      <c r="C833" s="16" t="s">
        <v>1778</v>
      </c>
      <c r="D833" s="16" t="s">
        <v>18</v>
      </c>
      <c r="E833" s="16" t="s">
        <v>555</v>
      </c>
      <c r="G833" s="16" t="s">
        <v>1770</v>
      </c>
      <c r="H833" s="16" t="s">
        <v>33</v>
      </c>
    </row>
    <row r="834" spans="1:8" x14ac:dyDescent="0.3">
      <c r="A834" s="16" t="s">
        <v>2687</v>
      </c>
      <c r="B834" s="16" t="s">
        <v>2688</v>
      </c>
      <c r="C834" s="16" t="s">
        <v>1778</v>
      </c>
      <c r="D834" s="16" t="s">
        <v>18</v>
      </c>
      <c r="E834" s="16" t="s">
        <v>555</v>
      </c>
      <c r="G834" s="16" t="s">
        <v>1770</v>
      </c>
      <c r="H834" s="16" t="s">
        <v>33</v>
      </c>
    </row>
    <row r="835" spans="1:8" x14ac:dyDescent="0.3">
      <c r="A835" s="16" t="s">
        <v>2689</v>
      </c>
      <c r="B835" s="16" t="s">
        <v>2690</v>
      </c>
      <c r="C835" s="16" t="s">
        <v>1778</v>
      </c>
      <c r="D835" s="16" t="s">
        <v>2042</v>
      </c>
      <c r="E835" s="16" t="s">
        <v>555</v>
      </c>
      <c r="H835" s="16" t="s">
        <v>33</v>
      </c>
    </row>
    <row r="836" spans="1:8" x14ac:dyDescent="0.3">
      <c r="A836" s="16" t="s">
        <v>207</v>
      </c>
      <c r="B836" s="16" t="s">
        <v>209</v>
      </c>
      <c r="C836" s="16" t="s">
        <v>1779</v>
      </c>
      <c r="D836" s="16" t="s">
        <v>18</v>
      </c>
      <c r="E836" s="16" t="s">
        <v>555</v>
      </c>
      <c r="G836" s="16" t="s">
        <v>1127</v>
      </c>
      <c r="H836" s="16" t="s">
        <v>33</v>
      </c>
    </row>
    <row r="837" spans="1:8" x14ac:dyDescent="0.3">
      <c r="A837" s="16" t="s">
        <v>2691</v>
      </c>
      <c r="B837" s="16" t="s">
        <v>2692</v>
      </c>
      <c r="C837" s="16" t="s">
        <v>1779</v>
      </c>
      <c r="D837" s="16" t="s">
        <v>2042</v>
      </c>
      <c r="E837" s="16" t="s">
        <v>555</v>
      </c>
      <c r="H837" s="16" t="s">
        <v>33</v>
      </c>
    </row>
    <row r="838" spans="1:8" x14ac:dyDescent="0.3">
      <c r="A838" s="16" t="s">
        <v>2691</v>
      </c>
      <c r="B838" s="16" t="s">
        <v>2692</v>
      </c>
      <c r="C838" s="16" t="s">
        <v>1778</v>
      </c>
      <c r="D838" s="16" t="s">
        <v>2042</v>
      </c>
      <c r="E838" s="16" t="s">
        <v>555</v>
      </c>
      <c r="H838" s="16" t="s">
        <v>33</v>
      </c>
    </row>
    <row r="839" spans="1:8" x14ac:dyDescent="0.3">
      <c r="A839" s="16" t="s">
        <v>2691</v>
      </c>
      <c r="B839" s="16" t="s">
        <v>2693</v>
      </c>
      <c r="C839" s="16" t="s">
        <v>1779</v>
      </c>
      <c r="D839" s="16" t="s">
        <v>18</v>
      </c>
      <c r="E839" s="16" t="s">
        <v>555</v>
      </c>
      <c r="G839" s="16" t="s">
        <v>1770</v>
      </c>
      <c r="H839" s="16" t="s">
        <v>33</v>
      </c>
    </row>
    <row r="840" spans="1:8" x14ac:dyDescent="0.3">
      <c r="A840" s="16" t="s">
        <v>2694</v>
      </c>
      <c r="B840" s="16" t="s">
        <v>2695</v>
      </c>
      <c r="C840" s="16" t="s">
        <v>1778</v>
      </c>
      <c r="D840" s="16" t="s">
        <v>2042</v>
      </c>
      <c r="E840" s="16" t="s">
        <v>555</v>
      </c>
      <c r="H840" s="16" t="s">
        <v>33</v>
      </c>
    </row>
    <row r="841" spans="1:8" x14ac:dyDescent="0.3">
      <c r="A841" s="16" t="s">
        <v>2696</v>
      </c>
      <c r="B841" s="16" t="s">
        <v>2697</v>
      </c>
      <c r="C841" s="16" t="s">
        <v>1779</v>
      </c>
      <c r="D841" s="16" t="s">
        <v>2042</v>
      </c>
      <c r="E841" s="16" t="s">
        <v>555</v>
      </c>
      <c r="H841" s="16" t="s">
        <v>33</v>
      </c>
    </row>
    <row r="842" spans="1:8" x14ac:dyDescent="0.3">
      <c r="A842" s="16" t="s">
        <v>2696</v>
      </c>
      <c r="B842" s="16" t="s">
        <v>2697</v>
      </c>
      <c r="C842" s="16" t="s">
        <v>1915</v>
      </c>
      <c r="D842" s="16" t="s">
        <v>2042</v>
      </c>
      <c r="E842" s="16" t="s">
        <v>555</v>
      </c>
      <c r="H842" s="16" t="s">
        <v>33</v>
      </c>
    </row>
    <row r="843" spans="1:8" x14ac:dyDescent="0.3">
      <c r="A843" s="16" t="s">
        <v>2696</v>
      </c>
      <c r="B843" s="16" t="s">
        <v>2697</v>
      </c>
      <c r="C843" s="16" t="s">
        <v>1778</v>
      </c>
      <c r="D843" s="16" t="s">
        <v>2042</v>
      </c>
      <c r="E843" s="16" t="s">
        <v>555</v>
      </c>
      <c r="H843" s="16" t="s">
        <v>33</v>
      </c>
    </row>
    <row r="844" spans="1:8" x14ac:dyDescent="0.3">
      <c r="A844" s="16" t="s">
        <v>2696</v>
      </c>
      <c r="B844" s="16" t="s">
        <v>2698</v>
      </c>
      <c r="C844" s="16" t="s">
        <v>1779</v>
      </c>
      <c r="D844" s="16" t="s">
        <v>18</v>
      </c>
      <c r="E844" s="16" t="s">
        <v>555</v>
      </c>
      <c r="G844" s="16" t="s">
        <v>1770</v>
      </c>
      <c r="H844" s="16" t="s">
        <v>33</v>
      </c>
    </row>
    <row r="845" spans="1:8" x14ac:dyDescent="0.3">
      <c r="A845" s="16" t="s">
        <v>2696</v>
      </c>
      <c r="B845" s="16" t="s">
        <v>2699</v>
      </c>
      <c r="C845" s="16" t="s">
        <v>1915</v>
      </c>
      <c r="D845" s="16" t="s">
        <v>18</v>
      </c>
      <c r="E845" s="16" t="s">
        <v>555</v>
      </c>
      <c r="G845" s="16" t="s">
        <v>1770</v>
      </c>
      <c r="H845" s="16" t="s">
        <v>33</v>
      </c>
    </row>
    <row r="846" spans="1:8" x14ac:dyDescent="0.3">
      <c r="A846" s="16" t="s">
        <v>2696</v>
      </c>
      <c r="B846" s="16" t="s">
        <v>2700</v>
      </c>
      <c r="C846" s="16" t="s">
        <v>1778</v>
      </c>
      <c r="D846" s="16" t="s">
        <v>18</v>
      </c>
      <c r="E846" s="16" t="s">
        <v>555</v>
      </c>
      <c r="G846" s="16" t="s">
        <v>1770</v>
      </c>
      <c r="H846" s="16" t="s">
        <v>33</v>
      </c>
    </row>
    <row r="847" spans="1:8" x14ac:dyDescent="0.3">
      <c r="A847" s="16" t="s">
        <v>2701</v>
      </c>
      <c r="B847" s="16" t="s">
        <v>2702</v>
      </c>
      <c r="C847" s="16" t="s">
        <v>1778</v>
      </c>
      <c r="D847" s="16" t="s">
        <v>50</v>
      </c>
      <c r="E847" s="16" t="s">
        <v>555</v>
      </c>
      <c r="H847" s="16" t="s">
        <v>33</v>
      </c>
    </row>
    <row r="848" spans="1:8" x14ac:dyDescent="0.3">
      <c r="A848" s="16" t="s">
        <v>2703</v>
      </c>
      <c r="B848" s="16" t="s">
        <v>2704</v>
      </c>
      <c r="C848" s="16" t="s">
        <v>1778</v>
      </c>
      <c r="D848" s="16" t="s">
        <v>50</v>
      </c>
      <c r="E848" s="16" t="s">
        <v>555</v>
      </c>
      <c r="H848" s="16" t="s">
        <v>33</v>
      </c>
    </row>
    <row r="849" spans="1:8" x14ac:dyDescent="0.3">
      <c r="A849" s="16" t="s">
        <v>2705</v>
      </c>
      <c r="B849" s="16" t="s">
        <v>2706</v>
      </c>
      <c r="C849" s="16" t="s">
        <v>1778</v>
      </c>
      <c r="D849" s="16" t="s">
        <v>2042</v>
      </c>
      <c r="E849" s="16" t="s">
        <v>555</v>
      </c>
      <c r="H849" s="16" t="s">
        <v>33</v>
      </c>
    </row>
    <row r="850" spans="1:8" x14ac:dyDescent="0.3">
      <c r="A850" s="16" t="s">
        <v>2707</v>
      </c>
      <c r="B850" s="16" t="s">
        <v>2708</v>
      </c>
      <c r="C850" s="16" t="s">
        <v>1778</v>
      </c>
      <c r="D850" s="16" t="s">
        <v>50</v>
      </c>
      <c r="E850" s="16" t="s">
        <v>555</v>
      </c>
      <c r="H850" s="16" t="s">
        <v>33</v>
      </c>
    </row>
    <row r="851" spans="1:8" x14ac:dyDescent="0.3">
      <c r="A851" s="16" t="s">
        <v>2709</v>
      </c>
      <c r="B851" s="16" t="s">
        <v>2710</v>
      </c>
      <c r="C851" s="16" t="s">
        <v>1778</v>
      </c>
      <c r="D851" s="16" t="s">
        <v>2042</v>
      </c>
      <c r="E851" s="16" t="s">
        <v>555</v>
      </c>
      <c r="H851" s="16" t="s">
        <v>33</v>
      </c>
    </row>
    <row r="852" spans="1:8" x14ac:dyDescent="0.3">
      <c r="A852" s="16" t="s">
        <v>2711</v>
      </c>
      <c r="B852" s="16" t="s">
        <v>2712</v>
      </c>
      <c r="C852" s="16" t="s">
        <v>1778</v>
      </c>
      <c r="D852" s="16" t="s">
        <v>50</v>
      </c>
      <c r="E852" s="16" t="s">
        <v>555</v>
      </c>
      <c r="H852" s="16" t="s">
        <v>33</v>
      </c>
    </row>
    <row r="853" spans="1:8" x14ac:dyDescent="0.3">
      <c r="A853" s="16" t="s">
        <v>2713</v>
      </c>
      <c r="B853" s="16" t="s">
        <v>2714</v>
      </c>
      <c r="C853" s="16" t="s">
        <v>1778</v>
      </c>
      <c r="D853" s="16" t="s">
        <v>2042</v>
      </c>
      <c r="E853" s="16" t="s">
        <v>555</v>
      </c>
      <c r="H853" s="16" t="s">
        <v>33</v>
      </c>
    </row>
    <row r="854" spans="1:8" x14ac:dyDescent="0.3">
      <c r="A854" s="16" t="s">
        <v>2715</v>
      </c>
      <c r="B854" s="16" t="s">
        <v>2716</v>
      </c>
      <c r="C854" s="16" t="s">
        <v>1778</v>
      </c>
      <c r="D854" s="16" t="s">
        <v>50</v>
      </c>
      <c r="E854" s="16" t="s">
        <v>555</v>
      </c>
      <c r="H854" s="16" t="s">
        <v>33</v>
      </c>
    </row>
    <row r="855" spans="1:8" x14ac:dyDescent="0.3">
      <c r="A855" s="16" t="s">
        <v>2717</v>
      </c>
      <c r="B855" s="16" t="s">
        <v>2718</v>
      </c>
      <c r="C855" s="16" t="s">
        <v>1778</v>
      </c>
      <c r="D855" s="16" t="s">
        <v>50</v>
      </c>
      <c r="E855" s="16" t="s">
        <v>555</v>
      </c>
      <c r="H855" s="16" t="s">
        <v>33</v>
      </c>
    </row>
    <row r="856" spans="1:8" x14ac:dyDescent="0.3">
      <c r="A856" s="16" t="s">
        <v>2719</v>
      </c>
      <c r="B856" s="16" t="s">
        <v>2720</v>
      </c>
      <c r="C856" s="16" t="s">
        <v>1778</v>
      </c>
      <c r="D856" s="16" t="s">
        <v>2042</v>
      </c>
      <c r="E856" s="16" t="s">
        <v>555</v>
      </c>
      <c r="H856" s="16" t="s">
        <v>33</v>
      </c>
    </row>
    <row r="857" spans="1:8" x14ac:dyDescent="0.3">
      <c r="A857" s="16" t="s">
        <v>2721</v>
      </c>
      <c r="B857" s="16" t="s">
        <v>2722</v>
      </c>
      <c r="C857" s="16" t="s">
        <v>1778</v>
      </c>
      <c r="D857" s="16" t="s">
        <v>50</v>
      </c>
      <c r="E857" s="16" t="s">
        <v>555</v>
      </c>
      <c r="H857" s="16" t="s">
        <v>33</v>
      </c>
    </row>
    <row r="858" spans="1:8" x14ac:dyDescent="0.3">
      <c r="A858" s="16" t="s">
        <v>2723</v>
      </c>
      <c r="B858" s="16" t="s">
        <v>2724</v>
      </c>
      <c r="C858" s="16" t="s">
        <v>1778</v>
      </c>
      <c r="D858" s="16" t="s">
        <v>50</v>
      </c>
      <c r="E858" s="16" t="s">
        <v>555</v>
      </c>
      <c r="H858" s="16" t="s">
        <v>33</v>
      </c>
    </row>
    <row r="859" spans="1:8" x14ac:dyDescent="0.3">
      <c r="A859" s="16" t="s">
        <v>2725</v>
      </c>
      <c r="B859" s="16" t="s">
        <v>2726</v>
      </c>
      <c r="C859" s="16" t="s">
        <v>1778</v>
      </c>
      <c r="D859" s="16" t="s">
        <v>50</v>
      </c>
      <c r="E859" s="16" t="s">
        <v>555</v>
      </c>
      <c r="H859" s="16" t="s">
        <v>33</v>
      </c>
    </row>
    <row r="860" spans="1:8" x14ac:dyDescent="0.3">
      <c r="A860" s="16" t="s">
        <v>2727</v>
      </c>
      <c r="B860" s="16" t="s">
        <v>2728</v>
      </c>
      <c r="C860" s="16" t="s">
        <v>1778</v>
      </c>
      <c r="D860" s="16" t="s">
        <v>50</v>
      </c>
      <c r="E860" s="16" t="s">
        <v>555</v>
      </c>
      <c r="H860" s="16" t="s">
        <v>33</v>
      </c>
    </row>
    <row r="861" spans="1:8" x14ac:dyDescent="0.3">
      <c r="A861" s="16" t="s">
        <v>2729</v>
      </c>
      <c r="B861" s="16" t="s">
        <v>2730</v>
      </c>
      <c r="C861" s="16" t="s">
        <v>1778</v>
      </c>
      <c r="D861" s="16" t="s">
        <v>2042</v>
      </c>
      <c r="E861" s="16" t="s">
        <v>555</v>
      </c>
      <c r="H861" s="16" t="s">
        <v>33</v>
      </c>
    </row>
    <row r="862" spans="1:8" x14ac:dyDescent="0.3">
      <c r="A862" s="16" t="s">
        <v>2731</v>
      </c>
      <c r="B862" s="16" t="s">
        <v>2732</v>
      </c>
      <c r="C862" s="16" t="s">
        <v>1778</v>
      </c>
      <c r="D862" s="16" t="s">
        <v>2042</v>
      </c>
      <c r="E862" s="16" t="s">
        <v>555</v>
      </c>
      <c r="H862" s="16" t="s">
        <v>33</v>
      </c>
    </row>
    <row r="863" spans="1:8" x14ac:dyDescent="0.3">
      <c r="A863" s="16" t="s">
        <v>2733</v>
      </c>
      <c r="B863" s="16" t="s">
        <v>2734</v>
      </c>
      <c r="C863" s="16" t="s">
        <v>1778</v>
      </c>
      <c r="D863" s="16" t="s">
        <v>50</v>
      </c>
      <c r="E863" s="16" t="s">
        <v>555</v>
      </c>
      <c r="H863" s="16" t="s">
        <v>33</v>
      </c>
    </row>
    <row r="864" spans="1:8" x14ac:dyDescent="0.3">
      <c r="A864" s="16" t="s">
        <v>2735</v>
      </c>
      <c r="B864" s="16" t="s">
        <v>2736</v>
      </c>
      <c r="C864" s="16" t="s">
        <v>1778</v>
      </c>
      <c r="D864" s="16" t="s">
        <v>2042</v>
      </c>
      <c r="E864" s="16" t="s">
        <v>555</v>
      </c>
      <c r="H864" s="16" t="s">
        <v>33</v>
      </c>
    </row>
    <row r="865" spans="1:10" x14ac:dyDescent="0.3">
      <c r="A865" s="16" t="s">
        <v>2737</v>
      </c>
      <c r="B865" s="16" t="s">
        <v>2738</v>
      </c>
      <c r="C865" s="16" t="s">
        <v>1778</v>
      </c>
      <c r="D865" s="16" t="s">
        <v>50</v>
      </c>
      <c r="E865" s="16" t="s">
        <v>555</v>
      </c>
      <c r="H865" s="16" t="s">
        <v>33</v>
      </c>
    </row>
    <row r="866" spans="1:10" x14ac:dyDescent="0.3">
      <c r="A866" s="16" t="s">
        <v>2739</v>
      </c>
      <c r="B866" s="16" t="s">
        <v>2740</v>
      </c>
      <c r="C866" s="16" t="s">
        <v>1778</v>
      </c>
      <c r="D866" s="16" t="s">
        <v>2042</v>
      </c>
      <c r="E866" s="16" t="s">
        <v>555</v>
      </c>
      <c r="H866" s="16" t="s">
        <v>33</v>
      </c>
    </row>
    <row r="867" spans="1:10" x14ac:dyDescent="0.3">
      <c r="A867" s="16" t="s">
        <v>2741</v>
      </c>
      <c r="B867" s="16" t="s">
        <v>2742</v>
      </c>
      <c r="C867" s="16" t="s">
        <v>1778</v>
      </c>
      <c r="D867" s="16" t="s">
        <v>50</v>
      </c>
      <c r="E867" s="16" t="s">
        <v>555</v>
      </c>
      <c r="H867" s="16" t="s">
        <v>33</v>
      </c>
    </row>
    <row r="868" spans="1:10" x14ac:dyDescent="0.3">
      <c r="A868" s="16" t="s">
        <v>2743</v>
      </c>
      <c r="B868" s="16" t="s">
        <v>2744</v>
      </c>
      <c r="C868" s="16" t="s">
        <v>1778</v>
      </c>
      <c r="D868" s="16" t="s">
        <v>50</v>
      </c>
      <c r="E868" s="16" t="s">
        <v>555</v>
      </c>
      <c r="H868" s="16" t="s">
        <v>33</v>
      </c>
    </row>
    <row r="869" spans="1:10" x14ac:dyDescent="0.3">
      <c r="A869" s="16" t="s">
        <v>2745</v>
      </c>
      <c r="B869" s="16" t="s">
        <v>2746</v>
      </c>
      <c r="C869" s="16" t="s">
        <v>1778</v>
      </c>
      <c r="D869" s="16" t="s">
        <v>2042</v>
      </c>
      <c r="E869" s="16" t="s">
        <v>555</v>
      </c>
      <c r="H869" s="16" t="s">
        <v>33</v>
      </c>
    </row>
    <row r="870" spans="1:10" x14ac:dyDescent="0.3">
      <c r="A870" s="16" t="s">
        <v>2747</v>
      </c>
      <c r="B870" s="16" t="s">
        <v>2748</v>
      </c>
      <c r="C870" s="16" t="s">
        <v>1778</v>
      </c>
      <c r="D870" s="16" t="s">
        <v>50</v>
      </c>
      <c r="E870" s="16" t="s">
        <v>555</v>
      </c>
      <c r="H870" s="16" t="s">
        <v>33</v>
      </c>
    </row>
    <row r="871" spans="1:10" x14ac:dyDescent="0.3">
      <c r="A871" s="16" t="s">
        <v>2749</v>
      </c>
      <c r="B871" s="16" t="s">
        <v>2750</v>
      </c>
      <c r="C871" s="16" t="s">
        <v>1778</v>
      </c>
      <c r="D871" s="16" t="s">
        <v>2042</v>
      </c>
      <c r="E871" s="16" t="s">
        <v>555</v>
      </c>
      <c r="H871" s="16" t="s">
        <v>33</v>
      </c>
    </row>
    <row r="872" spans="1:10" x14ac:dyDescent="0.3">
      <c r="A872" s="16" t="s">
        <v>2751</v>
      </c>
      <c r="B872" s="16" t="s">
        <v>2752</v>
      </c>
      <c r="C872" s="16" t="s">
        <v>1778</v>
      </c>
      <c r="D872" s="16" t="s">
        <v>2042</v>
      </c>
      <c r="E872" s="16" t="s">
        <v>555</v>
      </c>
      <c r="H872" s="16" t="s">
        <v>33</v>
      </c>
    </row>
    <row r="873" spans="1:10" x14ac:dyDescent="0.3">
      <c r="A873" s="16" t="s">
        <v>2753</v>
      </c>
      <c r="B873" s="16" t="s">
        <v>2754</v>
      </c>
      <c r="C873" s="16" t="s">
        <v>1778</v>
      </c>
      <c r="D873" s="16" t="s">
        <v>2042</v>
      </c>
      <c r="E873" s="16" t="s">
        <v>555</v>
      </c>
      <c r="H873" s="16" t="s">
        <v>33</v>
      </c>
    </row>
    <row r="874" spans="1:10" x14ac:dyDescent="0.3">
      <c r="A874" s="16" t="s">
        <v>2755</v>
      </c>
      <c r="B874" s="16" t="s">
        <v>2756</v>
      </c>
      <c r="C874" s="16" t="s">
        <v>1778</v>
      </c>
      <c r="D874" s="16" t="s">
        <v>2042</v>
      </c>
      <c r="E874" s="16" t="s">
        <v>555</v>
      </c>
      <c r="H874" s="16" t="s">
        <v>33</v>
      </c>
    </row>
    <row r="875" spans="1:10" x14ac:dyDescent="0.3">
      <c r="A875" s="16" t="s">
        <v>330</v>
      </c>
      <c r="B875" s="16" t="s">
        <v>331</v>
      </c>
      <c r="C875" s="16" t="s">
        <v>1778</v>
      </c>
      <c r="D875" s="16" t="s">
        <v>18</v>
      </c>
      <c r="E875" s="16" t="s">
        <v>1791</v>
      </c>
      <c r="G875" s="16" t="s">
        <v>1127</v>
      </c>
      <c r="H875" s="16" t="s">
        <v>33</v>
      </c>
    </row>
    <row r="876" spans="1:10" x14ac:dyDescent="0.3">
      <c r="A876" s="16" t="s">
        <v>330</v>
      </c>
      <c r="B876" s="16" t="s">
        <v>1564</v>
      </c>
      <c r="C876" s="16" t="s">
        <v>1779</v>
      </c>
      <c r="D876" s="16" t="s">
        <v>18</v>
      </c>
      <c r="E876" s="16" t="s">
        <v>1791</v>
      </c>
      <c r="G876" s="16" t="s">
        <v>1127</v>
      </c>
      <c r="H876" s="16" t="s">
        <v>33</v>
      </c>
    </row>
    <row r="877" spans="1:10" x14ac:dyDescent="0.3">
      <c r="A877" s="16" t="s">
        <v>1138</v>
      </c>
      <c r="B877" s="16" t="s">
        <v>1139</v>
      </c>
      <c r="C877" s="16" t="s">
        <v>1915</v>
      </c>
      <c r="D877" s="16" t="s">
        <v>18</v>
      </c>
      <c r="E877" s="16" t="s">
        <v>539</v>
      </c>
      <c r="G877" s="16" t="s">
        <v>1103</v>
      </c>
      <c r="H877" s="16" t="s">
        <v>33</v>
      </c>
    </row>
    <row r="878" spans="1:10" x14ac:dyDescent="0.3">
      <c r="A878" s="16" t="s">
        <v>2757</v>
      </c>
      <c r="B878" s="16" t="s">
        <v>2758</v>
      </c>
      <c r="C878" s="16" t="s">
        <v>1769</v>
      </c>
      <c r="D878" s="16" t="s">
        <v>133</v>
      </c>
      <c r="E878" s="16" t="s">
        <v>1885</v>
      </c>
      <c r="H878" s="16" t="s">
        <v>33</v>
      </c>
    </row>
    <row r="879" spans="1:10" x14ac:dyDescent="0.3">
      <c r="A879" s="16" t="s">
        <v>444</v>
      </c>
      <c r="B879" s="16" t="s">
        <v>446</v>
      </c>
      <c r="C879" s="16" t="s">
        <v>1779</v>
      </c>
      <c r="D879" s="16" t="s">
        <v>388</v>
      </c>
      <c r="E879" s="16" t="s">
        <v>539</v>
      </c>
      <c r="H879" s="16" t="s">
        <v>33</v>
      </c>
      <c r="J879" s="16" t="s">
        <v>1988</v>
      </c>
    </row>
    <row r="880" spans="1:10" x14ac:dyDescent="0.3">
      <c r="A880" s="16" t="s">
        <v>2759</v>
      </c>
      <c r="B880" s="16" t="s">
        <v>2760</v>
      </c>
      <c r="C880" s="16" t="s">
        <v>1963</v>
      </c>
      <c r="D880" s="16" t="s">
        <v>18</v>
      </c>
      <c r="E880" s="16" t="s">
        <v>539</v>
      </c>
      <c r="G880" s="16" t="s">
        <v>1127</v>
      </c>
      <c r="H880" s="16" t="s">
        <v>33</v>
      </c>
    </row>
    <row r="881" spans="1:12" x14ac:dyDescent="0.3">
      <c r="A881" s="16" t="s">
        <v>162</v>
      </c>
      <c r="B881" s="16" t="s">
        <v>163</v>
      </c>
      <c r="C881" s="16" t="s">
        <v>1779</v>
      </c>
      <c r="D881" s="16" t="s">
        <v>18</v>
      </c>
      <c r="E881" s="16" t="s">
        <v>539</v>
      </c>
      <c r="G881" s="16" t="s">
        <v>1127</v>
      </c>
      <c r="H881" s="16" t="s">
        <v>33</v>
      </c>
    </row>
    <row r="882" spans="1:12" x14ac:dyDescent="0.3">
      <c r="A882" s="16" t="s">
        <v>1140</v>
      </c>
      <c r="B882" s="16" t="s">
        <v>1141</v>
      </c>
      <c r="C882" s="16" t="s">
        <v>1915</v>
      </c>
      <c r="D882" s="16" t="s">
        <v>18</v>
      </c>
      <c r="E882" s="16" t="s">
        <v>539</v>
      </c>
      <c r="G882" s="16" t="s">
        <v>1127</v>
      </c>
      <c r="H882" s="16" t="s">
        <v>33</v>
      </c>
    </row>
    <row r="883" spans="1:12" x14ac:dyDescent="0.3">
      <c r="A883" s="16" t="s">
        <v>2761</v>
      </c>
      <c r="B883" s="16" t="s">
        <v>2762</v>
      </c>
      <c r="C883" s="16" t="s">
        <v>1915</v>
      </c>
      <c r="D883" s="16" t="s">
        <v>133</v>
      </c>
      <c r="E883" s="16" t="s">
        <v>1791</v>
      </c>
      <c r="H883" s="16" t="s">
        <v>33</v>
      </c>
    </row>
    <row r="884" spans="1:12" x14ac:dyDescent="0.3">
      <c r="A884" s="16" t="s">
        <v>2763</v>
      </c>
      <c r="B884" s="16" t="s">
        <v>2764</v>
      </c>
      <c r="C884" s="16" t="s">
        <v>1915</v>
      </c>
      <c r="D884" s="16" t="s">
        <v>133</v>
      </c>
      <c r="E884" s="16" t="s">
        <v>2765</v>
      </c>
      <c r="H884" s="16" t="s">
        <v>33</v>
      </c>
    </row>
    <row r="885" spans="1:12" x14ac:dyDescent="0.3">
      <c r="A885" s="16" t="s">
        <v>2766</v>
      </c>
      <c r="B885" s="16" t="s">
        <v>2767</v>
      </c>
      <c r="C885" s="16" t="s">
        <v>1915</v>
      </c>
      <c r="D885" s="16" t="s">
        <v>133</v>
      </c>
      <c r="E885" s="16" t="s">
        <v>555</v>
      </c>
      <c r="H885" s="16" t="s">
        <v>33</v>
      </c>
    </row>
    <row r="886" spans="1:12" x14ac:dyDescent="0.3">
      <c r="A886" s="16" t="s">
        <v>1142</v>
      </c>
      <c r="B886" s="16" t="s">
        <v>1143</v>
      </c>
      <c r="C886" s="16" t="s">
        <v>1915</v>
      </c>
      <c r="D886" s="16" t="s">
        <v>18</v>
      </c>
      <c r="E886" s="16" t="s">
        <v>539</v>
      </c>
      <c r="G886" s="16" t="s">
        <v>1127</v>
      </c>
      <c r="H886" s="16" t="s">
        <v>33</v>
      </c>
    </row>
    <row r="887" spans="1:12" x14ac:dyDescent="0.3">
      <c r="A887" s="16" t="s">
        <v>2768</v>
      </c>
      <c r="B887" s="16" t="s">
        <v>2769</v>
      </c>
      <c r="C887" s="16" t="s">
        <v>1915</v>
      </c>
      <c r="D887" s="16" t="s">
        <v>133</v>
      </c>
      <c r="E887" s="16" t="s">
        <v>2765</v>
      </c>
      <c r="H887" s="16" t="s">
        <v>33</v>
      </c>
    </row>
    <row r="888" spans="1:12" x14ac:dyDescent="0.3">
      <c r="A888" s="16" t="s">
        <v>2770</v>
      </c>
      <c r="B888" s="16" t="s">
        <v>2771</v>
      </c>
      <c r="C888" s="16" t="s">
        <v>1915</v>
      </c>
      <c r="D888" s="16" t="s">
        <v>388</v>
      </c>
      <c r="E888" s="16" t="s">
        <v>539</v>
      </c>
      <c r="H888" s="16" t="s">
        <v>33</v>
      </c>
      <c r="J888" s="16" t="s">
        <v>32</v>
      </c>
    </row>
    <row r="889" spans="1:12" x14ac:dyDescent="0.3">
      <c r="A889" s="16" t="s">
        <v>2772</v>
      </c>
      <c r="B889" s="16" t="s">
        <v>2773</v>
      </c>
      <c r="C889" s="16" t="s">
        <v>1915</v>
      </c>
      <c r="D889" s="16" t="s">
        <v>388</v>
      </c>
      <c r="E889" s="16" t="s">
        <v>539</v>
      </c>
      <c r="H889" s="16" t="s">
        <v>33</v>
      </c>
      <c r="J889" s="16" t="s">
        <v>32</v>
      </c>
    </row>
    <row r="890" spans="1:12" x14ac:dyDescent="0.3">
      <c r="A890" s="16" t="s">
        <v>2774</v>
      </c>
      <c r="B890" s="16" t="s">
        <v>2775</v>
      </c>
      <c r="C890" s="16" t="s">
        <v>1915</v>
      </c>
      <c r="D890" s="16" t="s">
        <v>133</v>
      </c>
      <c r="E890" s="16" t="s">
        <v>2374</v>
      </c>
      <c r="H890" s="16" t="s">
        <v>33</v>
      </c>
    </row>
    <row r="891" spans="1:12" x14ac:dyDescent="0.3">
      <c r="A891" s="16" t="s">
        <v>2776</v>
      </c>
      <c r="B891" s="16" t="s">
        <v>2777</v>
      </c>
      <c r="C891" s="16" t="s">
        <v>1915</v>
      </c>
      <c r="D891" s="16" t="s">
        <v>18</v>
      </c>
      <c r="E891" s="16" t="s">
        <v>539</v>
      </c>
      <c r="G891" s="16" t="s">
        <v>1770</v>
      </c>
      <c r="H891" s="16" t="s">
        <v>33</v>
      </c>
    </row>
    <row r="892" spans="1:12" x14ac:dyDescent="0.3">
      <c r="A892" s="16" t="s">
        <v>2778</v>
      </c>
      <c r="B892" s="16" t="s">
        <v>2779</v>
      </c>
      <c r="C892" s="16" t="s">
        <v>1915</v>
      </c>
      <c r="D892" s="16" t="s">
        <v>388</v>
      </c>
      <c r="E892" s="16" t="s">
        <v>539</v>
      </c>
      <c r="H892" s="16" t="s">
        <v>33</v>
      </c>
      <c r="J892" s="16" t="s">
        <v>32</v>
      </c>
    </row>
    <row r="893" spans="1:12" x14ac:dyDescent="0.3">
      <c r="A893" s="16" t="s">
        <v>2780</v>
      </c>
      <c r="B893" s="16" t="s">
        <v>2781</v>
      </c>
      <c r="C893" s="16" t="s">
        <v>1915</v>
      </c>
      <c r="D893" s="16" t="s">
        <v>388</v>
      </c>
      <c r="E893" s="16" t="s">
        <v>539</v>
      </c>
      <c r="H893" s="16" t="s">
        <v>33</v>
      </c>
      <c r="J893" s="16" t="s">
        <v>32</v>
      </c>
      <c r="K893" s="16" t="s">
        <v>2782</v>
      </c>
      <c r="L893" s="16" t="s">
        <v>33</v>
      </c>
    </row>
    <row r="894" spans="1:12" x14ac:dyDescent="0.3">
      <c r="A894" s="16" t="s">
        <v>2783</v>
      </c>
      <c r="B894" s="16" t="s">
        <v>2784</v>
      </c>
      <c r="C894" s="16" t="s">
        <v>1915</v>
      </c>
      <c r="D894" s="16" t="s">
        <v>388</v>
      </c>
      <c r="E894" s="16" t="s">
        <v>539</v>
      </c>
      <c r="H894" s="16" t="s">
        <v>33</v>
      </c>
      <c r="J894" s="16" t="s">
        <v>32</v>
      </c>
      <c r="K894" s="16" t="s">
        <v>2785</v>
      </c>
    </row>
    <row r="895" spans="1:12" x14ac:dyDescent="0.3">
      <c r="A895" s="16" t="s">
        <v>2786</v>
      </c>
      <c r="B895" s="16" t="s">
        <v>2787</v>
      </c>
      <c r="C895" s="16" t="s">
        <v>1915</v>
      </c>
      <c r="D895" s="16" t="s">
        <v>133</v>
      </c>
      <c r="E895" s="16" t="s">
        <v>2765</v>
      </c>
      <c r="H895" s="16" t="s">
        <v>33</v>
      </c>
    </row>
    <row r="896" spans="1:12" x14ac:dyDescent="0.3">
      <c r="A896" s="16" t="s">
        <v>2788</v>
      </c>
      <c r="B896" s="16" t="s">
        <v>2789</v>
      </c>
      <c r="C896" s="16" t="s">
        <v>1769</v>
      </c>
      <c r="D896" s="16" t="s">
        <v>18</v>
      </c>
      <c r="E896" s="16" t="s">
        <v>1791</v>
      </c>
      <c r="G896" s="16" t="s">
        <v>1770</v>
      </c>
      <c r="H896" s="16" t="s">
        <v>33</v>
      </c>
      <c r="I896" s="16" t="s">
        <v>33</v>
      </c>
    </row>
    <row r="897" spans="1:10" x14ac:dyDescent="0.3">
      <c r="A897" s="16" t="s">
        <v>1565</v>
      </c>
      <c r="B897" s="16" t="s">
        <v>1566</v>
      </c>
      <c r="C897" s="16" t="s">
        <v>1779</v>
      </c>
      <c r="D897" s="16" t="s">
        <v>18</v>
      </c>
      <c r="E897" s="16" t="s">
        <v>1791</v>
      </c>
      <c r="G897" s="16" t="s">
        <v>1127</v>
      </c>
      <c r="H897" s="16" t="s">
        <v>33</v>
      </c>
    </row>
    <row r="898" spans="1:10" x14ac:dyDescent="0.3">
      <c r="A898" s="16" t="s">
        <v>2790</v>
      </c>
      <c r="B898" s="16" t="s">
        <v>2791</v>
      </c>
      <c r="C898" s="16" t="s">
        <v>1769</v>
      </c>
      <c r="D898" s="16" t="s">
        <v>133</v>
      </c>
      <c r="E898" s="16" t="s">
        <v>539</v>
      </c>
      <c r="H898" s="16" t="s">
        <v>33</v>
      </c>
    </row>
    <row r="899" spans="1:10" x14ac:dyDescent="0.3">
      <c r="A899" s="16" t="s">
        <v>2796</v>
      </c>
      <c r="B899" s="16" t="s">
        <v>2797</v>
      </c>
      <c r="C899" s="16" t="s">
        <v>1779</v>
      </c>
      <c r="D899" s="16" t="s">
        <v>388</v>
      </c>
      <c r="E899" s="16" t="s">
        <v>539</v>
      </c>
      <c r="H899" s="16" t="s">
        <v>33</v>
      </c>
      <c r="J899" s="16" t="s">
        <v>32</v>
      </c>
    </row>
    <row r="900" spans="1:10" x14ac:dyDescent="0.3">
      <c r="A900" s="16" t="s">
        <v>2798</v>
      </c>
      <c r="B900" s="16" t="s">
        <v>2799</v>
      </c>
      <c r="C900" s="16" t="s">
        <v>1779</v>
      </c>
      <c r="D900" s="16" t="s">
        <v>388</v>
      </c>
      <c r="E900" s="16" t="s">
        <v>539</v>
      </c>
      <c r="H900" s="16" t="s">
        <v>33</v>
      </c>
      <c r="J900" s="16" t="s">
        <v>32</v>
      </c>
    </row>
    <row r="901" spans="1:10" x14ac:dyDescent="0.3">
      <c r="A901" s="16" t="s">
        <v>2800</v>
      </c>
      <c r="B901" s="16" t="s">
        <v>2801</v>
      </c>
      <c r="C901" s="16" t="s">
        <v>1779</v>
      </c>
      <c r="D901" s="16" t="s">
        <v>18</v>
      </c>
      <c r="E901" s="16" t="s">
        <v>539</v>
      </c>
      <c r="G901" s="16" t="s">
        <v>1770</v>
      </c>
      <c r="H901" s="16" t="s">
        <v>33</v>
      </c>
    </row>
    <row r="902" spans="1:10" x14ac:dyDescent="0.3">
      <c r="A902" s="16" t="s">
        <v>1567</v>
      </c>
      <c r="B902" s="16" t="s">
        <v>1568</v>
      </c>
      <c r="C902" s="16" t="s">
        <v>1779</v>
      </c>
      <c r="D902" s="16" t="s">
        <v>18</v>
      </c>
      <c r="E902" s="16" t="s">
        <v>1791</v>
      </c>
      <c r="G902" s="16" t="s">
        <v>1103</v>
      </c>
      <c r="H902" s="16" t="s">
        <v>33</v>
      </c>
    </row>
    <row r="903" spans="1:10" x14ac:dyDescent="0.3">
      <c r="A903" s="16" t="s">
        <v>1122</v>
      </c>
      <c r="B903" s="16" t="s">
        <v>1123</v>
      </c>
      <c r="C903" s="16" t="s">
        <v>2092</v>
      </c>
      <c r="D903" s="16" t="s">
        <v>18</v>
      </c>
      <c r="E903" s="16" t="s">
        <v>539</v>
      </c>
      <c r="G903" s="16" t="s">
        <v>1103</v>
      </c>
      <c r="H903" s="16" t="s">
        <v>33</v>
      </c>
    </row>
    <row r="904" spans="1:10" x14ac:dyDescent="0.3">
      <c r="A904" s="16" t="s">
        <v>2802</v>
      </c>
      <c r="B904" s="16" t="s">
        <v>2803</v>
      </c>
      <c r="C904" s="16" t="s">
        <v>1779</v>
      </c>
      <c r="D904" s="16" t="s">
        <v>133</v>
      </c>
      <c r="E904" s="16" t="s">
        <v>539</v>
      </c>
      <c r="G904" s="16" t="s">
        <v>662</v>
      </c>
      <c r="H904" s="16" t="s">
        <v>33</v>
      </c>
    </row>
    <row r="905" spans="1:10" x14ac:dyDescent="0.3">
      <c r="A905" s="16" t="s">
        <v>2804</v>
      </c>
      <c r="B905" s="16" t="s">
        <v>2805</v>
      </c>
      <c r="C905" s="16" t="s">
        <v>1782</v>
      </c>
      <c r="D905" s="16" t="s">
        <v>18</v>
      </c>
      <c r="E905" s="16" t="s">
        <v>661</v>
      </c>
      <c r="G905" s="16" t="s">
        <v>1103</v>
      </c>
      <c r="H905" s="16" t="s">
        <v>33</v>
      </c>
    </row>
    <row r="906" spans="1:10" x14ac:dyDescent="0.3">
      <c r="A906" s="16" t="s">
        <v>3446</v>
      </c>
      <c r="B906" s="16" t="s">
        <v>3447</v>
      </c>
      <c r="C906" s="16" t="s">
        <v>1779</v>
      </c>
      <c r="D906" s="16" t="s">
        <v>18</v>
      </c>
      <c r="E906" s="16" t="s">
        <v>539</v>
      </c>
      <c r="G906" s="16" t="s">
        <v>1770</v>
      </c>
      <c r="H906" s="16" t="s">
        <v>33</v>
      </c>
    </row>
    <row r="907" spans="1:10" x14ac:dyDescent="0.3">
      <c r="A907" s="16" t="s">
        <v>1338</v>
      </c>
      <c r="B907" s="16" t="s">
        <v>1339</v>
      </c>
      <c r="C907" s="16" t="s">
        <v>1778</v>
      </c>
      <c r="D907" s="16" t="s">
        <v>18</v>
      </c>
      <c r="E907" s="16" t="s">
        <v>555</v>
      </c>
      <c r="G907" s="16" t="s">
        <v>1127</v>
      </c>
      <c r="H907" s="16" t="s">
        <v>33</v>
      </c>
    </row>
    <row r="908" spans="1:10" x14ac:dyDescent="0.3">
      <c r="A908" s="16" t="s">
        <v>2808</v>
      </c>
      <c r="B908" s="16" t="s">
        <v>2809</v>
      </c>
      <c r="C908" s="16" t="s">
        <v>1779</v>
      </c>
      <c r="D908" s="16" t="s">
        <v>388</v>
      </c>
      <c r="E908" s="16" t="s">
        <v>539</v>
      </c>
      <c r="H908" s="16" t="s">
        <v>33</v>
      </c>
      <c r="J908" s="16" t="s">
        <v>32</v>
      </c>
    </row>
    <row r="909" spans="1:10" x14ac:dyDescent="0.3">
      <c r="A909" s="16" t="s">
        <v>1340</v>
      </c>
      <c r="B909" s="16" t="s">
        <v>1341</v>
      </c>
      <c r="C909" s="16" t="s">
        <v>1778</v>
      </c>
      <c r="D909" s="16" t="s">
        <v>18</v>
      </c>
      <c r="E909" s="16" t="s">
        <v>539</v>
      </c>
      <c r="G909" s="16" t="s">
        <v>1127</v>
      </c>
      <c r="H909" s="16" t="s">
        <v>33</v>
      </c>
    </row>
    <row r="910" spans="1:10" x14ac:dyDescent="0.3">
      <c r="A910" s="16" t="s">
        <v>2810</v>
      </c>
      <c r="B910" s="16" t="s">
        <v>2811</v>
      </c>
      <c r="C910" s="16" t="s">
        <v>1779</v>
      </c>
      <c r="D910" s="16" t="s">
        <v>388</v>
      </c>
      <c r="E910" s="16" t="s">
        <v>539</v>
      </c>
      <c r="H910" s="16" t="s">
        <v>33</v>
      </c>
      <c r="J910" s="16" t="s">
        <v>32</v>
      </c>
    </row>
    <row r="911" spans="1:10" x14ac:dyDescent="0.3">
      <c r="A911" s="16" t="s">
        <v>2812</v>
      </c>
      <c r="B911" s="16" t="s">
        <v>2813</v>
      </c>
      <c r="C911" s="16" t="s">
        <v>1778</v>
      </c>
      <c r="D911" s="16" t="s">
        <v>18</v>
      </c>
      <c r="E911" s="16" t="s">
        <v>539</v>
      </c>
      <c r="G911" s="16" t="s">
        <v>1770</v>
      </c>
      <c r="H911" s="16" t="s">
        <v>33</v>
      </c>
    </row>
    <row r="912" spans="1:10" x14ac:dyDescent="0.3">
      <c r="A912" s="16" t="s">
        <v>2814</v>
      </c>
      <c r="B912" s="16" t="s">
        <v>2815</v>
      </c>
      <c r="C912" s="16" t="s">
        <v>1782</v>
      </c>
      <c r="D912" s="16" t="s">
        <v>18</v>
      </c>
      <c r="E912" s="16" t="s">
        <v>1791</v>
      </c>
      <c r="G912" s="16" t="s">
        <v>1103</v>
      </c>
      <c r="H912" s="16" t="s">
        <v>33</v>
      </c>
    </row>
    <row r="913" spans="1:12" x14ac:dyDescent="0.3">
      <c r="A913" s="16" t="s">
        <v>2816</v>
      </c>
      <c r="B913" s="16" t="s">
        <v>2817</v>
      </c>
      <c r="C913" s="16" t="s">
        <v>1779</v>
      </c>
      <c r="D913" s="16" t="s">
        <v>133</v>
      </c>
      <c r="E913" s="16" t="s">
        <v>1791</v>
      </c>
      <c r="H913" s="16" t="s">
        <v>33</v>
      </c>
    </row>
    <row r="914" spans="1:12" x14ac:dyDescent="0.3">
      <c r="A914" s="16" t="s">
        <v>2818</v>
      </c>
      <c r="B914" s="16" t="s">
        <v>2819</v>
      </c>
      <c r="C914" s="16" t="s">
        <v>1779</v>
      </c>
      <c r="D914" s="16" t="s">
        <v>133</v>
      </c>
      <c r="E914" s="16" t="s">
        <v>1791</v>
      </c>
      <c r="H914" s="16" t="s">
        <v>33</v>
      </c>
    </row>
    <row r="915" spans="1:12" x14ac:dyDescent="0.3">
      <c r="A915" s="16" t="s">
        <v>1342</v>
      </c>
      <c r="B915" s="16" t="s">
        <v>1343</v>
      </c>
      <c r="C915" s="16" t="s">
        <v>1778</v>
      </c>
      <c r="D915" s="16" t="s">
        <v>18</v>
      </c>
      <c r="E915" s="16" t="s">
        <v>539</v>
      </c>
      <c r="G915" s="16" t="s">
        <v>1127</v>
      </c>
      <c r="H915" s="16" t="s">
        <v>33</v>
      </c>
    </row>
    <row r="916" spans="1:12" x14ac:dyDescent="0.3">
      <c r="A916" s="16" t="s">
        <v>2820</v>
      </c>
      <c r="B916" s="16" t="s">
        <v>2821</v>
      </c>
      <c r="C916" s="16" t="s">
        <v>1779</v>
      </c>
      <c r="D916" s="16" t="s">
        <v>388</v>
      </c>
      <c r="E916" s="16" t="s">
        <v>539</v>
      </c>
      <c r="H916" s="16" t="s">
        <v>33</v>
      </c>
      <c r="J916" s="16" t="s">
        <v>32</v>
      </c>
    </row>
    <row r="917" spans="1:12" x14ac:dyDescent="0.3">
      <c r="A917" s="16" t="s">
        <v>2822</v>
      </c>
      <c r="B917" s="16" t="s">
        <v>2823</v>
      </c>
      <c r="C917" s="16" t="s">
        <v>1782</v>
      </c>
      <c r="D917" s="16" t="s">
        <v>388</v>
      </c>
      <c r="E917" s="16" t="s">
        <v>539</v>
      </c>
      <c r="H917" s="16" t="s">
        <v>33</v>
      </c>
      <c r="J917" s="16" t="s">
        <v>32</v>
      </c>
      <c r="L917" s="16" t="s">
        <v>33</v>
      </c>
    </row>
    <row r="918" spans="1:12" x14ac:dyDescent="0.3">
      <c r="A918" s="16" t="s">
        <v>1569</v>
      </c>
      <c r="B918" s="16" t="s">
        <v>1570</v>
      </c>
      <c r="C918" s="16" t="s">
        <v>1779</v>
      </c>
      <c r="D918" s="16" t="s">
        <v>18</v>
      </c>
      <c r="E918" s="16" t="s">
        <v>617</v>
      </c>
      <c r="G918" s="16" t="s">
        <v>1103</v>
      </c>
      <c r="H918" s="16" t="s">
        <v>33</v>
      </c>
    </row>
    <row r="919" spans="1:12" x14ac:dyDescent="0.3">
      <c r="A919" s="16" t="s">
        <v>1571</v>
      </c>
      <c r="B919" s="16" t="s">
        <v>1572</v>
      </c>
      <c r="C919" s="16" t="s">
        <v>1779</v>
      </c>
      <c r="D919" s="16" t="s">
        <v>18</v>
      </c>
      <c r="E919" s="16" t="s">
        <v>539</v>
      </c>
      <c r="G919" s="16" t="s">
        <v>1103</v>
      </c>
      <c r="H919" s="16" t="s">
        <v>33</v>
      </c>
    </row>
    <row r="920" spans="1:12" x14ac:dyDescent="0.3">
      <c r="A920" s="16" t="s">
        <v>2824</v>
      </c>
      <c r="B920" s="16" t="s">
        <v>2825</v>
      </c>
      <c r="C920" s="16" t="s">
        <v>1779</v>
      </c>
      <c r="D920" s="16" t="s">
        <v>388</v>
      </c>
      <c r="E920" s="16" t="s">
        <v>539</v>
      </c>
      <c r="H920" s="16" t="s">
        <v>33</v>
      </c>
      <c r="J920" s="16" t="s">
        <v>32</v>
      </c>
    </row>
    <row r="921" spans="1:12" x14ac:dyDescent="0.3">
      <c r="A921" s="16" t="s">
        <v>2826</v>
      </c>
      <c r="B921" s="16" t="s">
        <v>2827</v>
      </c>
      <c r="C921" s="16" t="s">
        <v>1782</v>
      </c>
      <c r="D921" s="16" t="s">
        <v>18</v>
      </c>
      <c r="E921" s="16" t="s">
        <v>539</v>
      </c>
      <c r="G921" s="16" t="s">
        <v>1103</v>
      </c>
      <c r="H921" s="16" t="s">
        <v>33</v>
      </c>
    </row>
    <row r="922" spans="1:12" x14ac:dyDescent="0.3">
      <c r="A922" s="16" t="s">
        <v>1573</v>
      </c>
      <c r="B922" s="16" t="s">
        <v>2828</v>
      </c>
      <c r="C922" s="16" t="s">
        <v>1782</v>
      </c>
      <c r="D922" s="16" t="s">
        <v>18</v>
      </c>
      <c r="E922" s="16" t="s">
        <v>539</v>
      </c>
      <c r="G922" s="16" t="s">
        <v>1103</v>
      </c>
      <c r="H922" s="16" t="s">
        <v>33</v>
      </c>
    </row>
    <row r="923" spans="1:12" x14ac:dyDescent="0.3">
      <c r="A923" s="16" t="s">
        <v>1573</v>
      </c>
      <c r="B923" s="16" t="s">
        <v>2829</v>
      </c>
      <c r="C923" s="16" t="s">
        <v>1782</v>
      </c>
      <c r="D923" s="16" t="s">
        <v>18</v>
      </c>
      <c r="E923" s="16" t="s">
        <v>617</v>
      </c>
      <c r="G923" s="16" t="s">
        <v>1103</v>
      </c>
      <c r="H923" s="16" t="s">
        <v>33</v>
      </c>
    </row>
    <row r="924" spans="1:12" x14ac:dyDescent="0.3">
      <c r="A924" s="16" t="s">
        <v>1573</v>
      </c>
      <c r="B924" s="16" t="s">
        <v>1574</v>
      </c>
      <c r="C924" s="16" t="s">
        <v>1779</v>
      </c>
      <c r="D924" s="16" t="s">
        <v>18</v>
      </c>
      <c r="E924" s="16" t="s">
        <v>539</v>
      </c>
      <c r="G924" s="16" t="s">
        <v>1103</v>
      </c>
      <c r="H924" s="16" t="s">
        <v>33</v>
      </c>
    </row>
    <row r="925" spans="1:12" x14ac:dyDescent="0.3">
      <c r="A925" s="16" t="s">
        <v>1575</v>
      </c>
      <c r="B925" s="16" t="s">
        <v>1576</v>
      </c>
      <c r="C925" s="16" t="s">
        <v>1779</v>
      </c>
      <c r="D925" s="16" t="s">
        <v>18</v>
      </c>
      <c r="E925" s="16" t="s">
        <v>539</v>
      </c>
      <c r="G925" s="16" t="s">
        <v>1103</v>
      </c>
      <c r="H925" s="16" t="s">
        <v>33</v>
      </c>
    </row>
    <row r="926" spans="1:12" x14ac:dyDescent="0.3">
      <c r="A926" s="16" t="s">
        <v>2830</v>
      </c>
      <c r="B926" s="16" t="s">
        <v>2831</v>
      </c>
      <c r="C926" s="16" t="s">
        <v>1782</v>
      </c>
      <c r="D926" s="16" t="s">
        <v>18</v>
      </c>
      <c r="E926" s="16" t="s">
        <v>539</v>
      </c>
      <c r="G926" s="16" t="s">
        <v>1103</v>
      </c>
      <c r="H926" s="16" t="s">
        <v>33</v>
      </c>
    </row>
    <row r="927" spans="1:12" x14ac:dyDescent="0.3">
      <c r="A927" s="16" t="s">
        <v>1577</v>
      </c>
      <c r="B927" s="16" t="s">
        <v>1578</v>
      </c>
      <c r="C927" s="16" t="s">
        <v>1779</v>
      </c>
      <c r="D927" s="16" t="s">
        <v>18</v>
      </c>
      <c r="E927" s="16" t="s">
        <v>617</v>
      </c>
      <c r="G927" s="16" t="s">
        <v>1103</v>
      </c>
      <c r="H927" s="16" t="s">
        <v>33</v>
      </c>
    </row>
    <row r="928" spans="1:12" x14ac:dyDescent="0.3">
      <c r="A928" s="16" t="s">
        <v>2832</v>
      </c>
      <c r="B928" s="16" t="s">
        <v>2833</v>
      </c>
      <c r="C928" s="16" t="s">
        <v>1779</v>
      </c>
      <c r="D928" s="16" t="s">
        <v>388</v>
      </c>
      <c r="E928" s="16" t="s">
        <v>539</v>
      </c>
      <c r="H928" s="16" t="s">
        <v>33</v>
      </c>
      <c r="J928" s="16" t="s">
        <v>32</v>
      </c>
    </row>
    <row r="929" spans="1:10" x14ac:dyDescent="0.3">
      <c r="A929" s="16" t="s">
        <v>1579</v>
      </c>
      <c r="B929" s="16" t="s">
        <v>1580</v>
      </c>
      <c r="C929" s="16" t="s">
        <v>1779</v>
      </c>
      <c r="D929" s="16" t="s">
        <v>18</v>
      </c>
      <c r="E929" s="16" t="s">
        <v>1791</v>
      </c>
      <c r="G929" s="16" t="s">
        <v>1103</v>
      </c>
      <c r="H929" s="16" t="s">
        <v>33</v>
      </c>
    </row>
    <row r="930" spans="1:10" x14ac:dyDescent="0.3">
      <c r="A930" s="16" t="s">
        <v>1581</v>
      </c>
      <c r="B930" s="16" t="s">
        <v>1582</v>
      </c>
      <c r="C930" s="16" t="s">
        <v>1779</v>
      </c>
      <c r="D930" s="16" t="s">
        <v>18</v>
      </c>
      <c r="E930" s="16" t="s">
        <v>1791</v>
      </c>
      <c r="G930" s="16" t="s">
        <v>1103</v>
      </c>
      <c r="H930" s="16" t="s">
        <v>33</v>
      </c>
    </row>
    <row r="931" spans="1:10" x14ac:dyDescent="0.3">
      <c r="A931" s="16" t="s">
        <v>1583</v>
      </c>
      <c r="B931" s="16" t="s">
        <v>1584</v>
      </c>
      <c r="C931" s="16" t="s">
        <v>1779</v>
      </c>
      <c r="D931" s="16" t="s">
        <v>18</v>
      </c>
      <c r="E931" s="16" t="s">
        <v>1791</v>
      </c>
      <c r="G931" s="16" t="s">
        <v>1103</v>
      </c>
      <c r="H931" s="16" t="s">
        <v>33</v>
      </c>
    </row>
    <row r="932" spans="1:10" x14ac:dyDescent="0.3">
      <c r="A932" s="16" t="s">
        <v>1585</v>
      </c>
      <c r="B932" s="16" t="s">
        <v>1586</v>
      </c>
      <c r="C932" s="16" t="s">
        <v>1779</v>
      </c>
      <c r="D932" s="16" t="s">
        <v>18</v>
      </c>
      <c r="E932" s="16" t="s">
        <v>1791</v>
      </c>
      <c r="G932" s="16" t="s">
        <v>1103</v>
      </c>
      <c r="H932" s="16" t="s">
        <v>33</v>
      </c>
    </row>
    <row r="933" spans="1:10" x14ac:dyDescent="0.3">
      <c r="A933" s="16" t="s">
        <v>1587</v>
      </c>
      <c r="B933" s="16" t="s">
        <v>1588</v>
      </c>
      <c r="C933" s="16" t="s">
        <v>1779</v>
      </c>
      <c r="D933" s="16" t="s">
        <v>18</v>
      </c>
      <c r="E933" s="16" t="s">
        <v>1791</v>
      </c>
      <c r="G933" s="16" t="s">
        <v>1103</v>
      </c>
      <c r="H933" s="16" t="s">
        <v>33</v>
      </c>
    </row>
    <row r="934" spans="1:10" x14ac:dyDescent="0.3">
      <c r="A934" s="16" t="s">
        <v>1589</v>
      </c>
      <c r="B934" s="16" t="s">
        <v>1590</v>
      </c>
      <c r="C934" s="16" t="s">
        <v>1779</v>
      </c>
      <c r="D934" s="16" t="s">
        <v>18</v>
      </c>
      <c r="E934" s="16" t="s">
        <v>1791</v>
      </c>
      <c r="G934" s="16" t="s">
        <v>1103</v>
      </c>
      <c r="H934" s="16" t="s">
        <v>33</v>
      </c>
    </row>
    <row r="935" spans="1:10" x14ac:dyDescent="0.3">
      <c r="A935" s="16" t="s">
        <v>1591</v>
      </c>
      <c r="B935" s="16" t="s">
        <v>1592</v>
      </c>
      <c r="C935" s="16" t="s">
        <v>1779</v>
      </c>
      <c r="D935" s="16" t="s">
        <v>18</v>
      </c>
      <c r="E935" s="16" t="s">
        <v>1791</v>
      </c>
      <c r="G935" s="16" t="s">
        <v>1103</v>
      </c>
      <c r="H935" s="16" t="s">
        <v>33</v>
      </c>
    </row>
    <row r="936" spans="1:10" x14ac:dyDescent="0.3">
      <c r="A936" s="16" t="s">
        <v>2834</v>
      </c>
      <c r="B936" s="16" t="s">
        <v>2835</v>
      </c>
      <c r="C936" s="16" t="s">
        <v>1779</v>
      </c>
      <c r="D936" s="16" t="s">
        <v>388</v>
      </c>
      <c r="E936" s="16" t="s">
        <v>539</v>
      </c>
      <c r="H936" s="16" t="s">
        <v>33</v>
      </c>
      <c r="J936" s="16" t="s">
        <v>32</v>
      </c>
    </row>
    <row r="937" spans="1:10" x14ac:dyDescent="0.3">
      <c r="A937" s="16" t="s">
        <v>2836</v>
      </c>
      <c r="B937" s="16" t="s">
        <v>2837</v>
      </c>
      <c r="C937" s="16" t="s">
        <v>1779</v>
      </c>
      <c r="D937" s="16" t="s">
        <v>388</v>
      </c>
      <c r="E937" s="16" t="s">
        <v>539</v>
      </c>
      <c r="H937" s="16" t="s">
        <v>33</v>
      </c>
      <c r="J937" s="16" t="s">
        <v>32</v>
      </c>
    </row>
    <row r="938" spans="1:10" x14ac:dyDescent="0.3">
      <c r="A938" s="16" t="s">
        <v>2838</v>
      </c>
      <c r="B938" s="16" t="s">
        <v>2839</v>
      </c>
      <c r="C938" s="16" t="s">
        <v>1782</v>
      </c>
      <c r="D938" s="16" t="s">
        <v>18</v>
      </c>
      <c r="E938" s="16" t="s">
        <v>539</v>
      </c>
      <c r="G938" s="16" t="s">
        <v>1103</v>
      </c>
      <c r="H938" s="16" t="s">
        <v>33</v>
      </c>
    </row>
    <row r="939" spans="1:10" x14ac:dyDescent="0.3">
      <c r="A939" s="16" t="s">
        <v>2840</v>
      </c>
      <c r="B939" s="16" t="s">
        <v>2841</v>
      </c>
      <c r="C939" s="16" t="s">
        <v>1782</v>
      </c>
      <c r="D939" s="16" t="s">
        <v>18</v>
      </c>
      <c r="E939" s="16" t="s">
        <v>539</v>
      </c>
      <c r="G939" s="16" t="s">
        <v>1103</v>
      </c>
      <c r="H939" s="16" t="s">
        <v>33</v>
      </c>
    </row>
    <row r="940" spans="1:10" x14ac:dyDescent="0.3">
      <c r="A940" s="16" t="s">
        <v>2842</v>
      </c>
      <c r="B940" s="16" t="s">
        <v>2843</v>
      </c>
      <c r="C940" s="16" t="s">
        <v>1779</v>
      </c>
      <c r="D940" s="16" t="s">
        <v>388</v>
      </c>
      <c r="E940" s="16" t="s">
        <v>539</v>
      </c>
      <c r="H940" s="16" t="s">
        <v>33</v>
      </c>
      <c r="J940" s="16" t="s">
        <v>32</v>
      </c>
    </row>
    <row r="941" spans="1:10" x14ac:dyDescent="0.3">
      <c r="A941" s="16" t="s">
        <v>2844</v>
      </c>
      <c r="B941" s="16" t="s">
        <v>2845</v>
      </c>
      <c r="C941" s="16" t="s">
        <v>1782</v>
      </c>
      <c r="D941" s="16" t="s">
        <v>18</v>
      </c>
      <c r="E941" s="16" t="s">
        <v>539</v>
      </c>
      <c r="G941" s="16" t="s">
        <v>1103</v>
      </c>
      <c r="H941" s="16" t="s">
        <v>33</v>
      </c>
    </row>
    <row r="942" spans="1:10" x14ac:dyDescent="0.3">
      <c r="A942" s="16" t="s">
        <v>316</v>
      </c>
      <c r="B942" s="16" t="s">
        <v>1344</v>
      </c>
      <c r="C942" s="16" t="s">
        <v>1778</v>
      </c>
      <c r="D942" s="16" t="s">
        <v>18</v>
      </c>
      <c r="E942" s="16" t="s">
        <v>539</v>
      </c>
      <c r="G942" s="16" t="s">
        <v>1127</v>
      </c>
      <c r="H942" s="16" t="s">
        <v>33</v>
      </c>
    </row>
    <row r="943" spans="1:10" x14ac:dyDescent="0.3">
      <c r="A943" s="16" t="s">
        <v>316</v>
      </c>
      <c r="B943" s="16" t="s">
        <v>317</v>
      </c>
      <c r="C943" s="16" t="s">
        <v>1779</v>
      </c>
      <c r="D943" s="16" t="s">
        <v>18</v>
      </c>
      <c r="E943" s="16" t="s">
        <v>539</v>
      </c>
      <c r="G943" s="16" t="s">
        <v>1127</v>
      </c>
      <c r="H943" s="16" t="s">
        <v>33</v>
      </c>
    </row>
    <row r="944" spans="1:10" x14ac:dyDescent="0.3">
      <c r="A944" s="16" t="s">
        <v>2846</v>
      </c>
      <c r="B944" s="16" t="s">
        <v>2847</v>
      </c>
      <c r="C944" s="16" t="s">
        <v>1779</v>
      </c>
      <c r="D944" s="16" t="s">
        <v>133</v>
      </c>
      <c r="E944" s="16" t="s">
        <v>539</v>
      </c>
      <c r="H944" s="16" t="s">
        <v>33</v>
      </c>
    </row>
    <row r="945" spans="1:10" x14ac:dyDescent="0.3">
      <c r="A945" s="16" t="s">
        <v>2848</v>
      </c>
      <c r="B945" s="16" t="s">
        <v>2849</v>
      </c>
      <c r="C945" s="16" t="s">
        <v>1779</v>
      </c>
      <c r="D945" s="16" t="s">
        <v>133</v>
      </c>
      <c r="E945" s="16" t="s">
        <v>661</v>
      </c>
      <c r="H945" s="16" t="s">
        <v>33</v>
      </c>
    </row>
    <row r="946" spans="1:10" x14ac:dyDescent="0.3">
      <c r="A946" s="16" t="s">
        <v>2850</v>
      </c>
      <c r="B946" s="16" t="s">
        <v>2851</v>
      </c>
      <c r="C946" s="16" t="s">
        <v>1779</v>
      </c>
      <c r="D946" s="16" t="s">
        <v>133</v>
      </c>
      <c r="E946" s="16" t="s">
        <v>661</v>
      </c>
      <c r="H946" s="16" t="s">
        <v>33</v>
      </c>
    </row>
    <row r="947" spans="1:10" x14ac:dyDescent="0.3">
      <c r="A947" s="16" t="s">
        <v>2852</v>
      </c>
      <c r="B947" s="16" t="s">
        <v>2853</v>
      </c>
      <c r="C947" s="16" t="s">
        <v>1779</v>
      </c>
      <c r="D947" s="16" t="s">
        <v>133</v>
      </c>
      <c r="E947" s="16" t="s">
        <v>661</v>
      </c>
      <c r="H947" s="16" t="s">
        <v>33</v>
      </c>
    </row>
    <row r="948" spans="1:10" x14ac:dyDescent="0.3">
      <c r="A948" s="16" t="s">
        <v>2854</v>
      </c>
      <c r="B948" s="16" t="s">
        <v>2855</v>
      </c>
      <c r="C948" s="16" t="s">
        <v>1779</v>
      </c>
      <c r="D948" s="16" t="s">
        <v>133</v>
      </c>
      <c r="E948" s="16" t="s">
        <v>661</v>
      </c>
      <c r="H948" s="16" t="s">
        <v>33</v>
      </c>
    </row>
    <row r="949" spans="1:10" x14ac:dyDescent="0.3">
      <c r="A949" s="16" t="s">
        <v>2856</v>
      </c>
      <c r="B949" s="16" t="s">
        <v>2857</v>
      </c>
      <c r="C949" s="16" t="s">
        <v>1779</v>
      </c>
      <c r="D949" s="16" t="s">
        <v>133</v>
      </c>
      <c r="E949" s="16" t="s">
        <v>588</v>
      </c>
      <c r="H949" s="16" t="s">
        <v>33</v>
      </c>
    </row>
    <row r="950" spans="1:10" x14ac:dyDescent="0.3">
      <c r="A950" s="16" t="s">
        <v>2858</v>
      </c>
      <c r="B950" s="16" t="s">
        <v>2859</v>
      </c>
      <c r="C950" s="16" t="s">
        <v>1779</v>
      </c>
      <c r="D950" s="16" t="s">
        <v>133</v>
      </c>
      <c r="E950" s="16" t="s">
        <v>1791</v>
      </c>
      <c r="H950" s="16" t="s">
        <v>33</v>
      </c>
    </row>
    <row r="951" spans="1:10" x14ac:dyDescent="0.3">
      <c r="A951" s="16" t="s">
        <v>2860</v>
      </c>
      <c r="B951" s="16" t="s">
        <v>2861</v>
      </c>
      <c r="C951" s="16" t="s">
        <v>1779</v>
      </c>
      <c r="D951" s="16" t="s">
        <v>133</v>
      </c>
      <c r="E951" s="16" t="s">
        <v>661</v>
      </c>
      <c r="H951" s="16" t="s">
        <v>33</v>
      </c>
    </row>
    <row r="952" spans="1:10" x14ac:dyDescent="0.3">
      <c r="A952" s="16" t="s">
        <v>2862</v>
      </c>
      <c r="B952" s="16" t="s">
        <v>2863</v>
      </c>
      <c r="C952" s="16" t="s">
        <v>1779</v>
      </c>
      <c r="D952" s="16" t="s">
        <v>133</v>
      </c>
      <c r="E952" s="16" t="s">
        <v>661</v>
      </c>
      <c r="H952" s="16" t="s">
        <v>33</v>
      </c>
    </row>
    <row r="953" spans="1:10" x14ac:dyDescent="0.3">
      <c r="A953" s="16" t="s">
        <v>2864</v>
      </c>
      <c r="B953" s="16" t="s">
        <v>2865</v>
      </c>
      <c r="C953" s="16" t="s">
        <v>1779</v>
      </c>
      <c r="D953" s="16" t="s">
        <v>133</v>
      </c>
      <c r="E953" s="16" t="s">
        <v>661</v>
      </c>
      <c r="H953" s="16" t="s">
        <v>33</v>
      </c>
    </row>
    <row r="954" spans="1:10" x14ac:dyDescent="0.3">
      <c r="A954" s="16" t="s">
        <v>2866</v>
      </c>
      <c r="B954" s="16" t="s">
        <v>2867</v>
      </c>
      <c r="C954" s="16" t="s">
        <v>1779</v>
      </c>
      <c r="D954" s="16" t="s">
        <v>133</v>
      </c>
      <c r="E954" s="16" t="s">
        <v>661</v>
      </c>
      <c r="H954" s="16" t="s">
        <v>33</v>
      </c>
    </row>
    <row r="955" spans="1:10" x14ac:dyDescent="0.3">
      <c r="A955" s="16" t="s">
        <v>2868</v>
      </c>
      <c r="B955" s="16" t="s">
        <v>2869</v>
      </c>
      <c r="C955" s="16" t="s">
        <v>1779</v>
      </c>
      <c r="D955" s="16" t="s">
        <v>133</v>
      </c>
      <c r="E955" s="16" t="s">
        <v>661</v>
      </c>
      <c r="H955" s="16" t="s">
        <v>33</v>
      </c>
    </row>
    <row r="956" spans="1:10" x14ac:dyDescent="0.3">
      <c r="A956" s="16" t="s">
        <v>2870</v>
      </c>
      <c r="B956" s="16" t="s">
        <v>2871</v>
      </c>
      <c r="C956" s="16" t="s">
        <v>1779</v>
      </c>
      <c r="D956" s="16" t="s">
        <v>133</v>
      </c>
      <c r="E956" s="16" t="s">
        <v>661</v>
      </c>
      <c r="H956" s="16" t="s">
        <v>33</v>
      </c>
    </row>
    <row r="957" spans="1:10" x14ac:dyDescent="0.3">
      <c r="A957" s="16" t="s">
        <v>2872</v>
      </c>
      <c r="B957" s="16" t="s">
        <v>2873</v>
      </c>
      <c r="C957" s="16" t="s">
        <v>1779</v>
      </c>
      <c r="D957" s="16" t="s">
        <v>133</v>
      </c>
      <c r="E957" s="16" t="s">
        <v>588</v>
      </c>
      <c r="H957" s="16" t="s">
        <v>33</v>
      </c>
    </row>
    <row r="958" spans="1:10" x14ac:dyDescent="0.3">
      <c r="A958" s="16" t="s">
        <v>1345</v>
      </c>
      <c r="B958" s="16" t="s">
        <v>1346</v>
      </c>
      <c r="C958" s="16" t="s">
        <v>1778</v>
      </c>
      <c r="D958" s="16" t="s">
        <v>18</v>
      </c>
      <c r="E958" s="16" t="s">
        <v>539</v>
      </c>
      <c r="G958" s="16" t="s">
        <v>1127</v>
      </c>
      <c r="H958" s="16" t="s">
        <v>33</v>
      </c>
    </row>
    <row r="959" spans="1:10" x14ac:dyDescent="0.3">
      <c r="A959" s="16" t="s">
        <v>314</v>
      </c>
      <c r="B959" s="16" t="s">
        <v>315</v>
      </c>
      <c r="C959" s="16" t="s">
        <v>1779</v>
      </c>
      <c r="D959" s="16" t="s">
        <v>18</v>
      </c>
      <c r="E959" s="16" t="s">
        <v>539</v>
      </c>
      <c r="G959" s="16" t="s">
        <v>1127</v>
      </c>
      <c r="H959" s="16" t="s">
        <v>33</v>
      </c>
    </row>
    <row r="960" spans="1:10" x14ac:dyDescent="0.3">
      <c r="A960" s="16" t="s">
        <v>442</v>
      </c>
      <c r="B960" s="16" t="s">
        <v>443</v>
      </c>
      <c r="C960" s="16" t="s">
        <v>1779</v>
      </c>
      <c r="D960" s="16" t="s">
        <v>388</v>
      </c>
      <c r="E960" s="16" t="s">
        <v>539</v>
      </c>
      <c r="H960" s="16" t="s">
        <v>33</v>
      </c>
      <c r="J960" s="16" t="s">
        <v>32</v>
      </c>
    </row>
    <row r="961" spans="1:12" x14ac:dyDescent="0.3">
      <c r="A961" s="16" t="s">
        <v>2876</v>
      </c>
      <c r="B961" s="16" t="s">
        <v>2877</v>
      </c>
      <c r="C961" s="16" t="s">
        <v>1769</v>
      </c>
      <c r="D961" s="16" t="s">
        <v>133</v>
      </c>
      <c r="E961" s="16" t="s">
        <v>1885</v>
      </c>
      <c r="H961" s="16" t="s">
        <v>33</v>
      </c>
    </row>
    <row r="962" spans="1:12" x14ac:dyDescent="0.3">
      <c r="A962" s="16" t="s">
        <v>2878</v>
      </c>
      <c r="B962" s="16" t="s">
        <v>2879</v>
      </c>
      <c r="C962" s="16" t="s">
        <v>1769</v>
      </c>
      <c r="D962" s="16" t="s">
        <v>133</v>
      </c>
      <c r="E962" s="16" t="s">
        <v>1885</v>
      </c>
      <c r="H962" s="16" t="s">
        <v>33</v>
      </c>
    </row>
    <row r="963" spans="1:12" x14ac:dyDescent="0.3">
      <c r="A963" s="16" t="s">
        <v>55</v>
      </c>
      <c r="B963" s="16" t="s">
        <v>56</v>
      </c>
      <c r="C963" s="16" t="s">
        <v>1779</v>
      </c>
      <c r="D963" s="16" t="s">
        <v>388</v>
      </c>
      <c r="E963" s="16" t="s">
        <v>539</v>
      </c>
      <c r="H963" s="16" t="s">
        <v>33</v>
      </c>
      <c r="J963" s="16" t="s">
        <v>32</v>
      </c>
    </row>
    <row r="964" spans="1:12" x14ac:dyDescent="0.3">
      <c r="A964" s="16" t="s">
        <v>55</v>
      </c>
      <c r="B964" s="16" t="s">
        <v>56</v>
      </c>
      <c r="C964" s="16" t="s">
        <v>1777</v>
      </c>
      <c r="D964" s="16" t="s">
        <v>388</v>
      </c>
      <c r="E964" s="16" t="s">
        <v>539</v>
      </c>
      <c r="H964" s="16" t="s">
        <v>33</v>
      </c>
      <c r="J964" s="16" t="s">
        <v>32</v>
      </c>
    </row>
    <row r="965" spans="1:12" x14ac:dyDescent="0.3">
      <c r="A965" s="16" t="s">
        <v>210</v>
      </c>
      <c r="B965" s="16" t="s">
        <v>211</v>
      </c>
      <c r="C965" s="16" t="s">
        <v>1779</v>
      </c>
      <c r="D965" s="16" t="s">
        <v>388</v>
      </c>
      <c r="E965" s="16" t="s">
        <v>539</v>
      </c>
      <c r="H965" s="16" t="s">
        <v>33</v>
      </c>
      <c r="J965" s="16" t="s">
        <v>32</v>
      </c>
    </row>
    <row r="966" spans="1:12" x14ac:dyDescent="0.3">
      <c r="A966" s="16" t="s">
        <v>210</v>
      </c>
      <c r="B966" s="16" t="s">
        <v>211</v>
      </c>
      <c r="C966" s="16" t="s">
        <v>1777</v>
      </c>
      <c r="D966" s="16" t="s">
        <v>388</v>
      </c>
      <c r="E966" s="16" t="s">
        <v>539</v>
      </c>
      <c r="H966" s="16" t="s">
        <v>33</v>
      </c>
      <c r="J966" s="16" t="s">
        <v>32</v>
      </c>
    </row>
    <row r="967" spans="1:12" x14ac:dyDescent="0.3">
      <c r="A967" s="16" t="s">
        <v>1144</v>
      </c>
      <c r="B967" s="16" t="s">
        <v>1145</v>
      </c>
      <c r="C967" s="16" t="s">
        <v>1915</v>
      </c>
      <c r="D967" s="16" t="s">
        <v>18</v>
      </c>
      <c r="E967" s="16" t="s">
        <v>539</v>
      </c>
      <c r="G967" s="16" t="s">
        <v>1103</v>
      </c>
      <c r="H967" s="16" t="s">
        <v>33</v>
      </c>
    </row>
    <row r="968" spans="1:12" x14ac:dyDescent="0.3">
      <c r="A968" s="16" t="s">
        <v>34</v>
      </c>
      <c r="B968" s="16" t="s">
        <v>3448</v>
      </c>
      <c r="C968" s="16" t="s">
        <v>1779</v>
      </c>
      <c r="D968" s="16" t="s">
        <v>18</v>
      </c>
      <c r="E968" s="16" t="s">
        <v>539</v>
      </c>
      <c r="G968" s="16" t="s">
        <v>1770</v>
      </c>
      <c r="H968" s="16" t="s">
        <v>33</v>
      </c>
    </row>
    <row r="969" spans="1:12" x14ac:dyDescent="0.3">
      <c r="A969" s="16" t="s">
        <v>34</v>
      </c>
      <c r="B969" s="16" t="s">
        <v>3449</v>
      </c>
      <c r="C969" s="16" t="s">
        <v>1778</v>
      </c>
      <c r="D969" s="16" t="s">
        <v>18</v>
      </c>
      <c r="E969" s="16" t="s">
        <v>539</v>
      </c>
      <c r="G969" s="16" t="s">
        <v>1770</v>
      </c>
      <c r="H969" s="16" t="s">
        <v>33</v>
      </c>
    </row>
    <row r="970" spans="1:12" x14ac:dyDescent="0.3">
      <c r="A970" s="16" t="s">
        <v>1593</v>
      </c>
      <c r="B970" s="16" t="s">
        <v>1594</v>
      </c>
      <c r="C970" s="16" t="s">
        <v>1779</v>
      </c>
      <c r="D970" s="16" t="s">
        <v>18</v>
      </c>
      <c r="E970" s="16" t="s">
        <v>539</v>
      </c>
      <c r="G970" s="16" t="s">
        <v>1127</v>
      </c>
      <c r="H970" s="16" t="s">
        <v>33</v>
      </c>
    </row>
    <row r="971" spans="1:12" x14ac:dyDescent="0.3">
      <c r="A971" s="16" t="s">
        <v>31</v>
      </c>
      <c r="B971" s="16" t="s">
        <v>3450</v>
      </c>
      <c r="C971" s="16" t="s">
        <v>1779</v>
      </c>
      <c r="D971" s="16" t="s">
        <v>18</v>
      </c>
      <c r="E971" s="16" t="s">
        <v>539</v>
      </c>
      <c r="G971" s="16" t="s">
        <v>1770</v>
      </c>
      <c r="H971" s="16" t="s">
        <v>33</v>
      </c>
    </row>
    <row r="972" spans="1:12" x14ac:dyDescent="0.3">
      <c r="A972" s="16" t="s">
        <v>31</v>
      </c>
      <c r="B972" s="16" t="s">
        <v>3451</v>
      </c>
      <c r="C972" s="16" t="s">
        <v>1778</v>
      </c>
      <c r="D972" s="16" t="s">
        <v>18</v>
      </c>
      <c r="E972" s="16" t="s">
        <v>539</v>
      </c>
      <c r="G972" s="16" t="s">
        <v>1770</v>
      </c>
      <c r="H972" s="16" t="s">
        <v>33</v>
      </c>
    </row>
    <row r="973" spans="1:12" x14ac:dyDescent="0.3">
      <c r="A973" s="16" t="s">
        <v>309</v>
      </c>
      <c r="B973" s="16" t="s">
        <v>2410</v>
      </c>
      <c r="C973" s="16" t="s">
        <v>1779</v>
      </c>
      <c r="D973" s="16" t="s">
        <v>388</v>
      </c>
      <c r="E973" s="16" t="s">
        <v>539</v>
      </c>
      <c r="H973" s="16" t="s">
        <v>33</v>
      </c>
      <c r="J973" s="16" t="s">
        <v>32</v>
      </c>
    </row>
    <row r="974" spans="1:12" x14ac:dyDescent="0.3">
      <c r="A974" s="16" t="s">
        <v>2880</v>
      </c>
      <c r="B974" s="16" t="s">
        <v>2881</v>
      </c>
      <c r="C974" s="16" t="s">
        <v>1779</v>
      </c>
      <c r="D974" s="16" t="s">
        <v>133</v>
      </c>
      <c r="E974" s="16" t="s">
        <v>539</v>
      </c>
      <c r="H974" s="16" t="s">
        <v>33</v>
      </c>
    </row>
    <row r="975" spans="1:12" x14ac:dyDescent="0.3">
      <c r="A975" s="16" t="s">
        <v>1595</v>
      </c>
      <c r="B975" s="16" t="s">
        <v>1596</v>
      </c>
      <c r="C975" s="16" t="s">
        <v>1779</v>
      </c>
      <c r="D975" s="16" t="s">
        <v>18</v>
      </c>
      <c r="E975" s="16" t="s">
        <v>539</v>
      </c>
      <c r="G975" s="16" t="s">
        <v>1103</v>
      </c>
      <c r="H975" s="16" t="s">
        <v>33</v>
      </c>
    </row>
    <row r="976" spans="1:12" x14ac:dyDescent="0.3">
      <c r="A976" s="16" t="s">
        <v>2882</v>
      </c>
      <c r="B976" s="16" t="s">
        <v>2883</v>
      </c>
      <c r="C976" s="16" t="s">
        <v>1779</v>
      </c>
      <c r="D976" s="16" t="s">
        <v>388</v>
      </c>
      <c r="E976" s="16" t="s">
        <v>539</v>
      </c>
      <c r="H976" s="16" t="s">
        <v>33</v>
      </c>
      <c r="J976" s="16" t="s">
        <v>32</v>
      </c>
      <c r="K976" s="16" t="s">
        <v>2884</v>
      </c>
      <c r="L976" s="16" t="s">
        <v>33</v>
      </c>
    </row>
    <row r="977" spans="1:12" x14ac:dyDescent="0.3">
      <c r="A977" s="16" t="s">
        <v>2885</v>
      </c>
      <c r="B977" s="16" t="s">
        <v>2886</v>
      </c>
      <c r="C977" s="16" t="s">
        <v>1779</v>
      </c>
      <c r="D977" s="16" t="s">
        <v>388</v>
      </c>
      <c r="E977" s="16" t="s">
        <v>539</v>
      </c>
      <c r="H977" s="16" t="s">
        <v>33</v>
      </c>
      <c r="J977" s="16" t="s">
        <v>32</v>
      </c>
      <c r="K977" s="16" t="s">
        <v>2887</v>
      </c>
      <c r="L977" s="16" t="s">
        <v>33</v>
      </c>
    </row>
    <row r="978" spans="1:12" x14ac:dyDescent="0.3">
      <c r="A978" s="16" t="s">
        <v>2888</v>
      </c>
      <c r="B978" s="16" t="s">
        <v>2889</v>
      </c>
      <c r="C978" s="16" t="s">
        <v>1779</v>
      </c>
      <c r="D978" s="16" t="s">
        <v>388</v>
      </c>
      <c r="E978" s="16" t="s">
        <v>539</v>
      </c>
      <c r="H978" s="16" t="s">
        <v>33</v>
      </c>
      <c r="J978" s="16" t="s">
        <v>32</v>
      </c>
      <c r="K978" s="16" t="s">
        <v>2887</v>
      </c>
      <c r="L978" s="16" t="s">
        <v>33</v>
      </c>
    </row>
    <row r="979" spans="1:12" x14ac:dyDescent="0.3">
      <c r="A979" s="16" t="s">
        <v>2890</v>
      </c>
      <c r="B979" s="16" t="s">
        <v>2891</v>
      </c>
      <c r="C979" s="16" t="s">
        <v>1779</v>
      </c>
      <c r="D979" s="16" t="s">
        <v>18</v>
      </c>
      <c r="E979" s="16" t="s">
        <v>539</v>
      </c>
      <c r="G979" s="16" t="s">
        <v>1770</v>
      </c>
      <c r="H979" s="16" t="s">
        <v>33</v>
      </c>
    </row>
    <row r="980" spans="1:12" x14ac:dyDescent="0.3">
      <c r="A980" s="16" t="s">
        <v>2892</v>
      </c>
      <c r="B980" s="16" t="s">
        <v>2893</v>
      </c>
      <c r="C980" s="16" t="s">
        <v>1804</v>
      </c>
      <c r="D980" s="16" t="s">
        <v>18</v>
      </c>
      <c r="E980" s="16" t="s">
        <v>588</v>
      </c>
      <c r="G980" s="16" t="s">
        <v>1770</v>
      </c>
      <c r="H980" s="16" t="s">
        <v>33</v>
      </c>
    </row>
    <row r="981" spans="1:12" x14ac:dyDescent="0.3">
      <c r="A981" s="16" t="s">
        <v>2894</v>
      </c>
      <c r="B981" s="16" t="s">
        <v>2895</v>
      </c>
      <c r="C981" s="16" t="s">
        <v>1804</v>
      </c>
      <c r="D981" s="16" t="s">
        <v>18</v>
      </c>
      <c r="E981" s="16" t="s">
        <v>661</v>
      </c>
      <c r="G981" s="16" t="s">
        <v>1770</v>
      </c>
      <c r="H981" s="16" t="s">
        <v>33</v>
      </c>
    </row>
    <row r="982" spans="1:12" x14ac:dyDescent="0.3">
      <c r="A982" s="16" t="s">
        <v>2896</v>
      </c>
      <c r="B982" s="16" t="s">
        <v>2897</v>
      </c>
      <c r="C982" s="16" t="s">
        <v>1779</v>
      </c>
      <c r="D982" s="16" t="s">
        <v>388</v>
      </c>
      <c r="E982" s="16" t="s">
        <v>539</v>
      </c>
      <c r="H982" s="16" t="s">
        <v>33</v>
      </c>
      <c r="J982" s="16" t="s">
        <v>32</v>
      </c>
    </row>
    <row r="983" spans="1:12" x14ac:dyDescent="0.3">
      <c r="A983" s="16" t="s">
        <v>2898</v>
      </c>
      <c r="B983" s="16" t="s">
        <v>2899</v>
      </c>
      <c r="C983" s="16" t="s">
        <v>1779</v>
      </c>
      <c r="D983" s="16" t="s">
        <v>388</v>
      </c>
      <c r="E983" s="16" t="s">
        <v>539</v>
      </c>
      <c r="H983" s="16" t="s">
        <v>33</v>
      </c>
      <c r="J983" s="16" t="s">
        <v>32</v>
      </c>
      <c r="L983" s="16" t="s">
        <v>33</v>
      </c>
    </row>
    <row r="984" spans="1:12" x14ac:dyDescent="0.3">
      <c r="A984" s="16" t="s">
        <v>2900</v>
      </c>
      <c r="B984" s="16" t="s">
        <v>2901</v>
      </c>
      <c r="C984" s="16" t="s">
        <v>1779</v>
      </c>
      <c r="D984" s="16" t="s">
        <v>133</v>
      </c>
      <c r="E984" s="16" t="s">
        <v>255</v>
      </c>
      <c r="H984" s="16" t="s">
        <v>33</v>
      </c>
    </row>
    <row r="985" spans="1:12" x14ac:dyDescent="0.3">
      <c r="A985" s="16" t="s">
        <v>2900</v>
      </c>
      <c r="B985" s="16" t="s">
        <v>2901</v>
      </c>
      <c r="C985" s="16" t="s">
        <v>1915</v>
      </c>
      <c r="D985" s="16" t="s">
        <v>133</v>
      </c>
      <c r="E985" s="16" t="s">
        <v>255</v>
      </c>
      <c r="H985" s="16" t="s">
        <v>33</v>
      </c>
    </row>
    <row r="986" spans="1:12" x14ac:dyDescent="0.3">
      <c r="A986" s="16" t="s">
        <v>2900</v>
      </c>
      <c r="B986" s="16" t="s">
        <v>2901</v>
      </c>
      <c r="C986" s="16" t="s">
        <v>1769</v>
      </c>
      <c r="D986" s="16" t="s">
        <v>133</v>
      </c>
      <c r="E986" s="16" t="s">
        <v>255</v>
      </c>
      <c r="H986" s="16" t="s">
        <v>33</v>
      </c>
    </row>
    <row r="987" spans="1:12" x14ac:dyDescent="0.3">
      <c r="A987" s="16" t="s">
        <v>2900</v>
      </c>
      <c r="B987" s="16" t="s">
        <v>2901</v>
      </c>
      <c r="C987" s="16" t="s">
        <v>2320</v>
      </c>
      <c r="D987" s="16" t="s">
        <v>133</v>
      </c>
      <c r="E987" s="16" t="s">
        <v>255</v>
      </c>
      <c r="H987" s="16" t="s">
        <v>33</v>
      </c>
    </row>
    <row r="988" spans="1:12" x14ac:dyDescent="0.3">
      <c r="A988" s="16" t="s">
        <v>2902</v>
      </c>
      <c r="B988" s="16" t="s">
        <v>2903</v>
      </c>
      <c r="C988" s="16" t="s">
        <v>1778</v>
      </c>
      <c r="D988" s="16" t="s">
        <v>133</v>
      </c>
      <c r="E988" s="16" t="s">
        <v>684</v>
      </c>
      <c r="G988" s="16" t="s">
        <v>662</v>
      </c>
      <c r="H988" s="16" t="s">
        <v>33</v>
      </c>
    </row>
    <row r="989" spans="1:12" x14ac:dyDescent="0.3">
      <c r="A989" s="16" t="s">
        <v>2904</v>
      </c>
      <c r="B989" s="16" t="s">
        <v>2905</v>
      </c>
      <c r="C989" s="16" t="s">
        <v>1778</v>
      </c>
      <c r="D989" s="16" t="s">
        <v>133</v>
      </c>
      <c r="E989" s="16" t="s">
        <v>684</v>
      </c>
      <c r="G989" s="16" t="s">
        <v>662</v>
      </c>
      <c r="H989" s="16" t="s">
        <v>33</v>
      </c>
    </row>
    <row r="990" spans="1:12" x14ac:dyDescent="0.3">
      <c r="A990" s="16" t="s">
        <v>2906</v>
      </c>
      <c r="B990" s="16" t="s">
        <v>2907</v>
      </c>
      <c r="C990" s="16" t="s">
        <v>2306</v>
      </c>
      <c r="D990" s="16" t="s">
        <v>388</v>
      </c>
      <c r="E990" s="16" t="s">
        <v>539</v>
      </c>
      <c r="J990" s="16" t="s">
        <v>32</v>
      </c>
    </row>
    <row r="991" spans="1:12" x14ac:dyDescent="0.3">
      <c r="A991" s="16" t="s">
        <v>2906</v>
      </c>
      <c r="B991" s="16" t="s">
        <v>2907</v>
      </c>
      <c r="C991" s="16" t="s">
        <v>2307</v>
      </c>
      <c r="D991" s="16" t="s">
        <v>388</v>
      </c>
      <c r="E991" s="16" t="s">
        <v>539</v>
      </c>
      <c r="H991" s="16" t="s">
        <v>33</v>
      </c>
      <c r="J991" s="16" t="s">
        <v>32</v>
      </c>
    </row>
    <row r="992" spans="1:12" x14ac:dyDescent="0.3">
      <c r="A992" s="16" t="s">
        <v>2906</v>
      </c>
      <c r="B992" s="16" t="s">
        <v>2907</v>
      </c>
      <c r="C992" s="16" t="s">
        <v>2489</v>
      </c>
      <c r="D992" s="16" t="s">
        <v>388</v>
      </c>
      <c r="E992" s="16" t="s">
        <v>539</v>
      </c>
      <c r="H992" s="16" t="s">
        <v>33</v>
      </c>
      <c r="J992" s="16" t="s">
        <v>32</v>
      </c>
    </row>
    <row r="993" spans="1:10" x14ac:dyDescent="0.3">
      <c r="A993" s="16" t="s">
        <v>2906</v>
      </c>
      <c r="B993" s="16" t="s">
        <v>2907</v>
      </c>
      <c r="C993" s="16" t="s">
        <v>1779</v>
      </c>
      <c r="D993" s="16" t="s">
        <v>388</v>
      </c>
      <c r="E993" s="16" t="s">
        <v>539</v>
      </c>
      <c r="H993" s="16" t="s">
        <v>33</v>
      </c>
      <c r="J993" s="16" t="s">
        <v>1988</v>
      </c>
    </row>
    <row r="994" spans="1:10" x14ac:dyDescent="0.3">
      <c r="A994" s="16" t="s">
        <v>2906</v>
      </c>
      <c r="B994" s="16" t="s">
        <v>2907</v>
      </c>
      <c r="C994" s="16" t="s">
        <v>1915</v>
      </c>
      <c r="D994" s="16" t="s">
        <v>388</v>
      </c>
      <c r="E994" s="16" t="s">
        <v>539</v>
      </c>
      <c r="H994" s="16" t="s">
        <v>33</v>
      </c>
      <c r="J994" s="16" t="s">
        <v>1988</v>
      </c>
    </row>
    <row r="995" spans="1:10" x14ac:dyDescent="0.3">
      <c r="A995" s="16" t="s">
        <v>2906</v>
      </c>
      <c r="B995" s="16" t="s">
        <v>2907</v>
      </c>
      <c r="C995" s="16" t="s">
        <v>1769</v>
      </c>
      <c r="D995" s="16" t="s">
        <v>388</v>
      </c>
      <c r="E995" s="16" t="s">
        <v>539</v>
      </c>
      <c r="H995" s="16" t="s">
        <v>33</v>
      </c>
      <c r="J995" s="16" t="s">
        <v>32</v>
      </c>
    </row>
    <row r="996" spans="1:10" x14ac:dyDescent="0.3">
      <c r="A996" s="16" t="s">
        <v>2906</v>
      </c>
      <c r="B996" s="16" t="s">
        <v>2907</v>
      </c>
      <c r="C996" s="16" t="s">
        <v>1804</v>
      </c>
      <c r="D996" s="16" t="s">
        <v>388</v>
      </c>
      <c r="E996" s="16" t="s">
        <v>539</v>
      </c>
      <c r="H996" s="16" t="s">
        <v>33</v>
      </c>
      <c r="J996" s="16" t="s">
        <v>32</v>
      </c>
    </row>
    <row r="997" spans="1:10" x14ac:dyDescent="0.3">
      <c r="A997" s="16" t="s">
        <v>2908</v>
      </c>
      <c r="B997" s="16" t="s">
        <v>2909</v>
      </c>
      <c r="C997" s="16" t="s">
        <v>1779</v>
      </c>
      <c r="D997" s="16" t="s">
        <v>18</v>
      </c>
      <c r="E997" s="16" t="s">
        <v>539</v>
      </c>
      <c r="G997" s="16" t="s">
        <v>1770</v>
      </c>
      <c r="H997" s="16" t="s">
        <v>33</v>
      </c>
    </row>
    <row r="998" spans="1:10" x14ac:dyDescent="0.3">
      <c r="A998" s="16" t="s">
        <v>2908</v>
      </c>
      <c r="B998" s="16" t="s">
        <v>2910</v>
      </c>
      <c r="C998" s="16" t="s">
        <v>1915</v>
      </c>
      <c r="D998" s="16" t="s">
        <v>18</v>
      </c>
      <c r="E998" s="16" t="s">
        <v>539</v>
      </c>
      <c r="G998" s="16" t="s">
        <v>1770</v>
      </c>
      <c r="H998" s="16" t="s">
        <v>33</v>
      </c>
    </row>
    <row r="999" spans="1:10" x14ac:dyDescent="0.3">
      <c r="A999" s="16" t="s">
        <v>2908</v>
      </c>
      <c r="B999" s="16" t="s">
        <v>2911</v>
      </c>
      <c r="C999" s="16" t="s">
        <v>1778</v>
      </c>
      <c r="D999" s="16" t="s">
        <v>18</v>
      </c>
      <c r="E999" s="16" t="s">
        <v>539</v>
      </c>
      <c r="G999" s="16" t="s">
        <v>1770</v>
      </c>
      <c r="H999" s="16" t="s">
        <v>33</v>
      </c>
    </row>
    <row r="1000" spans="1:10" x14ac:dyDescent="0.3">
      <c r="A1000" s="16" t="s">
        <v>2912</v>
      </c>
      <c r="B1000" s="16" t="s">
        <v>2913</v>
      </c>
      <c r="C1000" s="16" t="s">
        <v>1779</v>
      </c>
      <c r="D1000" s="16" t="s">
        <v>18</v>
      </c>
      <c r="E1000" s="16" t="s">
        <v>539</v>
      </c>
      <c r="G1000" s="16" t="s">
        <v>1770</v>
      </c>
      <c r="H1000" s="16" t="s">
        <v>33</v>
      </c>
    </row>
    <row r="1001" spans="1:10" x14ac:dyDescent="0.3">
      <c r="A1001" s="16" t="s">
        <v>2912</v>
      </c>
      <c r="B1001" s="16" t="s">
        <v>2914</v>
      </c>
      <c r="C1001" s="16" t="s">
        <v>1915</v>
      </c>
      <c r="D1001" s="16" t="s">
        <v>18</v>
      </c>
      <c r="E1001" s="16" t="s">
        <v>539</v>
      </c>
      <c r="G1001" s="16" t="s">
        <v>1770</v>
      </c>
      <c r="H1001" s="16" t="s">
        <v>33</v>
      </c>
    </row>
    <row r="1002" spans="1:10" x14ac:dyDescent="0.3">
      <c r="A1002" s="16" t="s">
        <v>2912</v>
      </c>
      <c r="B1002" s="16" t="s">
        <v>2915</v>
      </c>
      <c r="C1002" s="16" t="s">
        <v>1778</v>
      </c>
      <c r="D1002" s="16" t="s">
        <v>18</v>
      </c>
      <c r="E1002" s="16" t="s">
        <v>539</v>
      </c>
      <c r="G1002" s="16" t="s">
        <v>1770</v>
      </c>
      <c r="H1002" s="16" t="s">
        <v>33</v>
      </c>
    </row>
    <row r="1003" spans="1:10" x14ac:dyDescent="0.3">
      <c r="A1003" s="16" t="s">
        <v>2916</v>
      </c>
      <c r="B1003" s="16" t="s">
        <v>2917</v>
      </c>
      <c r="C1003" s="16" t="s">
        <v>1779</v>
      </c>
      <c r="D1003" s="16" t="s">
        <v>18</v>
      </c>
      <c r="E1003" s="16" t="s">
        <v>588</v>
      </c>
      <c r="G1003" s="16" t="s">
        <v>1770</v>
      </c>
      <c r="H1003" s="16" t="s">
        <v>33</v>
      </c>
    </row>
    <row r="1004" spans="1:10" x14ac:dyDescent="0.3">
      <c r="A1004" s="16" t="s">
        <v>2916</v>
      </c>
      <c r="B1004" s="16" t="s">
        <v>2918</v>
      </c>
      <c r="C1004" s="16" t="s">
        <v>1915</v>
      </c>
      <c r="D1004" s="16" t="s">
        <v>18</v>
      </c>
      <c r="E1004" s="16" t="s">
        <v>588</v>
      </c>
      <c r="G1004" s="16" t="s">
        <v>1770</v>
      </c>
      <c r="H1004" s="16" t="s">
        <v>33</v>
      </c>
    </row>
    <row r="1005" spans="1:10" x14ac:dyDescent="0.3">
      <c r="A1005" s="16" t="s">
        <v>2916</v>
      </c>
      <c r="B1005" s="16" t="s">
        <v>2919</v>
      </c>
      <c r="C1005" s="16" t="s">
        <v>1778</v>
      </c>
      <c r="D1005" s="16" t="s">
        <v>18</v>
      </c>
      <c r="E1005" s="16" t="s">
        <v>588</v>
      </c>
      <c r="G1005" s="16" t="s">
        <v>1770</v>
      </c>
      <c r="H1005" s="16" t="s">
        <v>33</v>
      </c>
    </row>
    <row r="1006" spans="1:10" x14ac:dyDescent="0.3">
      <c r="A1006" s="16" t="s">
        <v>2920</v>
      </c>
      <c r="B1006" s="16" t="s">
        <v>2921</v>
      </c>
      <c r="C1006" s="16" t="s">
        <v>1779</v>
      </c>
      <c r="D1006" s="16" t="s">
        <v>18</v>
      </c>
      <c r="E1006" s="16" t="s">
        <v>1791</v>
      </c>
      <c r="G1006" s="16" t="s">
        <v>1770</v>
      </c>
      <c r="H1006" s="16" t="s">
        <v>33</v>
      </c>
    </row>
    <row r="1007" spans="1:10" x14ac:dyDescent="0.3">
      <c r="A1007" s="16" t="s">
        <v>2920</v>
      </c>
      <c r="B1007" s="16" t="s">
        <v>2922</v>
      </c>
      <c r="C1007" s="16" t="s">
        <v>1915</v>
      </c>
      <c r="D1007" s="16" t="s">
        <v>18</v>
      </c>
      <c r="E1007" s="16" t="s">
        <v>1791</v>
      </c>
      <c r="G1007" s="16" t="s">
        <v>1770</v>
      </c>
      <c r="H1007" s="16" t="s">
        <v>33</v>
      </c>
    </row>
    <row r="1008" spans="1:10" x14ac:dyDescent="0.3">
      <c r="A1008" s="16" t="s">
        <v>2920</v>
      </c>
      <c r="B1008" s="16" t="s">
        <v>2923</v>
      </c>
      <c r="C1008" s="16" t="s">
        <v>1778</v>
      </c>
      <c r="D1008" s="16" t="s">
        <v>18</v>
      </c>
      <c r="E1008" s="16" t="s">
        <v>1791</v>
      </c>
      <c r="G1008" s="16" t="s">
        <v>1770</v>
      </c>
      <c r="H1008" s="16" t="s">
        <v>33</v>
      </c>
    </row>
    <row r="1009" spans="1:12" x14ac:dyDescent="0.3">
      <c r="A1009" s="16" t="s">
        <v>2924</v>
      </c>
      <c r="B1009" s="16" t="s">
        <v>2925</v>
      </c>
      <c r="C1009" s="16" t="s">
        <v>1782</v>
      </c>
      <c r="D1009" s="16" t="s">
        <v>133</v>
      </c>
      <c r="E1009" s="16" t="s">
        <v>1791</v>
      </c>
      <c r="H1009" s="16" t="s">
        <v>33</v>
      </c>
    </row>
    <row r="1010" spans="1:12" x14ac:dyDescent="0.3">
      <c r="A1010" s="16" t="s">
        <v>3452</v>
      </c>
      <c r="B1010" s="16" t="s">
        <v>509</v>
      </c>
      <c r="C1010" s="16" t="s">
        <v>1779</v>
      </c>
      <c r="D1010" s="16" t="s">
        <v>388</v>
      </c>
      <c r="E1010" s="16" t="s">
        <v>539</v>
      </c>
      <c r="H1010" s="16" t="s">
        <v>33</v>
      </c>
      <c r="J1010" s="16" t="s">
        <v>32</v>
      </c>
    </row>
    <row r="1011" spans="1:12" x14ac:dyDescent="0.3">
      <c r="A1011" s="16" t="s">
        <v>3453</v>
      </c>
      <c r="B1011" s="16" t="s">
        <v>334</v>
      </c>
      <c r="C1011" s="16" t="s">
        <v>1779</v>
      </c>
      <c r="D1011" s="16" t="s">
        <v>388</v>
      </c>
      <c r="E1011" s="16" t="s">
        <v>539</v>
      </c>
      <c r="H1011" s="16" t="s">
        <v>33</v>
      </c>
      <c r="J1011" s="16" t="s">
        <v>32</v>
      </c>
    </row>
    <row r="1012" spans="1:12" x14ac:dyDescent="0.3">
      <c r="A1012" s="16" t="s">
        <v>2926</v>
      </c>
      <c r="B1012" s="16" t="s">
        <v>462</v>
      </c>
      <c r="C1012" s="16" t="s">
        <v>1779</v>
      </c>
      <c r="D1012" s="16" t="s">
        <v>388</v>
      </c>
      <c r="E1012" s="16" t="s">
        <v>539</v>
      </c>
      <c r="H1012" s="16" t="s">
        <v>33</v>
      </c>
      <c r="J1012" s="16" t="s">
        <v>32</v>
      </c>
    </row>
    <row r="1013" spans="1:12" x14ac:dyDescent="0.3">
      <c r="A1013" s="16" t="s">
        <v>2926</v>
      </c>
      <c r="B1013" s="16" t="s">
        <v>462</v>
      </c>
      <c r="C1013" s="16" t="s">
        <v>1777</v>
      </c>
      <c r="D1013" s="16" t="s">
        <v>388</v>
      </c>
      <c r="E1013" s="16" t="s">
        <v>539</v>
      </c>
      <c r="H1013" s="16" t="s">
        <v>33</v>
      </c>
      <c r="J1013" s="16" t="s">
        <v>32</v>
      </c>
    </row>
    <row r="1014" spans="1:12" x14ac:dyDescent="0.3">
      <c r="A1014" s="16" t="s">
        <v>2927</v>
      </c>
      <c r="B1014" s="16" t="s">
        <v>2928</v>
      </c>
      <c r="C1014" s="16" t="s">
        <v>1779</v>
      </c>
      <c r="D1014" s="16" t="s">
        <v>388</v>
      </c>
      <c r="E1014" s="16" t="s">
        <v>539</v>
      </c>
      <c r="H1014" s="16" t="s">
        <v>33</v>
      </c>
      <c r="J1014" s="16" t="s">
        <v>32</v>
      </c>
    </row>
    <row r="1015" spans="1:12" x14ac:dyDescent="0.3">
      <c r="A1015" s="16" t="s">
        <v>522</v>
      </c>
      <c r="B1015" s="16" t="s">
        <v>350</v>
      </c>
      <c r="C1015" s="16" t="s">
        <v>1779</v>
      </c>
      <c r="D1015" s="16" t="s">
        <v>388</v>
      </c>
      <c r="E1015" s="16" t="s">
        <v>539</v>
      </c>
      <c r="H1015" s="16" t="s">
        <v>33</v>
      </c>
      <c r="J1015" s="16" t="s">
        <v>32</v>
      </c>
    </row>
    <row r="1016" spans="1:12" x14ac:dyDescent="0.3">
      <c r="A1016" s="16" t="s">
        <v>519</v>
      </c>
      <c r="B1016" s="16" t="s">
        <v>520</v>
      </c>
      <c r="C1016" s="16" t="s">
        <v>1779</v>
      </c>
      <c r="D1016" s="16" t="s">
        <v>388</v>
      </c>
      <c r="E1016" s="16" t="s">
        <v>539</v>
      </c>
      <c r="H1016" s="16" t="s">
        <v>33</v>
      </c>
      <c r="J1016" s="16" t="s">
        <v>32</v>
      </c>
    </row>
    <row r="1017" spans="1:12" x14ac:dyDescent="0.3">
      <c r="A1017" s="16" t="s">
        <v>1146</v>
      </c>
      <c r="B1017" s="16" t="s">
        <v>1147</v>
      </c>
      <c r="C1017" s="16" t="s">
        <v>1915</v>
      </c>
      <c r="D1017" s="16" t="s">
        <v>18</v>
      </c>
      <c r="E1017" s="16" t="s">
        <v>539</v>
      </c>
      <c r="G1017" s="16" t="s">
        <v>1127</v>
      </c>
      <c r="H1017" s="16" t="s">
        <v>33</v>
      </c>
    </row>
    <row r="1018" spans="1:12" x14ac:dyDescent="0.3">
      <c r="A1018" s="16" t="s">
        <v>1148</v>
      </c>
      <c r="B1018" s="16" t="s">
        <v>1149</v>
      </c>
      <c r="C1018" s="16" t="s">
        <v>1915</v>
      </c>
      <c r="D1018" s="16" t="s">
        <v>18</v>
      </c>
      <c r="E1018" s="16" t="s">
        <v>539</v>
      </c>
      <c r="G1018" s="16" t="s">
        <v>1127</v>
      </c>
      <c r="H1018" s="16" t="s">
        <v>33</v>
      </c>
    </row>
    <row r="1019" spans="1:12" x14ac:dyDescent="0.3">
      <c r="A1019" s="16" t="s">
        <v>2929</v>
      </c>
      <c r="B1019" s="16" t="s">
        <v>2930</v>
      </c>
      <c r="C1019" s="16" t="s">
        <v>2306</v>
      </c>
      <c r="D1019" s="16" t="s">
        <v>388</v>
      </c>
      <c r="E1019" s="16" t="s">
        <v>539</v>
      </c>
      <c r="H1019" s="16" t="s">
        <v>33</v>
      </c>
      <c r="J1019" s="16" t="s">
        <v>32</v>
      </c>
      <c r="L1019" s="16" t="s">
        <v>33</v>
      </c>
    </row>
    <row r="1020" spans="1:12" x14ac:dyDescent="0.3">
      <c r="A1020" s="16" t="s">
        <v>2929</v>
      </c>
      <c r="B1020" s="16" t="s">
        <v>2930</v>
      </c>
      <c r="C1020" s="16" t="s">
        <v>2307</v>
      </c>
      <c r="D1020" s="16" t="s">
        <v>388</v>
      </c>
      <c r="E1020" s="16" t="s">
        <v>539</v>
      </c>
      <c r="H1020" s="16" t="s">
        <v>33</v>
      </c>
      <c r="J1020" s="16" t="s">
        <v>32</v>
      </c>
      <c r="L1020" s="16" t="s">
        <v>33</v>
      </c>
    </row>
    <row r="1021" spans="1:12" x14ac:dyDescent="0.3">
      <c r="A1021" s="16" t="s">
        <v>2929</v>
      </c>
      <c r="B1021" s="16" t="s">
        <v>2930</v>
      </c>
      <c r="C1021" s="16" t="s">
        <v>1779</v>
      </c>
      <c r="D1021" s="16" t="s">
        <v>388</v>
      </c>
      <c r="E1021" s="16" t="s">
        <v>539</v>
      </c>
      <c r="H1021" s="16" t="s">
        <v>33</v>
      </c>
      <c r="J1021" s="16" t="s">
        <v>32</v>
      </c>
      <c r="K1021" s="16" t="s">
        <v>2931</v>
      </c>
      <c r="L1021" s="16" t="s">
        <v>33</v>
      </c>
    </row>
    <row r="1022" spans="1:12" x14ac:dyDescent="0.3">
      <c r="A1022" s="16" t="s">
        <v>2932</v>
      </c>
      <c r="B1022" s="16" t="s">
        <v>2933</v>
      </c>
      <c r="C1022" s="16" t="s">
        <v>1779</v>
      </c>
      <c r="D1022" s="16" t="s">
        <v>2042</v>
      </c>
      <c r="E1022" s="16" t="s">
        <v>555</v>
      </c>
      <c r="H1022" s="16" t="s">
        <v>33</v>
      </c>
    </row>
    <row r="1023" spans="1:12" x14ac:dyDescent="0.3">
      <c r="A1023" s="16" t="s">
        <v>2932</v>
      </c>
      <c r="B1023" s="16" t="s">
        <v>2933</v>
      </c>
      <c r="C1023" s="16" t="s">
        <v>1778</v>
      </c>
      <c r="D1023" s="16" t="s">
        <v>2042</v>
      </c>
      <c r="E1023" s="16" t="s">
        <v>555</v>
      </c>
      <c r="H1023" s="16" t="s">
        <v>33</v>
      </c>
    </row>
    <row r="1024" spans="1:12" x14ac:dyDescent="0.3">
      <c r="A1024" s="16" t="s">
        <v>2932</v>
      </c>
      <c r="B1024" s="16" t="s">
        <v>2934</v>
      </c>
      <c r="C1024" s="16" t="s">
        <v>1779</v>
      </c>
      <c r="D1024" s="16" t="s">
        <v>18</v>
      </c>
      <c r="E1024" s="16" t="s">
        <v>555</v>
      </c>
      <c r="G1024" s="16" t="s">
        <v>1770</v>
      </c>
      <c r="H1024" s="16" t="s">
        <v>33</v>
      </c>
    </row>
    <row r="1025" spans="1:8" x14ac:dyDescent="0.3">
      <c r="A1025" s="16" t="s">
        <v>2932</v>
      </c>
      <c r="B1025" s="16" t="s">
        <v>2935</v>
      </c>
      <c r="C1025" s="16" t="s">
        <v>1778</v>
      </c>
      <c r="D1025" s="16" t="s">
        <v>18</v>
      </c>
      <c r="E1025" s="16" t="s">
        <v>555</v>
      </c>
      <c r="G1025" s="16" t="s">
        <v>1770</v>
      </c>
      <c r="H1025" s="16" t="s">
        <v>33</v>
      </c>
    </row>
    <row r="1026" spans="1:8" x14ac:dyDescent="0.3">
      <c r="A1026" s="16" t="s">
        <v>2936</v>
      </c>
      <c r="B1026" s="16" t="s">
        <v>2937</v>
      </c>
      <c r="C1026" s="16" t="s">
        <v>1778</v>
      </c>
      <c r="D1026" s="16" t="s">
        <v>2042</v>
      </c>
      <c r="E1026" s="16" t="s">
        <v>555</v>
      </c>
      <c r="H1026" s="16" t="s">
        <v>33</v>
      </c>
    </row>
    <row r="1027" spans="1:8" x14ac:dyDescent="0.3">
      <c r="A1027" s="16" t="s">
        <v>2936</v>
      </c>
      <c r="B1027" s="16" t="s">
        <v>2938</v>
      </c>
      <c r="C1027" s="16" t="s">
        <v>1778</v>
      </c>
      <c r="D1027" s="16" t="s">
        <v>18</v>
      </c>
      <c r="E1027" s="16" t="s">
        <v>555</v>
      </c>
      <c r="G1027" s="16" t="s">
        <v>1770</v>
      </c>
      <c r="H1027" s="16" t="s">
        <v>33</v>
      </c>
    </row>
    <row r="1028" spans="1:8" x14ac:dyDescent="0.3">
      <c r="A1028" s="16" t="s">
        <v>2939</v>
      </c>
      <c r="B1028" s="16" t="s">
        <v>2940</v>
      </c>
      <c r="C1028" s="16" t="s">
        <v>1779</v>
      </c>
      <c r="D1028" s="16" t="s">
        <v>2042</v>
      </c>
      <c r="E1028" s="16" t="s">
        <v>555</v>
      </c>
      <c r="H1028" s="16" t="s">
        <v>33</v>
      </c>
    </row>
    <row r="1029" spans="1:8" x14ac:dyDescent="0.3">
      <c r="A1029" s="16" t="s">
        <v>2939</v>
      </c>
      <c r="B1029" s="16" t="s">
        <v>2940</v>
      </c>
      <c r="C1029" s="16" t="s">
        <v>1915</v>
      </c>
      <c r="D1029" s="16" t="s">
        <v>2042</v>
      </c>
      <c r="E1029" s="16" t="s">
        <v>555</v>
      </c>
      <c r="H1029" s="16" t="s">
        <v>33</v>
      </c>
    </row>
    <row r="1030" spans="1:8" x14ac:dyDescent="0.3">
      <c r="A1030" s="16" t="s">
        <v>2939</v>
      </c>
      <c r="B1030" s="16" t="s">
        <v>2940</v>
      </c>
      <c r="C1030" s="16" t="s">
        <v>1778</v>
      </c>
      <c r="D1030" s="16" t="s">
        <v>2042</v>
      </c>
      <c r="E1030" s="16" t="s">
        <v>555</v>
      </c>
      <c r="H1030" s="16" t="s">
        <v>33</v>
      </c>
    </row>
    <row r="1031" spans="1:8" x14ac:dyDescent="0.3">
      <c r="A1031" s="16" t="s">
        <v>2939</v>
      </c>
      <c r="B1031" s="16" t="s">
        <v>2941</v>
      </c>
      <c r="C1031" s="16" t="s">
        <v>1779</v>
      </c>
      <c r="D1031" s="16" t="s">
        <v>18</v>
      </c>
      <c r="E1031" s="16" t="s">
        <v>555</v>
      </c>
      <c r="G1031" s="16" t="s">
        <v>1770</v>
      </c>
      <c r="H1031" s="16" t="s">
        <v>33</v>
      </c>
    </row>
    <row r="1032" spans="1:8" x14ac:dyDescent="0.3">
      <c r="A1032" s="16" t="s">
        <v>2939</v>
      </c>
      <c r="B1032" s="16" t="s">
        <v>2942</v>
      </c>
      <c r="C1032" s="16" t="s">
        <v>1915</v>
      </c>
      <c r="D1032" s="16" t="s">
        <v>18</v>
      </c>
      <c r="E1032" s="16" t="s">
        <v>555</v>
      </c>
      <c r="G1032" s="16" t="s">
        <v>1770</v>
      </c>
      <c r="H1032" s="16" t="s">
        <v>33</v>
      </c>
    </row>
    <row r="1033" spans="1:8" x14ac:dyDescent="0.3">
      <c r="A1033" s="16" t="s">
        <v>2939</v>
      </c>
      <c r="B1033" s="16" t="s">
        <v>2943</v>
      </c>
      <c r="C1033" s="16" t="s">
        <v>1778</v>
      </c>
      <c r="D1033" s="16" t="s">
        <v>18</v>
      </c>
      <c r="E1033" s="16" t="s">
        <v>555</v>
      </c>
      <c r="G1033" s="16" t="s">
        <v>1770</v>
      </c>
      <c r="H1033" s="16" t="s">
        <v>33</v>
      </c>
    </row>
    <row r="1034" spans="1:8" x14ac:dyDescent="0.3">
      <c r="A1034" s="16" t="s">
        <v>2944</v>
      </c>
      <c r="B1034" s="16" t="s">
        <v>2945</v>
      </c>
      <c r="C1034" s="16" t="s">
        <v>1778</v>
      </c>
      <c r="D1034" s="16" t="s">
        <v>2042</v>
      </c>
      <c r="E1034" s="16" t="s">
        <v>555</v>
      </c>
      <c r="H1034" s="16" t="s">
        <v>33</v>
      </c>
    </row>
    <row r="1035" spans="1:8" x14ac:dyDescent="0.3">
      <c r="A1035" s="16" t="s">
        <v>2944</v>
      </c>
      <c r="B1035" s="16" t="s">
        <v>2946</v>
      </c>
      <c r="C1035" s="16" t="s">
        <v>1778</v>
      </c>
      <c r="D1035" s="16" t="s">
        <v>18</v>
      </c>
      <c r="E1035" s="16" t="s">
        <v>555</v>
      </c>
      <c r="G1035" s="16" t="s">
        <v>1770</v>
      </c>
      <c r="H1035" s="16" t="s">
        <v>33</v>
      </c>
    </row>
    <row r="1036" spans="1:8" x14ac:dyDescent="0.3">
      <c r="A1036" s="16" t="s">
        <v>2947</v>
      </c>
      <c r="B1036" s="16" t="s">
        <v>2948</v>
      </c>
      <c r="C1036" s="16" t="s">
        <v>1778</v>
      </c>
      <c r="D1036" s="16" t="s">
        <v>2042</v>
      </c>
      <c r="E1036" s="16" t="s">
        <v>555</v>
      </c>
      <c r="H1036" s="16" t="s">
        <v>33</v>
      </c>
    </row>
    <row r="1037" spans="1:8" x14ac:dyDescent="0.3">
      <c r="A1037" s="16" t="s">
        <v>2947</v>
      </c>
      <c r="B1037" s="16" t="s">
        <v>2949</v>
      </c>
      <c r="C1037" s="16" t="s">
        <v>1778</v>
      </c>
      <c r="D1037" s="16" t="s">
        <v>18</v>
      </c>
      <c r="E1037" s="16" t="s">
        <v>555</v>
      </c>
      <c r="G1037" s="16" t="s">
        <v>1770</v>
      </c>
      <c r="H1037" s="16" t="s">
        <v>33</v>
      </c>
    </row>
    <row r="1038" spans="1:8" x14ac:dyDescent="0.3">
      <c r="A1038" s="16" t="s">
        <v>2950</v>
      </c>
      <c r="B1038" s="16" t="s">
        <v>2951</v>
      </c>
      <c r="C1038" s="16" t="s">
        <v>1778</v>
      </c>
      <c r="D1038" s="16" t="s">
        <v>2042</v>
      </c>
      <c r="E1038" s="16" t="s">
        <v>555</v>
      </c>
      <c r="H1038" s="16" t="s">
        <v>33</v>
      </c>
    </row>
    <row r="1039" spans="1:8" x14ac:dyDescent="0.3">
      <c r="A1039" s="16" t="s">
        <v>2950</v>
      </c>
      <c r="B1039" s="16" t="s">
        <v>2952</v>
      </c>
      <c r="C1039" s="16" t="s">
        <v>1778</v>
      </c>
      <c r="D1039" s="16" t="s">
        <v>18</v>
      </c>
      <c r="E1039" s="16" t="s">
        <v>555</v>
      </c>
      <c r="G1039" s="16" t="s">
        <v>1770</v>
      </c>
      <c r="H1039" s="16" t="s">
        <v>33</v>
      </c>
    </row>
    <row r="1040" spans="1:8" x14ac:dyDescent="0.3">
      <c r="A1040" s="16" t="s">
        <v>2953</v>
      </c>
      <c r="B1040" s="16" t="s">
        <v>2954</v>
      </c>
      <c r="C1040" s="16" t="s">
        <v>1778</v>
      </c>
      <c r="D1040" s="16" t="s">
        <v>2042</v>
      </c>
      <c r="E1040" s="16" t="s">
        <v>555</v>
      </c>
      <c r="H1040" s="16" t="s">
        <v>33</v>
      </c>
    </row>
    <row r="1041" spans="1:8" x14ac:dyDescent="0.3">
      <c r="A1041" s="16" t="s">
        <v>2953</v>
      </c>
      <c r="B1041" s="16" t="s">
        <v>2955</v>
      </c>
      <c r="C1041" s="16" t="s">
        <v>1778</v>
      </c>
      <c r="D1041" s="16" t="s">
        <v>18</v>
      </c>
      <c r="E1041" s="16" t="s">
        <v>555</v>
      </c>
      <c r="G1041" s="16" t="s">
        <v>1770</v>
      </c>
      <c r="H1041" s="16" t="s">
        <v>33</v>
      </c>
    </row>
    <row r="1042" spans="1:8" x14ac:dyDescent="0.3">
      <c r="A1042" s="16" t="s">
        <v>2956</v>
      </c>
      <c r="B1042" s="16" t="s">
        <v>2957</v>
      </c>
      <c r="C1042" s="16" t="s">
        <v>1778</v>
      </c>
      <c r="D1042" s="16" t="s">
        <v>2042</v>
      </c>
      <c r="E1042" s="16" t="s">
        <v>555</v>
      </c>
      <c r="H1042" s="16" t="s">
        <v>33</v>
      </c>
    </row>
    <row r="1043" spans="1:8" x14ac:dyDescent="0.3">
      <c r="A1043" s="16" t="s">
        <v>2956</v>
      </c>
      <c r="B1043" s="16" t="s">
        <v>2958</v>
      </c>
      <c r="C1043" s="16" t="s">
        <v>1778</v>
      </c>
      <c r="D1043" s="16" t="s">
        <v>18</v>
      </c>
      <c r="E1043" s="16" t="s">
        <v>555</v>
      </c>
      <c r="G1043" s="16" t="s">
        <v>1770</v>
      </c>
      <c r="H1043" s="16" t="s">
        <v>33</v>
      </c>
    </row>
    <row r="1044" spans="1:8" x14ac:dyDescent="0.3">
      <c r="A1044" s="16" t="s">
        <v>2959</v>
      </c>
      <c r="B1044" s="16" t="s">
        <v>2960</v>
      </c>
      <c r="C1044" s="16" t="s">
        <v>1778</v>
      </c>
      <c r="D1044" s="16" t="s">
        <v>2042</v>
      </c>
      <c r="E1044" s="16" t="s">
        <v>555</v>
      </c>
      <c r="H1044" s="16" t="s">
        <v>33</v>
      </c>
    </row>
    <row r="1045" spans="1:8" x14ac:dyDescent="0.3">
      <c r="A1045" s="16" t="s">
        <v>2959</v>
      </c>
      <c r="B1045" s="16" t="s">
        <v>2961</v>
      </c>
      <c r="C1045" s="16" t="s">
        <v>1778</v>
      </c>
      <c r="D1045" s="16" t="s">
        <v>18</v>
      </c>
      <c r="E1045" s="16" t="s">
        <v>555</v>
      </c>
      <c r="G1045" s="16" t="s">
        <v>1770</v>
      </c>
      <c r="H1045" s="16" t="s">
        <v>33</v>
      </c>
    </row>
    <row r="1046" spans="1:8" x14ac:dyDescent="0.3">
      <c r="A1046" s="16" t="s">
        <v>2962</v>
      </c>
      <c r="B1046" s="16" t="s">
        <v>2963</v>
      </c>
      <c r="C1046" s="16" t="s">
        <v>1778</v>
      </c>
      <c r="D1046" s="16" t="s">
        <v>2042</v>
      </c>
      <c r="E1046" s="16" t="s">
        <v>555</v>
      </c>
      <c r="H1046" s="16" t="s">
        <v>33</v>
      </c>
    </row>
    <row r="1047" spans="1:8" x14ac:dyDescent="0.3">
      <c r="A1047" s="16" t="s">
        <v>2962</v>
      </c>
      <c r="B1047" s="16" t="s">
        <v>2964</v>
      </c>
      <c r="C1047" s="16" t="s">
        <v>1778</v>
      </c>
      <c r="D1047" s="16" t="s">
        <v>18</v>
      </c>
      <c r="E1047" s="16" t="s">
        <v>555</v>
      </c>
      <c r="G1047" s="16" t="s">
        <v>1770</v>
      </c>
      <c r="H1047" s="16" t="s">
        <v>33</v>
      </c>
    </row>
    <row r="1048" spans="1:8" x14ac:dyDescent="0.3">
      <c r="A1048" s="16" t="s">
        <v>2965</v>
      </c>
      <c r="B1048" s="16" t="s">
        <v>2966</v>
      </c>
      <c r="C1048" s="16" t="s">
        <v>1778</v>
      </c>
      <c r="D1048" s="16" t="s">
        <v>2042</v>
      </c>
      <c r="E1048" s="16" t="s">
        <v>555</v>
      </c>
      <c r="H1048" s="16" t="s">
        <v>33</v>
      </c>
    </row>
    <row r="1049" spans="1:8" x14ac:dyDescent="0.3">
      <c r="A1049" s="16" t="s">
        <v>2965</v>
      </c>
      <c r="B1049" s="16" t="s">
        <v>2967</v>
      </c>
      <c r="C1049" s="16" t="s">
        <v>1778</v>
      </c>
      <c r="D1049" s="16" t="s">
        <v>18</v>
      </c>
      <c r="E1049" s="16" t="s">
        <v>555</v>
      </c>
      <c r="G1049" s="16" t="s">
        <v>1770</v>
      </c>
      <c r="H1049" s="16" t="s">
        <v>33</v>
      </c>
    </row>
    <row r="1050" spans="1:8" x14ac:dyDescent="0.3">
      <c r="A1050" s="16" t="s">
        <v>2968</v>
      </c>
      <c r="B1050" s="16" t="s">
        <v>2969</v>
      </c>
      <c r="C1050" s="16" t="s">
        <v>1778</v>
      </c>
      <c r="D1050" s="16" t="s">
        <v>2042</v>
      </c>
      <c r="E1050" s="16" t="s">
        <v>555</v>
      </c>
      <c r="H1050" s="16" t="s">
        <v>33</v>
      </c>
    </row>
    <row r="1051" spans="1:8" x14ac:dyDescent="0.3">
      <c r="A1051" s="16" t="s">
        <v>2968</v>
      </c>
      <c r="B1051" s="16" t="s">
        <v>2970</v>
      </c>
      <c r="C1051" s="16" t="s">
        <v>1778</v>
      </c>
      <c r="D1051" s="16" t="s">
        <v>18</v>
      </c>
      <c r="E1051" s="16" t="s">
        <v>555</v>
      </c>
      <c r="G1051" s="16" t="s">
        <v>1770</v>
      </c>
      <c r="H1051" s="16" t="s">
        <v>33</v>
      </c>
    </row>
    <row r="1052" spans="1:8" x14ac:dyDescent="0.3">
      <c r="A1052" s="16" t="s">
        <v>2971</v>
      </c>
      <c r="B1052" s="16" t="s">
        <v>2972</v>
      </c>
      <c r="C1052" s="16" t="s">
        <v>1778</v>
      </c>
      <c r="D1052" s="16" t="s">
        <v>2042</v>
      </c>
      <c r="E1052" s="16" t="s">
        <v>555</v>
      </c>
      <c r="H1052" s="16" t="s">
        <v>33</v>
      </c>
    </row>
    <row r="1053" spans="1:8" x14ac:dyDescent="0.3">
      <c r="A1053" s="16" t="s">
        <v>2971</v>
      </c>
      <c r="B1053" s="16" t="s">
        <v>2973</v>
      </c>
      <c r="C1053" s="16" t="s">
        <v>1778</v>
      </c>
      <c r="D1053" s="16" t="s">
        <v>18</v>
      </c>
      <c r="E1053" s="16" t="s">
        <v>555</v>
      </c>
      <c r="G1053" s="16" t="s">
        <v>1770</v>
      </c>
      <c r="H1053" s="16" t="s">
        <v>33</v>
      </c>
    </row>
    <row r="1054" spans="1:8" x14ac:dyDescent="0.3">
      <c r="A1054" s="16" t="s">
        <v>2974</v>
      </c>
      <c r="B1054" s="16" t="s">
        <v>2975</v>
      </c>
      <c r="C1054" s="16" t="s">
        <v>1778</v>
      </c>
      <c r="D1054" s="16" t="s">
        <v>2042</v>
      </c>
      <c r="E1054" s="16" t="s">
        <v>555</v>
      </c>
      <c r="H1054" s="16" t="s">
        <v>33</v>
      </c>
    </row>
    <row r="1055" spans="1:8" x14ac:dyDescent="0.3">
      <c r="A1055" s="16" t="s">
        <v>2974</v>
      </c>
      <c r="B1055" s="16" t="s">
        <v>2976</v>
      </c>
      <c r="C1055" s="16" t="s">
        <v>1778</v>
      </c>
      <c r="D1055" s="16" t="s">
        <v>18</v>
      </c>
      <c r="E1055" s="16" t="s">
        <v>555</v>
      </c>
      <c r="G1055" s="16" t="s">
        <v>1770</v>
      </c>
      <c r="H1055" s="16" t="s">
        <v>33</v>
      </c>
    </row>
    <row r="1056" spans="1:8" x14ac:dyDescent="0.3">
      <c r="A1056" s="16" t="s">
        <v>2977</v>
      </c>
      <c r="B1056" s="16" t="s">
        <v>2978</v>
      </c>
      <c r="C1056" s="16" t="s">
        <v>1778</v>
      </c>
      <c r="D1056" s="16" t="s">
        <v>2042</v>
      </c>
      <c r="E1056" s="16" t="s">
        <v>555</v>
      </c>
      <c r="H1056" s="16" t="s">
        <v>33</v>
      </c>
    </row>
    <row r="1057" spans="1:10" x14ac:dyDescent="0.3">
      <c r="A1057" s="16" t="s">
        <v>2977</v>
      </c>
      <c r="B1057" s="16" t="s">
        <v>2979</v>
      </c>
      <c r="C1057" s="16" t="s">
        <v>1778</v>
      </c>
      <c r="D1057" s="16" t="s">
        <v>18</v>
      </c>
      <c r="E1057" s="16" t="s">
        <v>555</v>
      </c>
      <c r="G1057" s="16" t="s">
        <v>1770</v>
      </c>
      <c r="H1057" s="16" t="s">
        <v>33</v>
      </c>
    </row>
    <row r="1058" spans="1:10" x14ac:dyDescent="0.3">
      <c r="A1058" s="16" t="s">
        <v>2980</v>
      </c>
      <c r="B1058" s="16" t="s">
        <v>2981</v>
      </c>
      <c r="C1058" s="16" t="s">
        <v>1778</v>
      </c>
      <c r="D1058" s="16" t="s">
        <v>2042</v>
      </c>
      <c r="E1058" s="16" t="s">
        <v>555</v>
      </c>
      <c r="H1058" s="16" t="s">
        <v>33</v>
      </c>
    </row>
    <row r="1059" spans="1:10" x14ac:dyDescent="0.3">
      <c r="A1059" s="16" t="s">
        <v>2980</v>
      </c>
      <c r="B1059" s="16" t="s">
        <v>2982</v>
      </c>
      <c r="C1059" s="16" t="s">
        <v>1778</v>
      </c>
      <c r="D1059" s="16" t="s">
        <v>18</v>
      </c>
      <c r="E1059" s="16" t="s">
        <v>555</v>
      </c>
      <c r="G1059" s="16" t="s">
        <v>1770</v>
      </c>
      <c r="H1059" s="16" t="s">
        <v>33</v>
      </c>
    </row>
    <row r="1060" spans="1:10" x14ac:dyDescent="0.3">
      <c r="A1060" s="16" t="s">
        <v>2983</v>
      </c>
      <c r="B1060" s="16" t="s">
        <v>2984</v>
      </c>
      <c r="C1060" s="16" t="s">
        <v>1778</v>
      </c>
      <c r="D1060" s="16" t="s">
        <v>2042</v>
      </c>
      <c r="E1060" s="16" t="s">
        <v>555</v>
      </c>
      <c r="H1060" s="16" t="s">
        <v>33</v>
      </c>
    </row>
    <row r="1061" spans="1:10" x14ac:dyDescent="0.3">
      <c r="A1061" s="16" t="s">
        <v>2983</v>
      </c>
      <c r="B1061" s="16" t="s">
        <v>2985</v>
      </c>
      <c r="C1061" s="16" t="s">
        <v>1778</v>
      </c>
      <c r="D1061" s="16" t="s">
        <v>18</v>
      </c>
      <c r="E1061" s="16" t="s">
        <v>555</v>
      </c>
      <c r="G1061" s="16" t="s">
        <v>1770</v>
      </c>
      <c r="H1061" s="16" t="s">
        <v>33</v>
      </c>
    </row>
    <row r="1062" spans="1:10" x14ac:dyDescent="0.3">
      <c r="A1062" s="16" t="s">
        <v>2986</v>
      </c>
      <c r="B1062" s="16" t="s">
        <v>2987</v>
      </c>
      <c r="C1062" s="16" t="s">
        <v>1778</v>
      </c>
      <c r="D1062" s="16" t="s">
        <v>2042</v>
      </c>
      <c r="E1062" s="16" t="s">
        <v>555</v>
      </c>
      <c r="H1062" s="16" t="s">
        <v>33</v>
      </c>
    </row>
    <row r="1063" spans="1:10" x14ac:dyDescent="0.3">
      <c r="A1063" s="16" t="s">
        <v>2986</v>
      </c>
      <c r="B1063" s="16" t="s">
        <v>2988</v>
      </c>
      <c r="C1063" s="16" t="s">
        <v>1778</v>
      </c>
      <c r="D1063" s="16" t="s">
        <v>18</v>
      </c>
      <c r="E1063" s="16" t="s">
        <v>555</v>
      </c>
      <c r="G1063" s="16" t="s">
        <v>1770</v>
      </c>
      <c r="H1063" s="16" t="s">
        <v>33</v>
      </c>
    </row>
    <row r="1064" spans="1:10" x14ac:dyDescent="0.3">
      <c r="A1064" s="16" t="s">
        <v>2989</v>
      </c>
      <c r="B1064" s="16" t="s">
        <v>2990</v>
      </c>
      <c r="C1064" s="16" t="s">
        <v>1778</v>
      </c>
      <c r="D1064" s="16" t="s">
        <v>2042</v>
      </c>
      <c r="E1064" s="16" t="s">
        <v>555</v>
      </c>
      <c r="H1064" s="16" t="s">
        <v>33</v>
      </c>
    </row>
    <row r="1065" spans="1:10" x14ac:dyDescent="0.3">
      <c r="A1065" s="16" t="s">
        <v>2989</v>
      </c>
      <c r="B1065" s="16" t="s">
        <v>2991</v>
      </c>
      <c r="C1065" s="16" t="s">
        <v>1778</v>
      </c>
      <c r="D1065" s="16" t="s">
        <v>18</v>
      </c>
      <c r="E1065" s="16" t="s">
        <v>555</v>
      </c>
      <c r="G1065" s="16" t="s">
        <v>1770</v>
      </c>
      <c r="H1065" s="16" t="s">
        <v>33</v>
      </c>
    </row>
    <row r="1066" spans="1:10" x14ac:dyDescent="0.3">
      <c r="A1066" s="16" t="s">
        <v>2992</v>
      </c>
      <c r="B1066" s="16" t="s">
        <v>2993</v>
      </c>
      <c r="C1066" s="16" t="s">
        <v>1778</v>
      </c>
      <c r="D1066" s="16" t="s">
        <v>2042</v>
      </c>
      <c r="E1066" s="16" t="s">
        <v>555</v>
      </c>
      <c r="H1066" s="16" t="s">
        <v>33</v>
      </c>
    </row>
    <row r="1067" spans="1:10" x14ac:dyDescent="0.3">
      <c r="A1067" s="16" t="s">
        <v>2992</v>
      </c>
      <c r="B1067" s="16" t="s">
        <v>2994</v>
      </c>
      <c r="C1067" s="16" t="s">
        <v>1778</v>
      </c>
      <c r="D1067" s="16" t="s">
        <v>18</v>
      </c>
      <c r="E1067" s="16" t="s">
        <v>555</v>
      </c>
      <c r="G1067" s="16" t="s">
        <v>1770</v>
      </c>
      <c r="H1067" s="16" t="s">
        <v>33</v>
      </c>
    </row>
    <row r="1068" spans="1:10" x14ac:dyDescent="0.3">
      <c r="A1068" s="16" t="s">
        <v>2995</v>
      </c>
      <c r="B1068" s="16" t="s">
        <v>2996</v>
      </c>
      <c r="C1068" s="16" t="s">
        <v>1779</v>
      </c>
      <c r="D1068" s="16" t="s">
        <v>388</v>
      </c>
      <c r="E1068" s="16" t="s">
        <v>539</v>
      </c>
      <c r="H1068" s="16" t="s">
        <v>33</v>
      </c>
      <c r="J1068" s="16" t="s">
        <v>32</v>
      </c>
    </row>
    <row r="1069" spans="1:10" x14ac:dyDescent="0.3">
      <c r="A1069" s="16" t="s">
        <v>169</v>
      </c>
      <c r="B1069" s="16" t="s">
        <v>170</v>
      </c>
      <c r="C1069" s="16" t="s">
        <v>1779</v>
      </c>
      <c r="D1069" s="16" t="s">
        <v>388</v>
      </c>
      <c r="E1069" s="16" t="s">
        <v>539</v>
      </c>
      <c r="H1069" s="16" t="s">
        <v>33</v>
      </c>
      <c r="J1069" s="16" t="s">
        <v>1988</v>
      </c>
    </row>
    <row r="1070" spans="1:10" x14ac:dyDescent="0.3">
      <c r="A1070" s="16" t="s">
        <v>2997</v>
      </c>
      <c r="B1070" s="16" t="s">
        <v>2998</v>
      </c>
      <c r="C1070" s="16" t="s">
        <v>1915</v>
      </c>
      <c r="D1070" s="16" t="s">
        <v>388</v>
      </c>
      <c r="E1070" s="16" t="s">
        <v>539</v>
      </c>
      <c r="H1070" s="16" t="s">
        <v>33</v>
      </c>
      <c r="J1070" s="16" t="s">
        <v>32</v>
      </c>
    </row>
    <row r="1071" spans="1:10" x14ac:dyDescent="0.3">
      <c r="A1071" s="16" t="s">
        <v>2999</v>
      </c>
      <c r="B1071" s="16" t="s">
        <v>3000</v>
      </c>
      <c r="C1071" s="16" t="s">
        <v>1779</v>
      </c>
      <c r="D1071" s="16" t="s">
        <v>388</v>
      </c>
      <c r="E1071" s="16" t="s">
        <v>1885</v>
      </c>
      <c r="H1071" s="16" t="s">
        <v>33</v>
      </c>
    </row>
    <row r="1072" spans="1:10" x14ac:dyDescent="0.3">
      <c r="A1072" s="16" t="s">
        <v>1162</v>
      </c>
      <c r="B1072" s="16" t="s">
        <v>1163</v>
      </c>
      <c r="C1072" s="16" t="s">
        <v>3001</v>
      </c>
      <c r="D1072" s="16" t="s">
        <v>18</v>
      </c>
      <c r="E1072" s="16" t="s">
        <v>539</v>
      </c>
      <c r="G1072" s="16" t="s">
        <v>1103</v>
      </c>
      <c r="H1072" s="16" t="s">
        <v>33</v>
      </c>
    </row>
    <row r="1073" spans="1:11" x14ac:dyDescent="0.3">
      <c r="A1073" s="16" t="s">
        <v>1164</v>
      </c>
      <c r="B1073" s="16" t="s">
        <v>1165</v>
      </c>
      <c r="C1073" s="16" t="s">
        <v>3001</v>
      </c>
      <c r="D1073" s="16" t="s">
        <v>18</v>
      </c>
      <c r="E1073" s="16" t="s">
        <v>588</v>
      </c>
      <c r="G1073" s="16" t="s">
        <v>1103</v>
      </c>
      <c r="H1073" s="16" t="s">
        <v>33</v>
      </c>
    </row>
    <row r="1074" spans="1:11" x14ac:dyDescent="0.3">
      <c r="A1074" s="16" t="s">
        <v>1164</v>
      </c>
      <c r="B1074" s="16" t="s">
        <v>3002</v>
      </c>
      <c r="C1074" s="16" t="s">
        <v>1915</v>
      </c>
      <c r="D1074" s="16" t="s">
        <v>133</v>
      </c>
      <c r="E1074" s="16" t="s">
        <v>539</v>
      </c>
      <c r="H1074" s="16" t="s">
        <v>33</v>
      </c>
    </row>
    <row r="1075" spans="1:11" x14ac:dyDescent="0.3">
      <c r="A1075" s="16" t="s">
        <v>3003</v>
      </c>
      <c r="B1075" s="16" t="s">
        <v>3004</v>
      </c>
      <c r="C1075" s="16" t="s">
        <v>1779</v>
      </c>
      <c r="D1075" s="16" t="s">
        <v>133</v>
      </c>
      <c r="E1075" s="16" t="s">
        <v>539</v>
      </c>
      <c r="H1075" s="16" t="s">
        <v>33</v>
      </c>
    </row>
    <row r="1076" spans="1:11" x14ac:dyDescent="0.3">
      <c r="A1076" s="16" t="s">
        <v>3005</v>
      </c>
      <c r="B1076" s="16" t="s">
        <v>3006</v>
      </c>
      <c r="C1076" s="16" t="s">
        <v>1915</v>
      </c>
      <c r="D1076" s="16" t="s">
        <v>133</v>
      </c>
      <c r="E1076" s="16" t="s">
        <v>539</v>
      </c>
      <c r="H1076" s="16" t="s">
        <v>33</v>
      </c>
    </row>
    <row r="1077" spans="1:11" x14ac:dyDescent="0.3">
      <c r="A1077" s="16" t="s">
        <v>3007</v>
      </c>
      <c r="B1077" s="16" t="s">
        <v>3008</v>
      </c>
      <c r="C1077" s="16" t="s">
        <v>1779</v>
      </c>
      <c r="D1077" s="16" t="s">
        <v>133</v>
      </c>
      <c r="E1077" s="16" t="s">
        <v>661</v>
      </c>
      <c r="G1077" s="16" t="s">
        <v>662</v>
      </c>
      <c r="H1077" s="16" t="s">
        <v>33</v>
      </c>
    </row>
    <row r="1078" spans="1:11" x14ac:dyDescent="0.3">
      <c r="A1078" s="16" t="s">
        <v>3009</v>
      </c>
      <c r="B1078" s="16" t="s">
        <v>3010</v>
      </c>
      <c r="C1078" s="16" t="s">
        <v>1808</v>
      </c>
      <c r="D1078" s="16" t="s">
        <v>133</v>
      </c>
      <c r="E1078" s="16" t="s">
        <v>539</v>
      </c>
      <c r="H1078" s="16" t="s">
        <v>33</v>
      </c>
    </row>
    <row r="1079" spans="1:11" x14ac:dyDescent="0.3">
      <c r="A1079" s="16" t="s">
        <v>3011</v>
      </c>
      <c r="B1079" s="16" t="s">
        <v>3012</v>
      </c>
      <c r="C1079" s="16" t="s">
        <v>1779</v>
      </c>
      <c r="D1079" s="16" t="s">
        <v>133</v>
      </c>
      <c r="E1079" s="16" t="s">
        <v>661</v>
      </c>
      <c r="H1079" s="16" t="s">
        <v>33</v>
      </c>
    </row>
    <row r="1080" spans="1:11" x14ac:dyDescent="0.3">
      <c r="A1080" s="16" t="s">
        <v>3454</v>
      </c>
      <c r="B1080" s="16" t="s">
        <v>474</v>
      </c>
      <c r="C1080" s="16" t="s">
        <v>1779</v>
      </c>
      <c r="D1080" s="16" t="s">
        <v>388</v>
      </c>
      <c r="E1080" s="16" t="s">
        <v>539</v>
      </c>
      <c r="H1080" s="16" t="s">
        <v>33</v>
      </c>
      <c r="J1080" s="16" t="s">
        <v>32</v>
      </c>
    </row>
    <row r="1081" spans="1:11" x14ac:dyDescent="0.3">
      <c r="A1081" s="16" t="s">
        <v>1180</v>
      </c>
      <c r="B1081" s="16" t="s">
        <v>1181</v>
      </c>
      <c r="C1081" s="16" t="s">
        <v>1777</v>
      </c>
      <c r="D1081" s="16" t="s">
        <v>18</v>
      </c>
      <c r="E1081" s="16" t="s">
        <v>539</v>
      </c>
      <c r="G1081" s="16" t="s">
        <v>1103</v>
      </c>
      <c r="H1081" s="16" t="s">
        <v>33</v>
      </c>
      <c r="I1081" s="16" t="s">
        <v>33</v>
      </c>
    </row>
    <row r="1082" spans="1:11" x14ac:dyDescent="0.3">
      <c r="A1082" s="16" t="s">
        <v>1182</v>
      </c>
      <c r="B1082" s="16" t="s">
        <v>1183</v>
      </c>
      <c r="C1082" s="16" t="s">
        <v>1777</v>
      </c>
      <c r="D1082" s="16" t="s">
        <v>18</v>
      </c>
      <c r="E1082" s="16" t="s">
        <v>539</v>
      </c>
      <c r="G1082" s="16" t="s">
        <v>1127</v>
      </c>
      <c r="H1082" s="16" t="s">
        <v>33</v>
      </c>
    </row>
    <row r="1083" spans="1:11" x14ac:dyDescent="0.3">
      <c r="A1083" s="16" t="s">
        <v>3013</v>
      </c>
      <c r="B1083" s="16" t="s">
        <v>3014</v>
      </c>
      <c r="C1083" s="16" t="s">
        <v>1777</v>
      </c>
      <c r="D1083" s="16" t="s">
        <v>388</v>
      </c>
      <c r="E1083" s="16" t="s">
        <v>539</v>
      </c>
      <c r="H1083" s="16" t="s">
        <v>33</v>
      </c>
      <c r="J1083" s="16" t="s">
        <v>32</v>
      </c>
      <c r="K1083" s="16" t="s">
        <v>3015</v>
      </c>
    </row>
    <row r="1084" spans="1:11" x14ac:dyDescent="0.3">
      <c r="A1084" s="16" t="s">
        <v>3016</v>
      </c>
      <c r="B1084" s="16" t="s">
        <v>3017</v>
      </c>
      <c r="C1084" s="16" t="s">
        <v>1779</v>
      </c>
      <c r="D1084" s="16" t="s">
        <v>388</v>
      </c>
      <c r="E1084" s="16" t="s">
        <v>539</v>
      </c>
      <c r="H1084" s="16" t="s">
        <v>33</v>
      </c>
      <c r="J1084" s="16" t="s">
        <v>32</v>
      </c>
    </row>
    <row r="1085" spans="1:11" x14ac:dyDescent="0.3">
      <c r="A1085" s="16" t="s">
        <v>3016</v>
      </c>
      <c r="B1085" s="16" t="s">
        <v>3017</v>
      </c>
      <c r="C1085" s="16" t="s">
        <v>1777</v>
      </c>
      <c r="D1085" s="16" t="s">
        <v>388</v>
      </c>
      <c r="E1085" s="16" t="s">
        <v>539</v>
      </c>
      <c r="H1085" s="16" t="s">
        <v>33</v>
      </c>
      <c r="J1085" s="16" t="s">
        <v>32</v>
      </c>
    </row>
    <row r="1086" spans="1:11" x14ac:dyDescent="0.3">
      <c r="A1086" s="16" t="s">
        <v>3018</v>
      </c>
      <c r="B1086" s="16" t="s">
        <v>3019</v>
      </c>
      <c r="C1086" s="16" t="s">
        <v>1808</v>
      </c>
      <c r="D1086" s="16" t="s">
        <v>133</v>
      </c>
      <c r="E1086" s="16" t="s">
        <v>539</v>
      </c>
      <c r="H1086" s="16" t="s">
        <v>33</v>
      </c>
    </row>
    <row r="1087" spans="1:11" x14ac:dyDescent="0.3">
      <c r="A1087" s="16" t="s">
        <v>3018</v>
      </c>
      <c r="B1087" s="16" t="s">
        <v>3020</v>
      </c>
      <c r="C1087" s="16" t="s">
        <v>1804</v>
      </c>
      <c r="D1087" s="16" t="s">
        <v>18</v>
      </c>
      <c r="E1087" s="16" t="s">
        <v>539</v>
      </c>
      <c r="G1087" s="16" t="s">
        <v>1770</v>
      </c>
      <c r="H1087" s="16" t="s">
        <v>33</v>
      </c>
    </row>
    <row r="1088" spans="1:11" x14ac:dyDescent="0.3">
      <c r="A1088" s="16" t="s">
        <v>3021</v>
      </c>
      <c r="B1088" s="16" t="s">
        <v>3022</v>
      </c>
      <c r="C1088" s="16" t="s">
        <v>1779</v>
      </c>
      <c r="D1088" s="16" t="s">
        <v>133</v>
      </c>
      <c r="E1088" s="16" t="s">
        <v>255</v>
      </c>
      <c r="H1088" s="16" t="s">
        <v>33</v>
      </c>
    </row>
    <row r="1089" spans="1:8" x14ac:dyDescent="0.3">
      <c r="A1089" s="16" t="s">
        <v>1597</v>
      </c>
      <c r="B1089" s="16" t="s">
        <v>427</v>
      </c>
      <c r="C1089" s="16" t="s">
        <v>1779</v>
      </c>
      <c r="D1089" s="16" t="s">
        <v>18</v>
      </c>
      <c r="E1089" s="16" t="s">
        <v>588</v>
      </c>
      <c r="G1089" s="16" t="s">
        <v>1127</v>
      </c>
      <c r="H1089" s="16" t="s">
        <v>33</v>
      </c>
    </row>
    <row r="1090" spans="1:8" x14ac:dyDescent="0.3">
      <c r="A1090" s="16" t="s">
        <v>3023</v>
      </c>
      <c r="B1090" s="16" t="s">
        <v>3024</v>
      </c>
      <c r="C1090" s="16" t="s">
        <v>1808</v>
      </c>
      <c r="D1090" s="16" t="s">
        <v>133</v>
      </c>
      <c r="E1090" s="16" t="s">
        <v>588</v>
      </c>
      <c r="H1090" s="16" t="s">
        <v>33</v>
      </c>
    </row>
    <row r="1091" spans="1:8" x14ac:dyDescent="0.3">
      <c r="A1091" s="16" t="s">
        <v>3023</v>
      </c>
      <c r="B1091" s="16" t="s">
        <v>3025</v>
      </c>
      <c r="C1091" s="16" t="s">
        <v>1804</v>
      </c>
      <c r="D1091" s="16" t="s">
        <v>18</v>
      </c>
      <c r="E1091" s="16" t="s">
        <v>588</v>
      </c>
      <c r="G1091" s="16" t="s">
        <v>1770</v>
      </c>
      <c r="H1091" s="16" t="s">
        <v>33</v>
      </c>
    </row>
    <row r="1092" spans="1:8" x14ac:dyDescent="0.3">
      <c r="A1092" s="16" t="s">
        <v>3026</v>
      </c>
      <c r="B1092" s="16" t="s">
        <v>3027</v>
      </c>
      <c r="C1092" s="16" t="s">
        <v>1777</v>
      </c>
      <c r="D1092" s="16" t="s">
        <v>133</v>
      </c>
      <c r="E1092" s="16" t="s">
        <v>539</v>
      </c>
      <c r="H1092" s="16" t="s">
        <v>33</v>
      </c>
    </row>
    <row r="1093" spans="1:8" x14ac:dyDescent="0.3">
      <c r="A1093" s="16" t="s">
        <v>1598</v>
      </c>
      <c r="B1093" s="16" t="s">
        <v>1599</v>
      </c>
      <c r="C1093" s="16" t="s">
        <v>1779</v>
      </c>
      <c r="D1093" s="16" t="s">
        <v>18</v>
      </c>
      <c r="E1093" s="16" t="s">
        <v>539</v>
      </c>
      <c r="G1093" s="16" t="s">
        <v>1127</v>
      </c>
      <c r="H1093" s="16" t="s">
        <v>33</v>
      </c>
    </row>
    <row r="1094" spans="1:8" x14ac:dyDescent="0.3">
      <c r="A1094" s="16" t="s">
        <v>1600</v>
      </c>
      <c r="B1094" s="16" t="s">
        <v>1601</v>
      </c>
      <c r="C1094" s="16" t="s">
        <v>1779</v>
      </c>
      <c r="D1094" s="16" t="s">
        <v>18</v>
      </c>
      <c r="E1094" s="16" t="s">
        <v>539</v>
      </c>
      <c r="G1094" s="16" t="s">
        <v>1127</v>
      </c>
      <c r="H1094" s="16" t="s">
        <v>33</v>
      </c>
    </row>
    <row r="1095" spans="1:8" x14ac:dyDescent="0.3">
      <c r="A1095" s="16" t="s">
        <v>1602</v>
      </c>
      <c r="B1095" s="16" t="s">
        <v>1603</v>
      </c>
      <c r="C1095" s="16" t="s">
        <v>1779</v>
      </c>
      <c r="D1095" s="16" t="s">
        <v>18</v>
      </c>
      <c r="E1095" s="16" t="s">
        <v>539</v>
      </c>
      <c r="G1095" s="16" t="s">
        <v>1103</v>
      </c>
      <c r="H1095" s="16" t="s">
        <v>33</v>
      </c>
    </row>
    <row r="1096" spans="1:8" x14ac:dyDescent="0.3">
      <c r="A1096" s="16" t="s">
        <v>1096</v>
      </c>
      <c r="B1096" s="16" t="s">
        <v>3028</v>
      </c>
      <c r="C1096" s="16" t="s">
        <v>1779</v>
      </c>
      <c r="D1096" s="16" t="s">
        <v>133</v>
      </c>
      <c r="E1096" s="16" t="s">
        <v>539</v>
      </c>
      <c r="H1096" s="16" t="s">
        <v>33</v>
      </c>
    </row>
    <row r="1097" spans="1:8" x14ac:dyDescent="0.3">
      <c r="A1097" s="16" t="s">
        <v>3029</v>
      </c>
      <c r="B1097" s="16" t="s">
        <v>3030</v>
      </c>
      <c r="C1097" s="16" t="s">
        <v>1808</v>
      </c>
      <c r="D1097" s="16" t="s">
        <v>133</v>
      </c>
      <c r="E1097" s="16" t="s">
        <v>1791</v>
      </c>
      <c r="H1097" s="16" t="s">
        <v>33</v>
      </c>
    </row>
    <row r="1098" spans="1:8" x14ac:dyDescent="0.3">
      <c r="A1098" s="16" t="s">
        <v>3031</v>
      </c>
      <c r="B1098" s="16" t="s">
        <v>3032</v>
      </c>
      <c r="C1098" s="16" t="s">
        <v>1808</v>
      </c>
      <c r="D1098" s="16" t="s">
        <v>133</v>
      </c>
      <c r="E1098" s="16" t="s">
        <v>539</v>
      </c>
      <c r="H1098" s="16" t="s">
        <v>33</v>
      </c>
    </row>
    <row r="1099" spans="1:8" x14ac:dyDescent="0.3">
      <c r="A1099" s="16" t="s">
        <v>3033</v>
      </c>
      <c r="B1099" s="16" t="s">
        <v>3034</v>
      </c>
      <c r="C1099" s="16" t="s">
        <v>1804</v>
      </c>
      <c r="D1099" s="16" t="s">
        <v>18</v>
      </c>
      <c r="E1099" s="16" t="s">
        <v>539</v>
      </c>
      <c r="G1099" s="16" t="s">
        <v>1103</v>
      </c>
      <c r="H1099" s="16" t="s">
        <v>33</v>
      </c>
    </row>
    <row r="1100" spans="1:8" x14ac:dyDescent="0.3">
      <c r="A1100" s="16" t="s">
        <v>3035</v>
      </c>
      <c r="B1100" s="16" t="s">
        <v>3036</v>
      </c>
      <c r="C1100" s="16" t="s">
        <v>1804</v>
      </c>
      <c r="D1100" s="16" t="s">
        <v>18</v>
      </c>
      <c r="E1100" s="16" t="s">
        <v>588</v>
      </c>
      <c r="G1100" s="16" t="s">
        <v>1770</v>
      </c>
      <c r="H1100" s="16" t="s">
        <v>33</v>
      </c>
    </row>
    <row r="1101" spans="1:8" x14ac:dyDescent="0.3">
      <c r="A1101" s="16" t="s">
        <v>3037</v>
      </c>
      <c r="B1101" s="16" t="s">
        <v>3038</v>
      </c>
      <c r="C1101" s="16" t="s">
        <v>1769</v>
      </c>
      <c r="D1101" s="16" t="s">
        <v>133</v>
      </c>
      <c r="E1101" s="16" t="s">
        <v>1885</v>
      </c>
      <c r="H1101" s="16" t="s">
        <v>33</v>
      </c>
    </row>
    <row r="1102" spans="1:8" x14ac:dyDescent="0.3">
      <c r="A1102" s="16" t="s">
        <v>3039</v>
      </c>
      <c r="B1102" s="16" t="s">
        <v>3040</v>
      </c>
      <c r="C1102" s="16" t="s">
        <v>1769</v>
      </c>
      <c r="D1102" s="16" t="s">
        <v>133</v>
      </c>
      <c r="E1102" s="16" t="s">
        <v>539</v>
      </c>
      <c r="H1102" s="16" t="s">
        <v>33</v>
      </c>
    </row>
    <row r="1103" spans="1:8" x14ac:dyDescent="0.3">
      <c r="A1103" s="16" t="s">
        <v>1193</v>
      </c>
      <c r="B1103" s="16" t="s">
        <v>1194</v>
      </c>
      <c r="C1103" s="16" t="s">
        <v>1769</v>
      </c>
      <c r="D1103" s="16" t="s">
        <v>18</v>
      </c>
      <c r="E1103" s="16" t="s">
        <v>539</v>
      </c>
      <c r="G1103" s="16" t="s">
        <v>1127</v>
      </c>
      <c r="H1103" s="16" t="s">
        <v>33</v>
      </c>
    </row>
    <row r="1104" spans="1:8" x14ac:dyDescent="0.3">
      <c r="A1104" s="16" t="s">
        <v>3041</v>
      </c>
      <c r="B1104" s="16" t="s">
        <v>3042</v>
      </c>
      <c r="C1104" s="16" t="s">
        <v>1808</v>
      </c>
      <c r="D1104" s="16" t="s">
        <v>133</v>
      </c>
      <c r="E1104" s="16" t="s">
        <v>1885</v>
      </c>
      <c r="H1104" s="16" t="s">
        <v>33</v>
      </c>
    </row>
    <row r="1105" spans="1:10" x14ac:dyDescent="0.3">
      <c r="A1105" s="16" t="s">
        <v>3043</v>
      </c>
      <c r="B1105" s="16" t="s">
        <v>3044</v>
      </c>
      <c r="C1105" s="16" t="s">
        <v>1769</v>
      </c>
      <c r="D1105" s="16" t="s">
        <v>18</v>
      </c>
      <c r="E1105" s="16" t="s">
        <v>1791</v>
      </c>
      <c r="G1105" s="16" t="s">
        <v>1770</v>
      </c>
      <c r="H1105" s="16" t="s">
        <v>33</v>
      </c>
      <c r="I1105" s="16" t="s">
        <v>33</v>
      </c>
    </row>
    <row r="1106" spans="1:10" x14ac:dyDescent="0.3">
      <c r="A1106" s="16" t="s">
        <v>3045</v>
      </c>
      <c r="B1106" s="16" t="s">
        <v>3046</v>
      </c>
      <c r="C1106" s="16" t="s">
        <v>1769</v>
      </c>
      <c r="D1106" s="16" t="s">
        <v>388</v>
      </c>
      <c r="E1106" s="16" t="s">
        <v>539</v>
      </c>
      <c r="H1106" s="16" t="s">
        <v>33</v>
      </c>
      <c r="J1106" s="16" t="s">
        <v>1988</v>
      </c>
    </row>
    <row r="1107" spans="1:10" x14ac:dyDescent="0.3">
      <c r="A1107" s="16" t="s">
        <v>3047</v>
      </c>
      <c r="B1107" s="16" t="s">
        <v>3048</v>
      </c>
      <c r="C1107" s="16" t="s">
        <v>1769</v>
      </c>
      <c r="D1107" s="16" t="s">
        <v>133</v>
      </c>
      <c r="E1107" s="16" t="s">
        <v>539</v>
      </c>
      <c r="H1107" s="16" t="s">
        <v>33</v>
      </c>
    </row>
    <row r="1108" spans="1:10" x14ac:dyDescent="0.3">
      <c r="A1108" s="16" t="s">
        <v>3049</v>
      </c>
      <c r="B1108" s="16" t="s">
        <v>3050</v>
      </c>
      <c r="C1108" s="16" t="s">
        <v>1769</v>
      </c>
      <c r="D1108" s="16" t="s">
        <v>133</v>
      </c>
      <c r="E1108" s="16" t="s">
        <v>539</v>
      </c>
      <c r="H1108" s="16" t="s">
        <v>33</v>
      </c>
    </row>
    <row r="1109" spans="1:10" x14ac:dyDescent="0.3">
      <c r="A1109" s="16" t="s">
        <v>3051</v>
      </c>
      <c r="B1109" s="16" t="s">
        <v>3052</v>
      </c>
      <c r="C1109" s="16" t="s">
        <v>1769</v>
      </c>
      <c r="D1109" s="16" t="s">
        <v>133</v>
      </c>
      <c r="E1109" s="16" t="s">
        <v>588</v>
      </c>
      <c r="H1109" s="16" t="s">
        <v>33</v>
      </c>
    </row>
    <row r="1110" spans="1:10" x14ac:dyDescent="0.3">
      <c r="A1110" s="16" t="s">
        <v>3053</v>
      </c>
      <c r="B1110" s="16" t="s">
        <v>3054</v>
      </c>
      <c r="C1110" s="16" t="s">
        <v>1769</v>
      </c>
      <c r="D1110" s="16" t="s">
        <v>133</v>
      </c>
      <c r="E1110" s="16" t="s">
        <v>588</v>
      </c>
      <c r="H1110" s="16" t="s">
        <v>33</v>
      </c>
    </row>
    <row r="1111" spans="1:10" x14ac:dyDescent="0.3">
      <c r="A1111" s="16" t="s">
        <v>3055</v>
      </c>
      <c r="B1111" s="16" t="s">
        <v>3056</v>
      </c>
      <c r="C1111" s="16" t="s">
        <v>1769</v>
      </c>
      <c r="D1111" s="16" t="s">
        <v>388</v>
      </c>
      <c r="E1111" s="16" t="s">
        <v>539</v>
      </c>
      <c r="H1111" s="16" t="s">
        <v>33</v>
      </c>
      <c r="J1111" s="16" t="s">
        <v>32</v>
      </c>
    </row>
    <row r="1112" spans="1:10" x14ac:dyDescent="0.3">
      <c r="A1112" s="16" t="s">
        <v>3057</v>
      </c>
      <c r="B1112" s="16" t="s">
        <v>3058</v>
      </c>
      <c r="C1112" s="16" t="s">
        <v>2010</v>
      </c>
      <c r="D1112" s="16" t="s">
        <v>388</v>
      </c>
      <c r="E1112" s="16" t="s">
        <v>539</v>
      </c>
      <c r="H1112" s="16" t="s">
        <v>33</v>
      </c>
      <c r="J1112" s="16" t="s">
        <v>32</v>
      </c>
    </row>
    <row r="1113" spans="1:10" x14ac:dyDescent="0.3">
      <c r="A1113" s="16" t="s">
        <v>3057</v>
      </c>
      <c r="B1113" s="16" t="s">
        <v>3058</v>
      </c>
      <c r="C1113" s="16" t="s">
        <v>2489</v>
      </c>
      <c r="D1113" s="16" t="s">
        <v>388</v>
      </c>
      <c r="E1113" s="16" t="s">
        <v>539</v>
      </c>
      <c r="H1113" s="16" t="s">
        <v>33</v>
      </c>
      <c r="J1113" s="16" t="s">
        <v>32</v>
      </c>
    </row>
    <row r="1114" spans="1:10" x14ac:dyDescent="0.3">
      <c r="A1114" s="16" t="s">
        <v>3057</v>
      </c>
      <c r="B1114" s="16" t="s">
        <v>3058</v>
      </c>
      <c r="C1114" s="16" t="s">
        <v>1769</v>
      </c>
      <c r="D1114" s="16" t="s">
        <v>388</v>
      </c>
      <c r="E1114" s="16" t="s">
        <v>539</v>
      </c>
      <c r="H1114" s="16" t="s">
        <v>33</v>
      </c>
      <c r="J1114" s="16" t="s">
        <v>32</v>
      </c>
    </row>
    <row r="1115" spans="1:10" x14ac:dyDescent="0.3">
      <c r="A1115" s="16" t="s">
        <v>1097</v>
      </c>
      <c r="B1115" s="16" t="s">
        <v>3059</v>
      </c>
      <c r="C1115" s="16" t="s">
        <v>1782</v>
      </c>
      <c r="D1115" s="16" t="s">
        <v>133</v>
      </c>
      <c r="E1115" s="16" t="s">
        <v>539</v>
      </c>
      <c r="H1115" s="16" t="s">
        <v>33</v>
      </c>
    </row>
    <row r="1116" spans="1:10" x14ac:dyDescent="0.3">
      <c r="A1116" s="16" t="s">
        <v>343</v>
      </c>
      <c r="B1116" s="16" t="s">
        <v>345</v>
      </c>
      <c r="C1116" s="16" t="s">
        <v>1779</v>
      </c>
      <c r="D1116" s="16" t="s">
        <v>388</v>
      </c>
      <c r="E1116" s="16" t="s">
        <v>539</v>
      </c>
      <c r="H1116" s="16" t="s">
        <v>33</v>
      </c>
      <c r="J1116" s="16" t="s">
        <v>32</v>
      </c>
    </row>
    <row r="1117" spans="1:10" x14ac:dyDescent="0.3">
      <c r="A1117" s="16" t="s">
        <v>3060</v>
      </c>
      <c r="B1117" s="16" t="s">
        <v>3061</v>
      </c>
      <c r="C1117" s="16" t="s">
        <v>1779</v>
      </c>
      <c r="D1117" s="16" t="s">
        <v>133</v>
      </c>
      <c r="E1117" s="16" t="s">
        <v>539</v>
      </c>
      <c r="H1117" s="16" t="s">
        <v>33</v>
      </c>
    </row>
    <row r="1118" spans="1:10" x14ac:dyDescent="0.3">
      <c r="A1118" s="16" t="s">
        <v>3062</v>
      </c>
      <c r="B1118" s="16" t="s">
        <v>3063</v>
      </c>
      <c r="C1118" s="16" t="s">
        <v>1779</v>
      </c>
      <c r="D1118" s="16" t="s">
        <v>133</v>
      </c>
      <c r="E1118" s="16" t="s">
        <v>539</v>
      </c>
      <c r="H1118" s="16" t="s">
        <v>33</v>
      </c>
    </row>
    <row r="1119" spans="1:10" x14ac:dyDescent="0.3">
      <c r="A1119" s="16" t="s">
        <v>3064</v>
      </c>
      <c r="B1119" s="16" t="s">
        <v>3065</v>
      </c>
      <c r="C1119" s="16" t="s">
        <v>1779</v>
      </c>
      <c r="D1119" s="16" t="s">
        <v>133</v>
      </c>
      <c r="E1119" s="16" t="s">
        <v>539</v>
      </c>
      <c r="H1119" s="16" t="s">
        <v>33</v>
      </c>
    </row>
    <row r="1120" spans="1:10" x14ac:dyDescent="0.3">
      <c r="A1120" s="16" t="s">
        <v>3066</v>
      </c>
      <c r="B1120" s="16" t="s">
        <v>3067</v>
      </c>
      <c r="C1120" s="16" t="s">
        <v>1779</v>
      </c>
      <c r="D1120" s="16" t="s">
        <v>133</v>
      </c>
      <c r="E1120" s="16" t="s">
        <v>539</v>
      </c>
      <c r="H1120" s="16" t="s">
        <v>33</v>
      </c>
    </row>
    <row r="1121" spans="1:10" x14ac:dyDescent="0.3">
      <c r="A1121" s="16" t="s">
        <v>3068</v>
      </c>
      <c r="B1121" s="16" t="s">
        <v>3069</v>
      </c>
      <c r="C1121" s="16" t="s">
        <v>1779</v>
      </c>
      <c r="D1121" s="16" t="s">
        <v>388</v>
      </c>
      <c r="E1121" s="16" t="s">
        <v>539</v>
      </c>
      <c r="H1121" s="16" t="s">
        <v>33</v>
      </c>
      <c r="J1121" s="16" t="s">
        <v>32</v>
      </c>
    </row>
    <row r="1122" spans="1:10" x14ac:dyDescent="0.3">
      <c r="A1122" s="16" t="s">
        <v>352</v>
      </c>
      <c r="B1122" s="16" t="s">
        <v>353</v>
      </c>
      <c r="C1122" s="16" t="s">
        <v>1779</v>
      </c>
      <c r="D1122" s="16" t="s">
        <v>18</v>
      </c>
      <c r="E1122" s="16" t="s">
        <v>539</v>
      </c>
      <c r="G1122" s="16" t="s">
        <v>1127</v>
      </c>
      <c r="H1122" s="16" t="s">
        <v>33</v>
      </c>
    </row>
    <row r="1123" spans="1:10" x14ac:dyDescent="0.3">
      <c r="A1123" s="16" t="s">
        <v>3070</v>
      </c>
      <c r="B1123" s="16" t="s">
        <v>3071</v>
      </c>
      <c r="C1123" s="16" t="s">
        <v>1779</v>
      </c>
      <c r="D1123" s="16" t="s">
        <v>388</v>
      </c>
      <c r="E1123" s="16" t="s">
        <v>539</v>
      </c>
      <c r="H1123" s="16" t="s">
        <v>33</v>
      </c>
      <c r="J1123" s="16" t="s">
        <v>32</v>
      </c>
    </row>
    <row r="1124" spans="1:10" x14ac:dyDescent="0.3">
      <c r="A1124" s="16" t="s">
        <v>1195</v>
      </c>
      <c r="B1124" s="16" t="s">
        <v>1196</v>
      </c>
      <c r="C1124" s="16" t="s">
        <v>3072</v>
      </c>
      <c r="D1124" s="16" t="s">
        <v>18</v>
      </c>
      <c r="E1124" s="16" t="s">
        <v>539</v>
      </c>
      <c r="G1124" s="16" t="s">
        <v>1127</v>
      </c>
      <c r="H1124" s="16" t="s">
        <v>33</v>
      </c>
    </row>
    <row r="1125" spans="1:10" x14ac:dyDescent="0.3">
      <c r="A1125" s="16" t="s">
        <v>225</v>
      </c>
      <c r="B1125" s="16" t="s">
        <v>3073</v>
      </c>
      <c r="C1125" s="16" t="s">
        <v>3072</v>
      </c>
      <c r="D1125" s="16" t="s">
        <v>388</v>
      </c>
      <c r="E1125" s="16" t="s">
        <v>539</v>
      </c>
      <c r="H1125" s="16" t="s">
        <v>33</v>
      </c>
      <c r="J1125" s="16" t="s">
        <v>32</v>
      </c>
    </row>
    <row r="1126" spans="1:10" x14ac:dyDescent="0.3">
      <c r="A1126" s="16" t="s">
        <v>404</v>
      </c>
      <c r="B1126" s="16" t="s">
        <v>406</v>
      </c>
      <c r="C1126" s="16" t="s">
        <v>1779</v>
      </c>
      <c r="D1126" s="16" t="s">
        <v>388</v>
      </c>
      <c r="E1126" s="16" t="s">
        <v>539</v>
      </c>
      <c r="H1126" s="16" t="s">
        <v>33</v>
      </c>
      <c r="J1126" s="16" t="s">
        <v>32</v>
      </c>
    </row>
    <row r="1127" spans="1:10" x14ac:dyDescent="0.3">
      <c r="A1127" s="16" t="s">
        <v>226</v>
      </c>
      <c r="B1127" s="16" t="s">
        <v>1197</v>
      </c>
      <c r="C1127" s="16" t="s">
        <v>3072</v>
      </c>
      <c r="D1127" s="16" t="s">
        <v>18</v>
      </c>
      <c r="E1127" s="16" t="s">
        <v>539</v>
      </c>
      <c r="G1127" s="16" t="s">
        <v>1103</v>
      </c>
      <c r="H1127" s="16" t="s">
        <v>33</v>
      </c>
    </row>
    <row r="1128" spans="1:10" x14ac:dyDescent="0.3">
      <c r="A1128" s="16" t="s">
        <v>227</v>
      </c>
      <c r="B1128" s="16" t="s">
        <v>1198</v>
      </c>
      <c r="C1128" s="16" t="s">
        <v>3072</v>
      </c>
      <c r="D1128" s="16" t="s">
        <v>18</v>
      </c>
      <c r="E1128" s="16" t="s">
        <v>539</v>
      </c>
      <c r="G1128" s="16" t="s">
        <v>1127</v>
      </c>
      <c r="H1128" s="16" t="s">
        <v>33</v>
      </c>
    </row>
    <row r="1129" spans="1:10" x14ac:dyDescent="0.3">
      <c r="A1129" s="16" t="s">
        <v>3074</v>
      </c>
      <c r="B1129" s="16" t="s">
        <v>3075</v>
      </c>
      <c r="C1129" s="16" t="s">
        <v>3072</v>
      </c>
      <c r="D1129" s="16" t="s">
        <v>388</v>
      </c>
      <c r="E1129" s="16" t="s">
        <v>539</v>
      </c>
      <c r="H1129" s="16" t="s">
        <v>33</v>
      </c>
      <c r="J1129" s="16" t="s">
        <v>32</v>
      </c>
    </row>
    <row r="1130" spans="1:10" x14ac:dyDescent="0.3">
      <c r="A1130" s="16" t="s">
        <v>3076</v>
      </c>
      <c r="B1130" s="16" t="s">
        <v>3077</v>
      </c>
      <c r="C1130" s="16" t="s">
        <v>1779</v>
      </c>
      <c r="D1130" s="16" t="s">
        <v>388</v>
      </c>
      <c r="E1130" s="16" t="s">
        <v>539</v>
      </c>
      <c r="H1130" s="16" t="s">
        <v>33</v>
      </c>
      <c r="J1130" s="16" t="s">
        <v>32</v>
      </c>
    </row>
    <row r="1131" spans="1:10" x14ac:dyDescent="0.3">
      <c r="A1131" s="16" t="s">
        <v>3078</v>
      </c>
      <c r="B1131" s="16" t="s">
        <v>3079</v>
      </c>
      <c r="C1131" s="16" t="s">
        <v>1779</v>
      </c>
      <c r="D1131" s="16" t="s">
        <v>388</v>
      </c>
      <c r="E1131" s="16" t="s">
        <v>539</v>
      </c>
      <c r="H1131" s="16" t="s">
        <v>33</v>
      </c>
      <c r="J1131" s="16" t="s">
        <v>32</v>
      </c>
    </row>
    <row r="1132" spans="1:10" x14ac:dyDescent="0.3">
      <c r="A1132" s="16" t="s">
        <v>3080</v>
      </c>
      <c r="B1132" s="16" t="s">
        <v>3081</v>
      </c>
      <c r="C1132" s="16" t="s">
        <v>1779</v>
      </c>
      <c r="D1132" s="16" t="s">
        <v>388</v>
      </c>
      <c r="E1132" s="16" t="s">
        <v>539</v>
      </c>
      <c r="H1132" s="16" t="s">
        <v>33</v>
      </c>
      <c r="J1132" s="16" t="s">
        <v>32</v>
      </c>
    </row>
    <row r="1133" spans="1:10" x14ac:dyDescent="0.3">
      <c r="A1133" s="16" t="s">
        <v>3082</v>
      </c>
      <c r="B1133" s="16" t="s">
        <v>3083</v>
      </c>
      <c r="C1133" s="16" t="s">
        <v>1779</v>
      </c>
      <c r="D1133" s="16" t="s">
        <v>388</v>
      </c>
      <c r="E1133" s="16" t="s">
        <v>539</v>
      </c>
      <c r="H1133" s="16" t="s">
        <v>33</v>
      </c>
      <c r="J1133" s="16" t="s">
        <v>32</v>
      </c>
    </row>
    <row r="1134" spans="1:10" x14ac:dyDescent="0.3">
      <c r="A1134" s="16" t="s">
        <v>3084</v>
      </c>
      <c r="B1134" s="16" t="s">
        <v>3085</v>
      </c>
      <c r="C1134" s="16" t="s">
        <v>1779</v>
      </c>
      <c r="D1134" s="16" t="s">
        <v>388</v>
      </c>
      <c r="E1134" s="16" t="s">
        <v>539</v>
      </c>
      <c r="H1134" s="16" t="s">
        <v>33</v>
      </c>
      <c r="J1134" s="16" t="s">
        <v>32</v>
      </c>
    </row>
    <row r="1135" spans="1:10" x14ac:dyDescent="0.3">
      <c r="A1135" s="16" t="s">
        <v>3455</v>
      </c>
      <c r="B1135" s="16" t="s">
        <v>286</v>
      </c>
      <c r="C1135" s="16" t="s">
        <v>1779</v>
      </c>
      <c r="D1135" s="16" t="s">
        <v>388</v>
      </c>
      <c r="E1135" s="16" t="s">
        <v>539</v>
      </c>
      <c r="H1135" s="16" t="s">
        <v>33</v>
      </c>
      <c r="J1135" s="16" t="s">
        <v>32</v>
      </c>
    </row>
    <row r="1136" spans="1:10" x14ac:dyDescent="0.3">
      <c r="A1136" s="16" t="s">
        <v>223</v>
      </c>
      <c r="B1136" s="16" t="s">
        <v>3086</v>
      </c>
      <c r="C1136" s="16" t="s">
        <v>3072</v>
      </c>
      <c r="D1136" s="16" t="s">
        <v>388</v>
      </c>
      <c r="E1136" s="16" t="s">
        <v>539</v>
      </c>
      <c r="H1136" s="16" t="s">
        <v>33</v>
      </c>
      <c r="J1136" s="16" t="s">
        <v>32</v>
      </c>
    </row>
    <row r="1137" spans="1:10" x14ac:dyDescent="0.3">
      <c r="A1137" s="16" t="s">
        <v>223</v>
      </c>
      <c r="B1137" s="16" t="s">
        <v>403</v>
      </c>
      <c r="C1137" s="16" t="s">
        <v>1779</v>
      </c>
      <c r="D1137" s="16" t="s">
        <v>388</v>
      </c>
      <c r="E1137" s="16" t="s">
        <v>539</v>
      </c>
      <c r="H1137" s="16" t="s">
        <v>33</v>
      </c>
      <c r="J1137" s="16" t="s">
        <v>32</v>
      </c>
    </row>
    <row r="1138" spans="1:10" x14ac:dyDescent="0.3">
      <c r="A1138" s="16" t="s">
        <v>3087</v>
      </c>
      <c r="B1138" s="16" t="s">
        <v>3088</v>
      </c>
      <c r="C1138" s="16" t="s">
        <v>1779</v>
      </c>
      <c r="D1138" s="16" t="s">
        <v>133</v>
      </c>
      <c r="E1138" s="16" t="s">
        <v>1791</v>
      </c>
      <c r="H1138" s="16" t="s">
        <v>33</v>
      </c>
    </row>
    <row r="1139" spans="1:10" x14ac:dyDescent="0.3">
      <c r="A1139" s="16" t="s">
        <v>3089</v>
      </c>
      <c r="B1139" s="16" t="s">
        <v>3090</v>
      </c>
      <c r="C1139" s="16" t="s">
        <v>1779</v>
      </c>
      <c r="D1139" s="16" t="s">
        <v>133</v>
      </c>
      <c r="E1139" s="16" t="s">
        <v>1791</v>
      </c>
      <c r="H1139" s="16" t="s">
        <v>33</v>
      </c>
    </row>
    <row r="1140" spans="1:10" x14ac:dyDescent="0.3">
      <c r="A1140" s="16" t="s">
        <v>3091</v>
      </c>
      <c r="B1140" s="16" t="s">
        <v>3092</v>
      </c>
      <c r="C1140" s="16" t="s">
        <v>1915</v>
      </c>
      <c r="D1140" s="16" t="s">
        <v>133</v>
      </c>
      <c r="E1140" s="16" t="s">
        <v>1791</v>
      </c>
      <c r="H1140" s="16" t="s">
        <v>33</v>
      </c>
    </row>
    <row r="1141" spans="1:10" x14ac:dyDescent="0.3">
      <c r="A1141" s="16" t="s">
        <v>1347</v>
      </c>
      <c r="B1141" s="16" t="s">
        <v>3093</v>
      </c>
      <c r="C1141" s="16" t="s">
        <v>1778</v>
      </c>
      <c r="D1141" s="16" t="s">
        <v>50</v>
      </c>
      <c r="E1141" s="16" t="s">
        <v>555</v>
      </c>
      <c r="H1141" s="16" t="s">
        <v>33</v>
      </c>
    </row>
    <row r="1142" spans="1:10" x14ac:dyDescent="0.3">
      <c r="A1142" s="16" t="s">
        <v>1347</v>
      </c>
      <c r="B1142" s="16" t="s">
        <v>1348</v>
      </c>
      <c r="C1142" s="16" t="s">
        <v>1778</v>
      </c>
      <c r="D1142" s="16" t="s">
        <v>18</v>
      </c>
      <c r="E1142" s="16" t="s">
        <v>555</v>
      </c>
      <c r="G1142" s="16" t="s">
        <v>1770</v>
      </c>
      <c r="H1142" s="16" t="s">
        <v>33</v>
      </c>
    </row>
    <row r="1143" spans="1:10" x14ac:dyDescent="0.3">
      <c r="A1143" s="16" t="s">
        <v>1349</v>
      </c>
      <c r="B1143" s="16" t="s">
        <v>1350</v>
      </c>
      <c r="C1143" s="16" t="s">
        <v>1778</v>
      </c>
      <c r="D1143" s="16" t="s">
        <v>18</v>
      </c>
      <c r="E1143" s="16" t="s">
        <v>555</v>
      </c>
      <c r="G1143" s="16" t="s">
        <v>1127</v>
      </c>
      <c r="H1143" s="16" t="s">
        <v>33</v>
      </c>
    </row>
    <row r="1144" spans="1:10" x14ac:dyDescent="0.3">
      <c r="A1144" s="16" t="s">
        <v>3094</v>
      </c>
      <c r="B1144" s="16" t="s">
        <v>3095</v>
      </c>
      <c r="C1144" s="16" t="s">
        <v>1779</v>
      </c>
      <c r="D1144" s="16" t="s">
        <v>388</v>
      </c>
      <c r="E1144" s="16" t="s">
        <v>539</v>
      </c>
      <c r="H1144" s="16" t="s">
        <v>33</v>
      </c>
      <c r="J1144" s="16" t="s">
        <v>32</v>
      </c>
    </row>
    <row r="1145" spans="1:10" x14ac:dyDescent="0.3">
      <c r="A1145" s="16" t="s">
        <v>3096</v>
      </c>
      <c r="B1145" s="16" t="s">
        <v>3097</v>
      </c>
      <c r="C1145" s="16" t="s">
        <v>1779</v>
      </c>
      <c r="D1145" s="16" t="s">
        <v>133</v>
      </c>
      <c r="E1145" s="16" t="s">
        <v>255</v>
      </c>
      <c r="H1145" s="16" t="s">
        <v>33</v>
      </c>
    </row>
    <row r="1146" spans="1:10" x14ac:dyDescent="0.3">
      <c r="A1146" s="16" t="s">
        <v>257</v>
      </c>
      <c r="B1146" s="16" t="s">
        <v>3098</v>
      </c>
      <c r="C1146" s="16" t="s">
        <v>1808</v>
      </c>
      <c r="D1146" s="16" t="s">
        <v>133</v>
      </c>
      <c r="E1146" s="16" t="s">
        <v>588</v>
      </c>
      <c r="H1146" s="16" t="s">
        <v>33</v>
      </c>
    </row>
    <row r="1147" spans="1:10" x14ac:dyDescent="0.3">
      <c r="A1147" s="16" t="s">
        <v>257</v>
      </c>
      <c r="B1147" s="16" t="s">
        <v>258</v>
      </c>
      <c r="C1147" s="16" t="s">
        <v>1779</v>
      </c>
      <c r="D1147" s="16" t="s">
        <v>133</v>
      </c>
      <c r="E1147" s="16" t="s">
        <v>588</v>
      </c>
      <c r="H1147" s="16" t="s">
        <v>33</v>
      </c>
    </row>
    <row r="1148" spans="1:10" x14ac:dyDescent="0.3">
      <c r="A1148" s="16" t="s">
        <v>253</v>
      </c>
      <c r="B1148" s="16" t="s">
        <v>3099</v>
      </c>
      <c r="C1148" s="16" t="s">
        <v>1808</v>
      </c>
      <c r="D1148" s="16" t="s">
        <v>133</v>
      </c>
      <c r="E1148" s="16" t="s">
        <v>588</v>
      </c>
      <c r="H1148" s="16" t="s">
        <v>33</v>
      </c>
    </row>
    <row r="1149" spans="1:10" x14ac:dyDescent="0.3">
      <c r="A1149" s="16" t="s">
        <v>253</v>
      </c>
      <c r="B1149" s="16" t="s">
        <v>254</v>
      </c>
      <c r="C1149" s="16" t="s">
        <v>1779</v>
      </c>
      <c r="D1149" s="16" t="s">
        <v>133</v>
      </c>
      <c r="E1149" s="16" t="s">
        <v>588</v>
      </c>
      <c r="H1149" s="16" t="s">
        <v>33</v>
      </c>
    </row>
    <row r="1150" spans="1:10" x14ac:dyDescent="0.3">
      <c r="A1150" s="16" t="s">
        <v>3100</v>
      </c>
      <c r="B1150" s="16" t="s">
        <v>3101</v>
      </c>
      <c r="C1150" s="16" t="s">
        <v>1779</v>
      </c>
      <c r="D1150" s="16" t="s">
        <v>133</v>
      </c>
      <c r="E1150" s="16" t="s">
        <v>255</v>
      </c>
      <c r="H1150" s="16" t="s">
        <v>33</v>
      </c>
    </row>
    <row r="1151" spans="1:10" x14ac:dyDescent="0.3">
      <c r="A1151" s="16" t="s">
        <v>1604</v>
      </c>
      <c r="B1151" s="16" t="s">
        <v>1605</v>
      </c>
      <c r="C1151" s="16" t="s">
        <v>1779</v>
      </c>
      <c r="D1151" s="16" t="s">
        <v>133</v>
      </c>
      <c r="E1151" s="16" t="s">
        <v>255</v>
      </c>
      <c r="H1151" s="16" t="s">
        <v>33</v>
      </c>
    </row>
    <row r="1152" spans="1:10" x14ac:dyDescent="0.3">
      <c r="A1152" s="16" t="s">
        <v>1604</v>
      </c>
      <c r="B1152" s="16" t="s">
        <v>3102</v>
      </c>
      <c r="C1152" s="16" t="s">
        <v>1778</v>
      </c>
      <c r="D1152" s="16" t="s">
        <v>133</v>
      </c>
      <c r="E1152" s="16" t="s">
        <v>255</v>
      </c>
      <c r="H1152" s="16" t="s">
        <v>33</v>
      </c>
    </row>
    <row r="1153" spans="1:12" x14ac:dyDescent="0.3">
      <c r="A1153" s="16" t="s">
        <v>3103</v>
      </c>
      <c r="B1153" s="16" t="s">
        <v>3104</v>
      </c>
      <c r="C1153" s="16" t="s">
        <v>1779</v>
      </c>
      <c r="D1153" s="16" t="s">
        <v>388</v>
      </c>
      <c r="E1153" s="16" t="s">
        <v>539</v>
      </c>
      <c r="H1153" s="16" t="s">
        <v>33</v>
      </c>
      <c r="J1153" s="16" t="s">
        <v>32</v>
      </c>
    </row>
    <row r="1154" spans="1:12" x14ac:dyDescent="0.3">
      <c r="A1154" s="16" t="s">
        <v>3105</v>
      </c>
      <c r="B1154" s="16" t="s">
        <v>3106</v>
      </c>
      <c r="C1154" s="16" t="s">
        <v>1779</v>
      </c>
      <c r="D1154" s="16" t="s">
        <v>388</v>
      </c>
      <c r="E1154" s="16" t="s">
        <v>539</v>
      </c>
      <c r="H1154" s="16" t="s">
        <v>33</v>
      </c>
      <c r="J1154" s="16" t="s">
        <v>32</v>
      </c>
    </row>
    <row r="1155" spans="1:12" x14ac:dyDescent="0.3">
      <c r="A1155" s="16" t="s">
        <v>3107</v>
      </c>
      <c r="B1155" s="16" t="s">
        <v>3108</v>
      </c>
      <c r="C1155" s="16" t="s">
        <v>1779</v>
      </c>
      <c r="D1155" s="16" t="s">
        <v>388</v>
      </c>
      <c r="E1155" s="16" t="s">
        <v>539</v>
      </c>
      <c r="H1155" s="16" t="s">
        <v>33</v>
      </c>
      <c r="J1155" s="16" t="s">
        <v>32</v>
      </c>
    </row>
    <row r="1156" spans="1:12" x14ac:dyDescent="0.3">
      <c r="A1156" s="16" t="s">
        <v>3109</v>
      </c>
      <c r="B1156" s="16" t="s">
        <v>3110</v>
      </c>
      <c r="C1156" s="16" t="s">
        <v>1779</v>
      </c>
      <c r="D1156" s="16" t="s">
        <v>388</v>
      </c>
      <c r="E1156" s="16" t="s">
        <v>539</v>
      </c>
      <c r="H1156" s="16" t="s">
        <v>33</v>
      </c>
      <c r="J1156" s="16" t="s">
        <v>32</v>
      </c>
    </row>
    <row r="1157" spans="1:12" x14ac:dyDescent="0.3">
      <c r="A1157" s="16" t="s">
        <v>3111</v>
      </c>
      <c r="B1157" s="16" t="s">
        <v>3112</v>
      </c>
      <c r="C1157" s="16" t="s">
        <v>1779</v>
      </c>
      <c r="D1157" s="16" t="s">
        <v>388</v>
      </c>
      <c r="E1157" s="16" t="s">
        <v>539</v>
      </c>
      <c r="H1157" s="16" t="s">
        <v>33</v>
      </c>
      <c r="J1157" s="16" t="s">
        <v>32</v>
      </c>
    </row>
    <row r="1158" spans="1:12" x14ac:dyDescent="0.3">
      <c r="A1158" s="16" t="s">
        <v>3113</v>
      </c>
      <c r="B1158" s="16" t="s">
        <v>3114</v>
      </c>
      <c r="C1158" s="16" t="s">
        <v>1779</v>
      </c>
      <c r="D1158" s="16" t="s">
        <v>388</v>
      </c>
      <c r="E1158" s="16" t="s">
        <v>539</v>
      </c>
      <c r="H1158" s="16" t="s">
        <v>33</v>
      </c>
      <c r="J1158" s="16" t="s">
        <v>32</v>
      </c>
    </row>
    <row r="1159" spans="1:12" x14ac:dyDescent="0.3">
      <c r="A1159" s="16" t="s">
        <v>3115</v>
      </c>
      <c r="B1159" s="16" t="s">
        <v>3116</v>
      </c>
      <c r="C1159" s="16" t="s">
        <v>1779</v>
      </c>
      <c r="D1159" s="16" t="s">
        <v>388</v>
      </c>
      <c r="E1159" s="16" t="s">
        <v>539</v>
      </c>
      <c r="H1159" s="16" t="s">
        <v>33</v>
      </c>
      <c r="J1159" s="16" t="s">
        <v>32</v>
      </c>
    </row>
    <row r="1160" spans="1:12" x14ac:dyDescent="0.3">
      <c r="A1160" s="16" t="s">
        <v>3117</v>
      </c>
      <c r="B1160" s="16" t="s">
        <v>3118</v>
      </c>
      <c r="C1160" s="16" t="s">
        <v>1779</v>
      </c>
      <c r="D1160" s="16" t="s">
        <v>18</v>
      </c>
      <c r="E1160" s="16" t="s">
        <v>1791</v>
      </c>
      <c r="G1160" s="16" t="s">
        <v>1770</v>
      </c>
      <c r="H1160" s="16" t="s">
        <v>33</v>
      </c>
    </row>
    <row r="1161" spans="1:12" x14ac:dyDescent="0.3">
      <c r="A1161" s="16" t="s">
        <v>3119</v>
      </c>
      <c r="B1161" s="16" t="s">
        <v>3120</v>
      </c>
      <c r="C1161" s="16" t="s">
        <v>1779</v>
      </c>
      <c r="D1161" s="16" t="s">
        <v>18</v>
      </c>
      <c r="E1161" s="16" t="s">
        <v>539</v>
      </c>
      <c r="G1161" s="16" t="s">
        <v>1770</v>
      </c>
      <c r="H1161" s="16" t="s">
        <v>33</v>
      </c>
    </row>
    <row r="1162" spans="1:12" x14ac:dyDescent="0.3">
      <c r="A1162" s="16" t="s">
        <v>242</v>
      </c>
      <c r="B1162" s="16" t="s">
        <v>243</v>
      </c>
      <c r="C1162" s="16" t="s">
        <v>1779</v>
      </c>
      <c r="D1162" s="16" t="s">
        <v>133</v>
      </c>
      <c r="E1162" s="16" t="s">
        <v>539</v>
      </c>
      <c r="H1162" s="16" t="s">
        <v>33</v>
      </c>
    </row>
    <row r="1163" spans="1:12" x14ac:dyDescent="0.3">
      <c r="A1163" s="16" t="s">
        <v>3121</v>
      </c>
      <c r="B1163" s="16" t="s">
        <v>3122</v>
      </c>
      <c r="C1163" s="16" t="s">
        <v>1963</v>
      </c>
      <c r="D1163" s="16" t="s">
        <v>388</v>
      </c>
      <c r="E1163" s="16" t="s">
        <v>539</v>
      </c>
      <c r="H1163" s="16" t="s">
        <v>33</v>
      </c>
      <c r="J1163" s="16" t="s">
        <v>32</v>
      </c>
    </row>
    <row r="1164" spans="1:12" x14ac:dyDescent="0.3">
      <c r="A1164" s="16" t="s">
        <v>3123</v>
      </c>
      <c r="B1164" s="16" t="s">
        <v>3124</v>
      </c>
      <c r="C1164" s="16" t="s">
        <v>1963</v>
      </c>
      <c r="D1164" s="16" t="s">
        <v>388</v>
      </c>
      <c r="E1164" s="16" t="s">
        <v>539</v>
      </c>
      <c r="H1164" s="16" t="s">
        <v>33</v>
      </c>
      <c r="J1164" s="16" t="s">
        <v>32</v>
      </c>
      <c r="K1164" s="16" t="s">
        <v>1975</v>
      </c>
      <c r="L1164" s="16" t="s">
        <v>33</v>
      </c>
    </row>
    <row r="1165" spans="1:12" x14ac:dyDescent="0.3">
      <c r="A1165" s="16" t="s">
        <v>3125</v>
      </c>
      <c r="B1165" s="16" t="s">
        <v>3126</v>
      </c>
      <c r="C1165" s="16" t="s">
        <v>1804</v>
      </c>
      <c r="D1165" s="16" t="s">
        <v>18</v>
      </c>
      <c r="E1165" s="16" t="s">
        <v>539</v>
      </c>
      <c r="G1165" s="16" t="s">
        <v>1103</v>
      </c>
      <c r="H1165" s="16" t="s">
        <v>33</v>
      </c>
    </row>
    <row r="1166" spans="1:12" x14ac:dyDescent="0.3">
      <c r="A1166" s="16" t="s">
        <v>1351</v>
      </c>
      <c r="B1166" s="16" t="s">
        <v>1352</v>
      </c>
      <c r="C1166" s="16" t="s">
        <v>1778</v>
      </c>
      <c r="D1166" s="16" t="s">
        <v>18</v>
      </c>
      <c r="E1166" s="16" t="s">
        <v>539</v>
      </c>
      <c r="G1166" s="16" t="s">
        <v>1127</v>
      </c>
      <c r="H1166" s="16" t="s">
        <v>33</v>
      </c>
    </row>
    <row r="1167" spans="1:12" x14ac:dyDescent="0.3">
      <c r="A1167" s="16" t="s">
        <v>3127</v>
      </c>
      <c r="B1167" s="16" t="s">
        <v>3128</v>
      </c>
      <c r="C1167" s="16" t="s">
        <v>1779</v>
      </c>
      <c r="D1167" s="16" t="s">
        <v>388</v>
      </c>
      <c r="E1167" s="16" t="s">
        <v>539</v>
      </c>
      <c r="H1167" s="16" t="s">
        <v>33</v>
      </c>
      <c r="J1167" s="16" t="s">
        <v>32</v>
      </c>
    </row>
    <row r="1168" spans="1:12" x14ac:dyDescent="0.3">
      <c r="A1168" s="16" t="s">
        <v>3129</v>
      </c>
      <c r="B1168" s="16" t="s">
        <v>3130</v>
      </c>
      <c r="C1168" s="16" t="s">
        <v>1779</v>
      </c>
      <c r="D1168" s="16" t="s">
        <v>133</v>
      </c>
      <c r="E1168" s="16" t="s">
        <v>1791</v>
      </c>
      <c r="H1168" s="16" t="s">
        <v>33</v>
      </c>
    </row>
    <row r="1169" spans="1:11" x14ac:dyDescent="0.3">
      <c r="A1169" s="16" t="s">
        <v>3129</v>
      </c>
      <c r="B1169" s="16" t="s">
        <v>3131</v>
      </c>
      <c r="C1169" s="16" t="s">
        <v>1915</v>
      </c>
      <c r="D1169" s="16" t="s">
        <v>133</v>
      </c>
      <c r="E1169" s="16" t="s">
        <v>539</v>
      </c>
      <c r="H1169" s="16" t="s">
        <v>33</v>
      </c>
    </row>
    <row r="1170" spans="1:11" x14ac:dyDescent="0.3">
      <c r="A1170" s="16" t="s">
        <v>259</v>
      </c>
      <c r="B1170" s="16" t="s">
        <v>260</v>
      </c>
      <c r="C1170" s="16" t="s">
        <v>1779</v>
      </c>
      <c r="D1170" s="16" t="s">
        <v>388</v>
      </c>
      <c r="E1170" s="16" t="s">
        <v>539</v>
      </c>
      <c r="H1170" s="16" t="s">
        <v>33</v>
      </c>
      <c r="J1170" s="16" t="s">
        <v>32</v>
      </c>
      <c r="K1170" s="16" t="s">
        <v>3456</v>
      </c>
    </row>
    <row r="1171" spans="1:11" x14ac:dyDescent="0.3">
      <c r="A1171" s="16" t="s">
        <v>3132</v>
      </c>
      <c r="B1171" s="16" t="s">
        <v>3132</v>
      </c>
      <c r="C1171" s="16" t="s">
        <v>1769</v>
      </c>
      <c r="D1171" s="16" t="s">
        <v>388</v>
      </c>
      <c r="E1171" s="16" t="s">
        <v>539</v>
      </c>
      <c r="J1171" s="16" t="s">
        <v>1988</v>
      </c>
    </row>
    <row r="1172" spans="1:11" x14ac:dyDescent="0.3">
      <c r="A1172" s="16" t="s">
        <v>3133</v>
      </c>
      <c r="B1172" s="16" t="s">
        <v>473</v>
      </c>
      <c r="C1172" s="16" t="s">
        <v>1779</v>
      </c>
      <c r="D1172" s="16" t="s">
        <v>388</v>
      </c>
      <c r="E1172" s="16" t="s">
        <v>539</v>
      </c>
      <c r="H1172" s="16" t="s">
        <v>33</v>
      </c>
      <c r="J1172" s="16" t="s">
        <v>32</v>
      </c>
    </row>
    <row r="1173" spans="1:11" x14ac:dyDescent="0.3">
      <c r="A1173" s="16" t="s">
        <v>3133</v>
      </c>
      <c r="B1173" s="16" t="s">
        <v>473</v>
      </c>
      <c r="C1173" s="16" t="s">
        <v>1777</v>
      </c>
      <c r="D1173" s="16" t="s">
        <v>388</v>
      </c>
      <c r="E1173" s="16" t="s">
        <v>539</v>
      </c>
      <c r="H1173" s="16" t="s">
        <v>33</v>
      </c>
      <c r="J1173" s="16" t="s">
        <v>32</v>
      </c>
    </row>
    <row r="1174" spans="1:11" x14ac:dyDescent="0.3">
      <c r="A1174" s="16" t="s">
        <v>84</v>
      </c>
      <c r="B1174" s="16" t="s">
        <v>1353</v>
      </c>
      <c r="C1174" s="16" t="s">
        <v>1778</v>
      </c>
      <c r="D1174" s="16" t="s">
        <v>18</v>
      </c>
      <c r="E1174" s="16" t="s">
        <v>539</v>
      </c>
      <c r="G1174" s="16" t="s">
        <v>1127</v>
      </c>
      <c r="H1174" s="16" t="s">
        <v>33</v>
      </c>
    </row>
    <row r="1175" spans="1:11" x14ac:dyDescent="0.3">
      <c r="A1175" s="16" t="s">
        <v>110</v>
      </c>
      <c r="B1175" s="16" t="s">
        <v>111</v>
      </c>
      <c r="C1175" s="16" t="s">
        <v>1778</v>
      </c>
      <c r="D1175" s="16" t="s">
        <v>18</v>
      </c>
      <c r="E1175" s="16" t="s">
        <v>539</v>
      </c>
      <c r="G1175" s="16" t="s">
        <v>1127</v>
      </c>
      <c r="H1175" s="16" t="s">
        <v>33</v>
      </c>
    </row>
    <row r="1176" spans="1:11" x14ac:dyDescent="0.3">
      <c r="A1176" s="16" t="s">
        <v>1354</v>
      </c>
      <c r="B1176" s="16" t="s">
        <v>1355</v>
      </c>
      <c r="C1176" s="16" t="s">
        <v>1778</v>
      </c>
      <c r="D1176" s="16" t="s">
        <v>18</v>
      </c>
      <c r="E1176" s="16" t="s">
        <v>539</v>
      </c>
      <c r="G1176" s="16" t="s">
        <v>1127</v>
      </c>
      <c r="H1176" s="16" t="s">
        <v>33</v>
      </c>
    </row>
    <row r="1177" spans="1:11" x14ac:dyDescent="0.3">
      <c r="A1177" s="16" t="s">
        <v>1356</v>
      </c>
      <c r="B1177" s="16" t="s">
        <v>1357</v>
      </c>
      <c r="C1177" s="16" t="s">
        <v>1778</v>
      </c>
      <c r="D1177" s="16" t="s">
        <v>18</v>
      </c>
      <c r="E1177" s="16" t="s">
        <v>539</v>
      </c>
      <c r="G1177" s="16" t="s">
        <v>1127</v>
      </c>
      <c r="H1177" s="16" t="s">
        <v>33</v>
      </c>
    </row>
    <row r="1178" spans="1:11" x14ac:dyDescent="0.3">
      <c r="A1178" s="16" t="s">
        <v>1358</v>
      </c>
      <c r="B1178" s="16" t="s">
        <v>1359</v>
      </c>
      <c r="C1178" s="16" t="s">
        <v>1778</v>
      </c>
      <c r="D1178" s="16" t="s">
        <v>18</v>
      </c>
      <c r="E1178" s="16" t="s">
        <v>539</v>
      </c>
      <c r="G1178" s="16" t="s">
        <v>1127</v>
      </c>
      <c r="H1178" s="16" t="s">
        <v>33</v>
      </c>
    </row>
    <row r="1179" spans="1:11" x14ac:dyDescent="0.3">
      <c r="A1179" s="16" t="s">
        <v>116</v>
      </c>
      <c r="B1179" s="16" t="s">
        <v>117</v>
      </c>
      <c r="C1179" s="16" t="s">
        <v>1778</v>
      </c>
      <c r="D1179" s="16" t="s">
        <v>18</v>
      </c>
      <c r="E1179" s="16" t="s">
        <v>539</v>
      </c>
      <c r="G1179" s="16" t="s">
        <v>1127</v>
      </c>
      <c r="H1179" s="16" t="s">
        <v>33</v>
      </c>
    </row>
    <row r="1180" spans="1:11" x14ac:dyDescent="0.3">
      <c r="A1180" s="16" t="s">
        <v>1360</v>
      </c>
      <c r="B1180" s="16" t="s">
        <v>1361</v>
      </c>
      <c r="C1180" s="16" t="s">
        <v>1778</v>
      </c>
      <c r="D1180" s="16" t="s">
        <v>18</v>
      </c>
      <c r="E1180" s="16" t="s">
        <v>539</v>
      </c>
      <c r="G1180" s="16" t="s">
        <v>1127</v>
      </c>
      <c r="H1180" s="16" t="s">
        <v>33</v>
      </c>
    </row>
    <row r="1181" spans="1:11" x14ac:dyDescent="0.3">
      <c r="A1181" s="16" t="s">
        <v>94</v>
      </c>
      <c r="B1181" s="16" t="s">
        <v>95</v>
      </c>
      <c r="C1181" s="16" t="s">
        <v>1778</v>
      </c>
      <c r="D1181" s="16" t="s">
        <v>18</v>
      </c>
      <c r="E1181" s="16" t="s">
        <v>539</v>
      </c>
      <c r="G1181" s="16" t="s">
        <v>1127</v>
      </c>
      <c r="H1181" s="16" t="s">
        <v>33</v>
      </c>
    </row>
    <row r="1182" spans="1:11" x14ac:dyDescent="0.3">
      <c r="A1182" s="16" t="s">
        <v>1362</v>
      </c>
      <c r="B1182" s="16" t="s">
        <v>1363</v>
      </c>
      <c r="C1182" s="16" t="s">
        <v>1778</v>
      </c>
      <c r="D1182" s="16" t="s">
        <v>18</v>
      </c>
      <c r="E1182" s="16" t="s">
        <v>539</v>
      </c>
      <c r="G1182" s="16" t="s">
        <v>1127</v>
      </c>
      <c r="H1182" s="16" t="s">
        <v>33</v>
      </c>
    </row>
    <row r="1183" spans="1:11" x14ac:dyDescent="0.3">
      <c r="A1183" s="16" t="s">
        <v>89</v>
      </c>
      <c r="B1183" s="16" t="s">
        <v>90</v>
      </c>
      <c r="C1183" s="16" t="s">
        <v>1778</v>
      </c>
      <c r="D1183" s="16" t="s">
        <v>18</v>
      </c>
      <c r="E1183" s="16" t="s">
        <v>539</v>
      </c>
      <c r="G1183" s="16" t="s">
        <v>1127</v>
      </c>
      <c r="H1183" s="16" t="s">
        <v>33</v>
      </c>
    </row>
    <row r="1184" spans="1:11" x14ac:dyDescent="0.3">
      <c r="A1184" s="16" t="s">
        <v>1364</v>
      </c>
      <c r="B1184" s="16" t="s">
        <v>1365</v>
      </c>
      <c r="C1184" s="16" t="s">
        <v>1778</v>
      </c>
      <c r="D1184" s="16" t="s">
        <v>18</v>
      </c>
      <c r="E1184" s="16" t="s">
        <v>539</v>
      </c>
      <c r="G1184" s="16" t="s">
        <v>1127</v>
      </c>
      <c r="H1184" s="16" t="s">
        <v>33</v>
      </c>
    </row>
    <row r="1185" spans="1:10" x14ac:dyDescent="0.3">
      <c r="A1185" s="16" t="s">
        <v>99</v>
      </c>
      <c r="B1185" s="16" t="s">
        <v>100</v>
      </c>
      <c r="C1185" s="16" t="s">
        <v>1778</v>
      </c>
      <c r="D1185" s="16" t="s">
        <v>18</v>
      </c>
      <c r="E1185" s="16" t="s">
        <v>539</v>
      </c>
      <c r="G1185" s="16" t="s">
        <v>1127</v>
      </c>
      <c r="H1185" s="16" t="s">
        <v>33</v>
      </c>
    </row>
    <row r="1186" spans="1:10" x14ac:dyDescent="0.3">
      <c r="A1186" s="16" t="s">
        <v>1366</v>
      </c>
      <c r="B1186" s="16" t="s">
        <v>1367</v>
      </c>
      <c r="C1186" s="16" t="s">
        <v>1778</v>
      </c>
      <c r="D1186" s="16" t="s">
        <v>18</v>
      </c>
      <c r="E1186" s="16" t="s">
        <v>539</v>
      </c>
      <c r="G1186" s="16" t="s">
        <v>1127</v>
      </c>
      <c r="H1186" s="16" t="s">
        <v>33</v>
      </c>
    </row>
    <row r="1187" spans="1:10" x14ac:dyDescent="0.3">
      <c r="A1187" s="16" t="s">
        <v>280</v>
      </c>
      <c r="B1187" s="16" t="s">
        <v>282</v>
      </c>
      <c r="C1187" s="16" t="s">
        <v>1779</v>
      </c>
      <c r="D1187" s="16" t="s">
        <v>388</v>
      </c>
      <c r="E1187" s="16" t="s">
        <v>539</v>
      </c>
      <c r="H1187" s="16" t="s">
        <v>33</v>
      </c>
      <c r="J1187" s="16" t="s">
        <v>32</v>
      </c>
    </row>
    <row r="1188" spans="1:10" x14ac:dyDescent="0.3">
      <c r="A1188" s="16" t="s">
        <v>283</v>
      </c>
      <c r="B1188" s="16" t="s">
        <v>284</v>
      </c>
      <c r="C1188" s="16" t="s">
        <v>1779</v>
      </c>
      <c r="D1188" s="16" t="s">
        <v>18</v>
      </c>
      <c r="E1188" s="16" t="s">
        <v>539</v>
      </c>
      <c r="G1188" s="16" t="s">
        <v>1127</v>
      </c>
      <c r="H1188" s="16" t="s">
        <v>33</v>
      </c>
    </row>
    <row r="1189" spans="1:10" x14ac:dyDescent="0.3">
      <c r="A1189" s="16" t="s">
        <v>270</v>
      </c>
      <c r="B1189" s="16" t="s">
        <v>272</v>
      </c>
      <c r="C1189" s="16" t="s">
        <v>1779</v>
      </c>
      <c r="D1189" s="16" t="s">
        <v>388</v>
      </c>
      <c r="E1189" s="16" t="s">
        <v>539</v>
      </c>
      <c r="H1189" s="16" t="s">
        <v>33</v>
      </c>
      <c r="J1189" s="16" t="s">
        <v>32</v>
      </c>
    </row>
    <row r="1190" spans="1:10" x14ac:dyDescent="0.3">
      <c r="A1190" s="16" t="s">
        <v>273</v>
      </c>
      <c r="B1190" s="16" t="s">
        <v>274</v>
      </c>
      <c r="C1190" s="16" t="s">
        <v>1779</v>
      </c>
      <c r="D1190" s="16" t="s">
        <v>18</v>
      </c>
      <c r="E1190" s="16" t="s">
        <v>539</v>
      </c>
      <c r="G1190" s="16" t="s">
        <v>1127</v>
      </c>
      <c r="H1190" s="16" t="s">
        <v>33</v>
      </c>
    </row>
    <row r="1191" spans="1:10" x14ac:dyDescent="0.3">
      <c r="A1191" s="16" t="s">
        <v>3457</v>
      </c>
      <c r="B1191" s="16" t="s">
        <v>3458</v>
      </c>
      <c r="C1191" s="16" t="s">
        <v>1779</v>
      </c>
      <c r="D1191" s="16" t="s">
        <v>388</v>
      </c>
      <c r="E1191" s="16" t="s">
        <v>539</v>
      </c>
      <c r="H1191" s="16" t="s">
        <v>33</v>
      </c>
      <c r="J1191" s="16" t="s">
        <v>32</v>
      </c>
    </row>
    <row r="1192" spans="1:10" x14ac:dyDescent="0.3">
      <c r="A1192" s="16" t="s">
        <v>1606</v>
      </c>
      <c r="B1192" s="16" t="s">
        <v>1607</v>
      </c>
      <c r="C1192" s="16" t="s">
        <v>1779</v>
      </c>
      <c r="D1192" s="16" t="s">
        <v>18</v>
      </c>
      <c r="E1192" s="16" t="s">
        <v>539</v>
      </c>
      <c r="G1192" s="16" t="s">
        <v>1127</v>
      </c>
      <c r="H1192" s="16" t="s">
        <v>33</v>
      </c>
    </row>
    <row r="1193" spans="1:10" x14ac:dyDescent="0.3">
      <c r="A1193" s="16" t="s">
        <v>3459</v>
      </c>
      <c r="B1193" s="16" t="s">
        <v>3460</v>
      </c>
      <c r="C1193" s="16" t="s">
        <v>1779</v>
      </c>
      <c r="D1193" s="16" t="s">
        <v>388</v>
      </c>
      <c r="E1193" s="16" t="s">
        <v>539</v>
      </c>
      <c r="H1193" s="16" t="s">
        <v>33</v>
      </c>
      <c r="J1193" s="16" t="s">
        <v>32</v>
      </c>
    </row>
    <row r="1194" spans="1:10" x14ac:dyDescent="0.3">
      <c r="A1194" s="16" t="s">
        <v>1608</v>
      </c>
      <c r="B1194" s="16" t="s">
        <v>1609</v>
      </c>
      <c r="C1194" s="16" t="s">
        <v>1779</v>
      </c>
      <c r="D1194" s="16" t="s">
        <v>18</v>
      </c>
      <c r="E1194" s="16" t="s">
        <v>539</v>
      </c>
      <c r="G1194" s="16" t="s">
        <v>1127</v>
      </c>
      <c r="H1194" s="16" t="s">
        <v>33</v>
      </c>
    </row>
    <row r="1195" spans="1:10" x14ac:dyDescent="0.3">
      <c r="A1195" s="16" t="s">
        <v>1368</v>
      </c>
      <c r="B1195" s="16" t="s">
        <v>1369</v>
      </c>
      <c r="C1195" s="16" t="s">
        <v>1778</v>
      </c>
      <c r="D1195" s="16" t="s">
        <v>18</v>
      </c>
      <c r="E1195" s="16" t="s">
        <v>539</v>
      </c>
      <c r="G1195" s="16" t="s">
        <v>1127</v>
      </c>
      <c r="H1195" s="16" t="s">
        <v>33</v>
      </c>
    </row>
    <row r="1196" spans="1:10" x14ac:dyDescent="0.3">
      <c r="A1196" s="16" t="s">
        <v>1370</v>
      </c>
      <c r="B1196" s="16" t="s">
        <v>1371</v>
      </c>
      <c r="C1196" s="16" t="s">
        <v>1778</v>
      </c>
      <c r="D1196" s="16" t="s">
        <v>18</v>
      </c>
      <c r="E1196" s="16" t="s">
        <v>539</v>
      </c>
      <c r="G1196" s="16" t="s">
        <v>1127</v>
      </c>
      <c r="H1196" s="16" t="s">
        <v>33</v>
      </c>
    </row>
    <row r="1197" spans="1:10" x14ac:dyDescent="0.3">
      <c r="A1197" s="16" t="s">
        <v>3461</v>
      </c>
      <c r="B1197" s="16" t="s">
        <v>3462</v>
      </c>
      <c r="C1197" s="16" t="s">
        <v>1779</v>
      </c>
      <c r="D1197" s="16" t="s">
        <v>388</v>
      </c>
      <c r="E1197" s="16" t="s">
        <v>539</v>
      </c>
      <c r="H1197" s="16" t="s">
        <v>33</v>
      </c>
      <c r="J1197" s="16" t="s">
        <v>32</v>
      </c>
    </row>
    <row r="1198" spans="1:10" x14ac:dyDescent="0.3">
      <c r="A1198" s="16" t="s">
        <v>1610</v>
      </c>
      <c r="B1198" s="16" t="s">
        <v>1611</v>
      </c>
      <c r="C1198" s="16" t="s">
        <v>1779</v>
      </c>
      <c r="D1198" s="16" t="s">
        <v>18</v>
      </c>
      <c r="E1198" s="16" t="s">
        <v>539</v>
      </c>
      <c r="G1198" s="16" t="s">
        <v>1127</v>
      </c>
      <c r="H1198" s="16" t="s">
        <v>33</v>
      </c>
    </row>
    <row r="1199" spans="1:10" x14ac:dyDescent="0.3">
      <c r="A1199" s="16" t="s">
        <v>487</v>
      </c>
      <c r="B1199" s="16" t="s">
        <v>140</v>
      </c>
      <c r="C1199" s="16" t="s">
        <v>1779</v>
      </c>
      <c r="D1199" s="16" t="s">
        <v>388</v>
      </c>
      <c r="E1199" s="16" t="s">
        <v>539</v>
      </c>
      <c r="H1199" s="16" t="s">
        <v>33</v>
      </c>
      <c r="J1199" s="16" t="s">
        <v>32</v>
      </c>
    </row>
    <row r="1200" spans="1:10" x14ac:dyDescent="0.3">
      <c r="A1200" s="16" t="s">
        <v>488</v>
      </c>
      <c r="B1200" s="16" t="s">
        <v>342</v>
      </c>
      <c r="C1200" s="16" t="s">
        <v>1779</v>
      </c>
      <c r="D1200" s="16" t="s">
        <v>18</v>
      </c>
      <c r="E1200" s="16" t="s">
        <v>539</v>
      </c>
      <c r="G1200" s="16" t="s">
        <v>1127</v>
      </c>
      <c r="H1200" s="16" t="s">
        <v>33</v>
      </c>
    </row>
    <row r="1201" spans="1:10" x14ac:dyDescent="0.3">
      <c r="A1201" s="16" t="s">
        <v>1372</v>
      </c>
      <c r="B1201" s="16" t="s">
        <v>1373</v>
      </c>
      <c r="C1201" s="16" t="s">
        <v>1778</v>
      </c>
      <c r="D1201" s="16" t="s">
        <v>18</v>
      </c>
      <c r="E1201" s="16" t="s">
        <v>539</v>
      </c>
      <c r="G1201" s="16" t="s">
        <v>1127</v>
      </c>
      <c r="H1201" s="16" t="s">
        <v>33</v>
      </c>
    </row>
    <row r="1202" spans="1:10" x14ac:dyDescent="0.3">
      <c r="A1202" s="16" t="s">
        <v>275</v>
      </c>
      <c r="B1202" s="16" t="s">
        <v>277</v>
      </c>
      <c r="C1202" s="16" t="s">
        <v>1779</v>
      </c>
      <c r="D1202" s="16" t="s">
        <v>388</v>
      </c>
      <c r="E1202" s="16" t="s">
        <v>539</v>
      </c>
      <c r="H1202" s="16" t="s">
        <v>33</v>
      </c>
      <c r="J1202" s="16" t="s">
        <v>32</v>
      </c>
    </row>
    <row r="1203" spans="1:10" x14ac:dyDescent="0.3">
      <c r="A1203" s="16" t="s">
        <v>278</v>
      </c>
      <c r="B1203" s="16" t="s">
        <v>279</v>
      </c>
      <c r="C1203" s="16" t="s">
        <v>1779</v>
      </c>
      <c r="D1203" s="16" t="s">
        <v>18</v>
      </c>
      <c r="E1203" s="16" t="s">
        <v>539</v>
      </c>
      <c r="G1203" s="16" t="s">
        <v>1127</v>
      </c>
      <c r="H1203" s="16" t="s">
        <v>33</v>
      </c>
    </row>
    <row r="1204" spans="1:10" x14ac:dyDescent="0.3">
      <c r="A1204" s="16" t="s">
        <v>1374</v>
      </c>
      <c r="B1204" s="16" t="s">
        <v>1375</v>
      </c>
      <c r="C1204" s="16" t="s">
        <v>1778</v>
      </c>
      <c r="D1204" s="16" t="s">
        <v>18</v>
      </c>
      <c r="E1204" s="16" t="s">
        <v>539</v>
      </c>
      <c r="G1204" s="16" t="s">
        <v>1127</v>
      </c>
      <c r="H1204" s="16" t="s">
        <v>33</v>
      </c>
    </row>
    <row r="1205" spans="1:10" x14ac:dyDescent="0.3">
      <c r="A1205" s="16" t="s">
        <v>1612</v>
      </c>
      <c r="B1205" s="16" t="s">
        <v>1613</v>
      </c>
      <c r="C1205" s="16" t="s">
        <v>1779</v>
      </c>
      <c r="D1205" s="16" t="s">
        <v>18</v>
      </c>
      <c r="E1205" s="16" t="s">
        <v>539</v>
      </c>
      <c r="G1205" s="16" t="s">
        <v>1127</v>
      </c>
      <c r="H1205" s="16" t="s">
        <v>33</v>
      </c>
    </row>
    <row r="1206" spans="1:10" x14ac:dyDescent="0.3">
      <c r="A1206" s="16" t="s">
        <v>1614</v>
      </c>
      <c r="B1206" s="16" t="s">
        <v>1615</v>
      </c>
      <c r="C1206" s="16" t="s">
        <v>1779</v>
      </c>
      <c r="D1206" s="16" t="s">
        <v>18</v>
      </c>
      <c r="E1206" s="16" t="s">
        <v>539</v>
      </c>
      <c r="G1206" s="16" t="s">
        <v>1127</v>
      </c>
      <c r="H1206" s="16" t="s">
        <v>33</v>
      </c>
    </row>
    <row r="1207" spans="1:10" x14ac:dyDescent="0.3">
      <c r="A1207" s="16" t="s">
        <v>265</v>
      </c>
      <c r="B1207" s="16" t="s">
        <v>267</v>
      </c>
      <c r="C1207" s="16" t="s">
        <v>1779</v>
      </c>
      <c r="D1207" s="16" t="s">
        <v>388</v>
      </c>
      <c r="E1207" s="16" t="s">
        <v>539</v>
      </c>
      <c r="H1207" s="16" t="s">
        <v>33</v>
      </c>
      <c r="J1207" s="16" t="s">
        <v>32</v>
      </c>
    </row>
    <row r="1208" spans="1:10" x14ac:dyDescent="0.3">
      <c r="A1208" s="16" t="s">
        <v>268</v>
      </c>
      <c r="B1208" s="16" t="s">
        <v>269</v>
      </c>
      <c r="C1208" s="16" t="s">
        <v>1779</v>
      </c>
      <c r="D1208" s="16" t="s">
        <v>18</v>
      </c>
      <c r="E1208" s="16" t="s">
        <v>539</v>
      </c>
      <c r="G1208" s="16" t="s">
        <v>1127</v>
      </c>
      <c r="H1208" s="16" t="s">
        <v>33</v>
      </c>
    </row>
    <row r="1209" spans="1:10" x14ac:dyDescent="0.3">
      <c r="A1209" s="16" t="s">
        <v>1376</v>
      </c>
      <c r="B1209" s="16" t="s">
        <v>1377</v>
      </c>
      <c r="C1209" s="16" t="s">
        <v>1778</v>
      </c>
      <c r="D1209" s="16" t="s">
        <v>18</v>
      </c>
      <c r="E1209" s="16" t="s">
        <v>539</v>
      </c>
      <c r="G1209" s="16" t="s">
        <v>1127</v>
      </c>
      <c r="H1209" s="16" t="s">
        <v>33</v>
      </c>
    </row>
    <row r="1210" spans="1:10" x14ac:dyDescent="0.3">
      <c r="A1210" s="16" t="s">
        <v>285</v>
      </c>
      <c r="B1210" s="16" t="s">
        <v>287</v>
      </c>
      <c r="C1210" s="16" t="s">
        <v>1779</v>
      </c>
      <c r="D1210" s="16" t="s">
        <v>388</v>
      </c>
      <c r="E1210" s="16" t="s">
        <v>539</v>
      </c>
      <c r="H1210" s="16" t="s">
        <v>33</v>
      </c>
      <c r="J1210" s="16" t="s">
        <v>32</v>
      </c>
    </row>
    <row r="1211" spans="1:10" x14ac:dyDescent="0.3">
      <c r="A1211" s="16" t="s">
        <v>288</v>
      </c>
      <c r="B1211" s="16" t="s">
        <v>289</v>
      </c>
      <c r="C1211" s="16" t="s">
        <v>1779</v>
      </c>
      <c r="D1211" s="16" t="s">
        <v>18</v>
      </c>
      <c r="E1211" s="16" t="s">
        <v>539</v>
      </c>
      <c r="G1211" s="16" t="s">
        <v>1127</v>
      </c>
      <c r="H1211" s="16" t="s">
        <v>33</v>
      </c>
    </row>
    <row r="1212" spans="1:10" x14ac:dyDescent="0.3">
      <c r="A1212" s="16" t="s">
        <v>1378</v>
      </c>
      <c r="B1212" s="16" t="s">
        <v>1379</v>
      </c>
      <c r="C1212" s="16" t="s">
        <v>1778</v>
      </c>
      <c r="D1212" s="16" t="s">
        <v>18</v>
      </c>
      <c r="E1212" s="16" t="s">
        <v>539</v>
      </c>
      <c r="G1212" s="16" t="s">
        <v>1127</v>
      </c>
      <c r="H1212" s="16" t="s">
        <v>33</v>
      </c>
    </row>
    <row r="1213" spans="1:10" x14ac:dyDescent="0.3">
      <c r="A1213" s="16" t="s">
        <v>1380</v>
      </c>
      <c r="B1213" s="16" t="s">
        <v>377</v>
      </c>
      <c r="C1213" s="16" t="s">
        <v>1778</v>
      </c>
      <c r="D1213" s="16" t="s">
        <v>18</v>
      </c>
      <c r="E1213" s="16" t="s">
        <v>539</v>
      </c>
      <c r="G1213" s="16" t="s">
        <v>1127</v>
      </c>
      <c r="H1213" s="16" t="s">
        <v>33</v>
      </c>
    </row>
    <row r="1214" spans="1:10" x14ac:dyDescent="0.3">
      <c r="A1214" s="16" t="s">
        <v>1381</v>
      </c>
      <c r="B1214" s="16" t="s">
        <v>1382</v>
      </c>
      <c r="C1214" s="16" t="s">
        <v>1778</v>
      </c>
      <c r="D1214" s="16" t="s">
        <v>18</v>
      </c>
      <c r="E1214" s="16" t="s">
        <v>539</v>
      </c>
      <c r="G1214" s="16" t="s">
        <v>1127</v>
      </c>
      <c r="H1214" s="16" t="s">
        <v>33</v>
      </c>
    </row>
    <row r="1215" spans="1:10" x14ac:dyDescent="0.3">
      <c r="A1215" s="16" t="s">
        <v>1383</v>
      </c>
      <c r="B1215" s="16" t="s">
        <v>1384</v>
      </c>
      <c r="C1215" s="16" t="s">
        <v>1778</v>
      </c>
      <c r="D1215" s="16" t="s">
        <v>18</v>
      </c>
      <c r="E1215" s="16" t="s">
        <v>539</v>
      </c>
      <c r="G1215" s="16" t="s">
        <v>1127</v>
      </c>
      <c r="H1215" s="16" t="s">
        <v>33</v>
      </c>
    </row>
    <row r="1216" spans="1:10" x14ac:dyDescent="0.3">
      <c r="A1216" s="16" t="s">
        <v>1385</v>
      </c>
      <c r="B1216" s="16" t="s">
        <v>373</v>
      </c>
      <c r="C1216" s="16" t="s">
        <v>1778</v>
      </c>
      <c r="D1216" s="16" t="s">
        <v>18</v>
      </c>
      <c r="E1216" s="16" t="s">
        <v>539</v>
      </c>
      <c r="G1216" s="16" t="s">
        <v>1127</v>
      </c>
      <c r="H1216" s="16" t="s">
        <v>33</v>
      </c>
    </row>
    <row r="1217" spans="1:10" x14ac:dyDescent="0.3">
      <c r="A1217" s="16" t="s">
        <v>1386</v>
      </c>
      <c r="B1217" s="16" t="s">
        <v>381</v>
      </c>
      <c r="C1217" s="16" t="s">
        <v>1778</v>
      </c>
      <c r="D1217" s="16" t="s">
        <v>18</v>
      </c>
      <c r="E1217" s="16" t="s">
        <v>539</v>
      </c>
      <c r="G1217" s="16" t="s">
        <v>1127</v>
      </c>
      <c r="H1217" s="16" t="s">
        <v>33</v>
      </c>
    </row>
    <row r="1218" spans="1:10" x14ac:dyDescent="0.3">
      <c r="A1218" s="16" t="s">
        <v>3463</v>
      </c>
      <c r="B1218" s="16" t="s">
        <v>362</v>
      </c>
      <c r="C1218" s="16" t="s">
        <v>1779</v>
      </c>
      <c r="D1218" s="16" t="s">
        <v>388</v>
      </c>
      <c r="E1218" s="16" t="s">
        <v>539</v>
      </c>
      <c r="H1218" s="16" t="s">
        <v>33</v>
      </c>
      <c r="J1218" s="16" t="s">
        <v>32</v>
      </c>
    </row>
    <row r="1219" spans="1:10" x14ac:dyDescent="0.3">
      <c r="A1219" s="16" t="s">
        <v>1616</v>
      </c>
      <c r="B1219" s="16" t="s">
        <v>365</v>
      </c>
      <c r="C1219" s="16" t="s">
        <v>1779</v>
      </c>
      <c r="D1219" s="16" t="s">
        <v>18</v>
      </c>
      <c r="E1219" s="16" t="s">
        <v>539</v>
      </c>
      <c r="G1219" s="16" t="s">
        <v>1127</v>
      </c>
      <c r="H1219" s="16" t="s">
        <v>33</v>
      </c>
    </row>
    <row r="1220" spans="1:10" x14ac:dyDescent="0.3">
      <c r="A1220" s="16" t="s">
        <v>3464</v>
      </c>
      <c r="B1220" s="16" t="s">
        <v>367</v>
      </c>
      <c r="C1220" s="16" t="s">
        <v>1779</v>
      </c>
      <c r="D1220" s="16" t="s">
        <v>388</v>
      </c>
      <c r="E1220" s="16" t="s">
        <v>539</v>
      </c>
      <c r="H1220" s="16" t="s">
        <v>33</v>
      </c>
      <c r="J1220" s="16" t="s">
        <v>32</v>
      </c>
    </row>
    <row r="1221" spans="1:10" x14ac:dyDescent="0.3">
      <c r="A1221" s="16" t="s">
        <v>1617</v>
      </c>
      <c r="B1221" s="16" t="s">
        <v>369</v>
      </c>
      <c r="C1221" s="16" t="s">
        <v>1779</v>
      </c>
      <c r="D1221" s="16" t="s">
        <v>18</v>
      </c>
      <c r="E1221" s="16" t="s">
        <v>539</v>
      </c>
      <c r="G1221" s="16" t="s">
        <v>1127</v>
      </c>
      <c r="H1221" s="16" t="s">
        <v>33</v>
      </c>
    </row>
    <row r="1222" spans="1:10" x14ac:dyDescent="0.3">
      <c r="A1222" s="16" t="s">
        <v>1618</v>
      </c>
      <c r="B1222" s="16" t="s">
        <v>1619</v>
      </c>
      <c r="C1222" s="16" t="s">
        <v>1779</v>
      </c>
      <c r="D1222" s="16" t="s">
        <v>18</v>
      </c>
      <c r="E1222" s="16" t="s">
        <v>539</v>
      </c>
      <c r="G1222" s="16" t="s">
        <v>1127</v>
      </c>
      <c r="H1222" s="16" t="s">
        <v>33</v>
      </c>
    </row>
    <row r="1223" spans="1:10" x14ac:dyDescent="0.3">
      <c r="A1223" s="16" t="s">
        <v>3465</v>
      </c>
      <c r="B1223" s="16" t="s">
        <v>3466</v>
      </c>
      <c r="C1223" s="16" t="s">
        <v>1779</v>
      </c>
      <c r="D1223" s="16" t="s">
        <v>388</v>
      </c>
      <c r="E1223" s="16" t="s">
        <v>539</v>
      </c>
      <c r="H1223" s="16" t="s">
        <v>33</v>
      </c>
      <c r="J1223" s="16" t="s">
        <v>32</v>
      </c>
    </row>
    <row r="1224" spans="1:10" x14ac:dyDescent="0.3">
      <c r="A1224" s="16" t="s">
        <v>1387</v>
      </c>
      <c r="B1224" s="16" t="s">
        <v>1388</v>
      </c>
      <c r="C1224" s="16" t="s">
        <v>1778</v>
      </c>
      <c r="D1224" s="16" t="s">
        <v>18</v>
      </c>
      <c r="E1224" s="16" t="s">
        <v>539</v>
      </c>
      <c r="G1224" s="16" t="s">
        <v>1127</v>
      </c>
      <c r="H1224" s="16" t="s">
        <v>33</v>
      </c>
    </row>
    <row r="1225" spans="1:10" x14ac:dyDescent="0.3">
      <c r="A1225" s="16" t="s">
        <v>1389</v>
      </c>
      <c r="B1225" s="16" t="s">
        <v>1390</v>
      </c>
      <c r="C1225" s="16" t="s">
        <v>1778</v>
      </c>
      <c r="D1225" s="16" t="s">
        <v>18</v>
      </c>
      <c r="E1225" s="16" t="s">
        <v>539</v>
      </c>
      <c r="G1225" s="16" t="s">
        <v>1127</v>
      </c>
      <c r="H1225" s="16" t="s">
        <v>33</v>
      </c>
    </row>
    <row r="1226" spans="1:10" x14ac:dyDescent="0.3">
      <c r="A1226" s="16" t="s">
        <v>1391</v>
      </c>
      <c r="B1226" s="16" t="s">
        <v>1392</v>
      </c>
      <c r="C1226" s="16" t="s">
        <v>1778</v>
      </c>
      <c r="D1226" s="16" t="s">
        <v>18</v>
      </c>
      <c r="E1226" s="16" t="s">
        <v>539</v>
      </c>
      <c r="G1226" s="16" t="s">
        <v>1127</v>
      </c>
      <c r="H1226" s="16" t="s">
        <v>33</v>
      </c>
    </row>
    <row r="1227" spans="1:10" x14ac:dyDescent="0.3">
      <c r="A1227" s="16" t="s">
        <v>1393</v>
      </c>
      <c r="B1227" s="16" t="s">
        <v>1394</v>
      </c>
      <c r="C1227" s="16" t="s">
        <v>1778</v>
      </c>
      <c r="D1227" s="16" t="s">
        <v>18</v>
      </c>
      <c r="E1227" s="16" t="s">
        <v>539</v>
      </c>
      <c r="G1227" s="16" t="s">
        <v>1127</v>
      </c>
      <c r="H1227" s="16" t="s">
        <v>33</v>
      </c>
    </row>
    <row r="1228" spans="1:10" x14ac:dyDescent="0.3">
      <c r="A1228" s="16" t="s">
        <v>3134</v>
      </c>
      <c r="B1228" s="16" t="s">
        <v>3135</v>
      </c>
      <c r="C1228" s="16" t="s">
        <v>1779</v>
      </c>
      <c r="D1228" s="16" t="s">
        <v>133</v>
      </c>
      <c r="E1228" s="16" t="s">
        <v>255</v>
      </c>
      <c r="H1228" s="16" t="s">
        <v>33</v>
      </c>
    </row>
    <row r="1229" spans="1:10" x14ac:dyDescent="0.3">
      <c r="A1229" s="16" t="s">
        <v>3136</v>
      </c>
      <c r="B1229" s="16" t="s">
        <v>3137</v>
      </c>
      <c r="C1229" s="16" t="s">
        <v>1779</v>
      </c>
      <c r="D1229" s="16" t="s">
        <v>133</v>
      </c>
      <c r="E1229" s="16" t="s">
        <v>1791</v>
      </c>
      <c r="H1229" s="16" t="s">
        <v>33</v>
      </c>
    </row>
    <row r="1230" spans="1:10" x14ac:dyDescent="0.3">
      <c r="A1230" s="16" t="s">
        <v>1150</v>
      </c>
      <c r="B1230" s="16" t="s">
        <v>1151</v>
      </c>
      <c r="C1230" s="16" t="s">
        <v>1915</v>
      </c>
      <c r="D1230" s="16" t="s">
        <v>18</v>
      </c>
      <c r="E1230" s="16" t="s">
        <v>588</v>
      </c>
      <c r="G1230" s="16" t="s">
        <v>1127</v>
      </c>
      <c r="H1230" s="16" t="s">
        <v>33</v>
      </c>
    </row>
    <row r="1231" spans="1:10" x14ac:dyDescent="0.3">
      <c r="A1231" s="16" t="s">
        <v>503</v>
      </c>
      <c r="B1231" s="16" t="s">
        <v>504</v>
      </c>
      <c r="C1231" s="16" t="s">
        <v>1779</v>
      </c>
      <c r="D1231" s="16" t="s">
        <v>133</v>
      </c>
      <c r="E1231" s="16" t="s">
        <v>539</v>
      </c>
      <c r="H1231" s="16" t="s">
        <v>33</v>
      </c>
    </row>
    <row r="1232" spans="1:10" x14ac:dyDescent="0.3">
      <c r="A1232" s="16" t="s">
        <v>3138</v>
      </c>
      <c r="B1232" s="16" t="s">
        <v>3139</v>
      </c>
      <c r="C1232" s="16" t="s">
        <v>1779</v>
      </c>
      <c r="D1232" s="16" t="s">
        <v>388</v>
      </c>
      <c r="E1232" s="16" t="s">
        <v>539</v>
      </c>
      <c r="J1232" s="16" t="s">
        <v>32</v>
      </c>
    </row>
    <row r="1233" spans="1:12" x14ac:dyDescent="0.3">
      <c r="A1233" s="16" t="s">
        <v>3138</v>
      </c>
      <c r="B1233" s="16" t="s">
        <v>3139</v>
      </c>
      <c r="C1233" s="16" t="s">
        <v>1769</v>
      </c>
      <c r="D1233" s="16" t="s">
        <v>388</v>
      </c>
      <c r="E1233" s="16" t="s">
        <v>539</v>
      </c>
      <c r="J1233" s="16" t="s">
        <v>32</v>
      </c>
    </row>
    <row r="1234" spans="1:12" x14ac:dyDescent="0.3">
      <c r="A1234" s="16" t="s">
        <v>3138</v>
      </c>
      <c r="B1234" s="16" t="s">
        <v>3140</v>
      </c>
      <c r="C1234" s="16" t="s">
        <v>1769</v>
      </c>
      <c r="D1234" s="16" t="s">
        <v>388</v>
      </c>
      <c r="E1234" s="16" t="s">
        <v>539</v>
      </c>
      <c r="J1234" s="16" t="s">
        <v>32</v>
      </c>
    </row>
    <row r="1235" spans="1:12" x14ac:dyDescent="0.3">
      <c r="A1235" s="16" t="s">
        <v>3138</v>
      </c>
      <c r="B1235" s="16" t="s">
        <v>3141</v>
      </c>
      <c r="C1235" s="16" t="s">
        <v>1769</v>
      </c>
      <c r="D1235" s="16" t="s">
        <v>388</v>
      </c>
      <c r="E1235" s="16" t="s">
        <v>539</v>
      </c>
      <c r="J1235" s="16" t="s">
        <v>32</v>
      </c>
    </row>
    <row r="1236" spans="1:12" x14ac:dyDescent="0.3">
      <c r="A1236" s="16" t="s">
        <v>3138</v>
      </c>
      <c r="B1236" s="16" t="s">
        <v>3142</v>
      </c>
      <c r="C1236" s="16" t="s">
        <v>1779</v>
      </c>
      <c r="D1236" s="16" t="s">
        <v>388</v>
      </c>
      <c r="E1236" s="16" t="s">
        <v>539</v>
      </c>
      <c r="J1236" s="16" t="s">
        <v>32</v>
      </c>
    </row>
    <row r="1237" spans="1:12" x14ac:dyDescent="0.3">
      <c r="A1237" s="16" t="s">
        <v>3138</v>
      </c>
      <c r="B1237" s="16" t="s">
        <v>3142</v>
      </c>
      <c r="C1237" s="16" t="s">
        <v>1769</v>
      </c>
      <c r="D1237" s="16" t="s">
        <v>388</v>
      </c>
      <c r="E1237" s="16" t="s">
        <v>539</v>
      </c>
      <c r="J1237" s="16" t="s">
        <v>1988</v>
      </c>
    </row>
    <row r="1238" spans="1:12" x14ac:dyDescent="0.3">
      <c r="A1238" s="16" t="s">
        <v>3143</v>
      </c>
      <c r="B1238" s="16" t="s">
        <v>3144</v>
      </c>
      <c r="C1238" s="16" t="s">
        <v>1779</v>
      </c>
      <c r="D1238" s="16" t="s">
        <v>388</v>
      </c>
      <c r="E1238" s="16" t="s">
        <v>539</v>
      </c>
      <c r="J1238" s="16" t="s">
        <v>32</v>
      </c>
    </row>
    <row r="1239" spans="1:12" x14ac:dyDescent="0.3">
      <c r="A1239" s="16" t="s">
        <v>3143</v>
      </c>
      <c r="B1239" s="16" t="s">
        <v>3145</v>
      </c>
      <c r="C1239" s="16" t="s">
        <v>1779</v>
      </c>
      <c r="D1239" s="16" t="s">
        <v>388</v>
      </c>
      <c r="E1239" s="16" t="s">
        <v>539</v>
      </c>
      <c r="J1239" s="16" t="s">
        <v>32</v>
      </c>
    </row>
    <row r="1240" spans="1:12" x14ac:dyDescent="0.3">
      <c r="A1240" s="16" t="s">
        <v>3138</v>
      </c>
      <c r="B1240" s="16" t="s">
        <v>3146</v>
      </c>
      <c r="C1240" s="16" t="s">
        <v>1779</v>
      </c>
      <c r="D1240" s="16" t="s">
        <v>388</v>
      </c>
      <c r="E1240" s="16" t="s">
        <v>539</v>
      </c>
      <c r="H1240" s="16" t="s">
        <v>33</v>
      </c>
      <c r="J1240" s="16" t="s">
        <v>32</v>
      </c>
      <c r="L1240" s="16" t="s">
        <v>33</v>
      </c>
    </row>
    <row r="1241" spans="1:12" x14ac:dyDescent="0.3">
      <c r="A1241" s="16" t="s">
        <v>3138</v>
      </c>
      <c r="B1241" s="16" t="s">
        <v>3147</v>
      </c>
      <c r="C1241" s="16" t="s">
        <v>1779</v>
      </c>
      <c r="D1241" s="16" t="s">
        <v>388</v>
      </c>
      <c r="E1241" s="16" t="s">
        <v>539</v>
      </c>
      <c r="J1241" s="16" t="s">
        <v>32</v>
      </c>
    </row>
    <row r="1242" spans="1:12" x14ac:dyDescent="0.3">
      <c r="A1242" s="16" t="s">
        <v>3138</v>
      </c>
      <c r="B1242" s="16" t="s">
        <v>3148</v>
      </c>
      <c r="C1242" s="16" t="s">
        <v>1804</v>
      </c>
      <c r="D1242" s="16" t="s">
        <v>388</v>
      </c>
      <c r="E1242" s="16" t="s">
        <v>539</v>
      </c>
      <c r="J1242" s="16" t="s">
        <v>32</v>
      </c>
    </row>
    <row r="1243" spans="1:12" x14ac:dyDescent="0.3">
      <c r="A1243" s="16" t="s">
        <v>3138</v>
      </c>
      <c r="B1243" s="16" t="s">
        <v>3149</v>
      </c>
      <c r="C1243" s="16" t="s">
        <v>1779</v>
      </c>
      <c r="D1243" s="16" t="s">
        <v>388</v>
      </c>
      <c r="E1243" s="16" t="s">
        <v>539</v>
      </c>
      <c r="J1243" s="16" t="s">
        <v>32</v>
      </c>
    </row>
    <row r="1244" spans="1:12" x14ac:dyDescent="0.3">
      <c r="A1244" s="16" t="s">
        <v>3143</v>
      </c>
      <c r="B1244" s="16" t="s">
        <v>3150</v>
      </c>
      <c r="C1244" s="16" t="s">
        <v>1779</v>
      </c>
      <c r="D1244" s="16" t="s">
        <v>388</v>
      </c>
      <c r="E1244" s="16" t="s">
        <v>539</v>
      </c>
      <c r="J1244" s="16" t="s">
        <v>32</v>
      </c>
    </row>
    <row r="1245" spans="1:12" x14ac:dyDescent="0.3">
      <c r="A1245" s="16" t="s">
        <v>3138</v>
      </c>
      <c r="B1245" s="16" t="s">
        <v>3151</v>
      </c>
      <c r="C1245" s="16" t="s">
        <v>1779</v>
      </c>
      <c r="D1245" s="16" t="s">
        <v>388</v>
      </c>
      <c r="E1245" s="16" t="s">
        <v>539</v>
      </c>
      <c r="H1245" s="16" t="s">
        <v>33</v>
      </c>
      <c r="J1245" s="16" t="s">
        <v>32</v>
      </c>
      <c r="L1245" s="16" t="s">
        <v>33</v>
      </c>
    </row>
    <row r="1246" spans="1:12" x14ac:dyDescent="0.3">
      <c r="A1246" s="16" t="s">
        <v>3143</v>
      </c>
      <c r="B1246" s="16" t="s">
        <v>3152</v>
      </c>
      <c r="C1246" s="16" t="s">
        <v>1779</v>
      </c>
      <c r="D1246" s="16" t="s">
        <v>388</v>
      </c>
      <c r="E1246" s="16" t="s">
        <v>539</v>
      </c>
      <c r="J1246" s="16" t="s">
        <v>32</v>
      </c>
    </row>
    <row r="1247" spans="1:12" x14ac:dyDescent="0.3">
      <c r="A1247" s="16" t="s">
        <v>3153</v>
      </c>
      <c r="B1247" s="16" t="s">
        <v>3154</v>
      </c>
      <c r="C1247" s="16" t="s">
        <v>1769</v>
      </c>
      <c r="D1247" s="16" t="s">
        <v>388</v>
      </c>
      <c r="E1247" s="16" t="s">
        <v>539</v>
      </c>
      <c r="J1247" s="16" t="s">
        <v>1988</v>
      </c>
    </row>
    <row r="1248" spans="1:12" x14ac:dyDescent="0.3">
      <c r="A1248" s="16" t="s">
        <v>3153</v>
      </c>
      <c r="B1248" s="16" t="s">
        <v>3155</v>
      </c>
      <c r="C1248" s="16" t="s">
        <v>1769</v>
      </c>
      <c r="D1248" s="16" t="s">
        <v>388</v>
      </c>
      <c r="E1248" s="16" t="s">
        <v>539</v>
      </c>
      <c r="J1248" s="16" t="s">
        <v>1988</v>
      </c>
    </row>
    <row r="1249" spans="1:12" x14ac:dyDescent="0.3">
      <c r="A1249" s="16" t="s">
        <v>3156</v>
      </c>
      <c r="B1249" s="16" t="s">
        <v>3157</v>
      </c>
      <c r="C1249" s="16" t="s">
        <v>1779</v>
      </c>
      <c r="D1249" s="16" t="s">
        <v>18</v>
      </c>
      <c r="E1249" s="16" t="s">
        <v>661</v>
      </c>
      <c r="G1249" s="16" t="s">
        <v>1770</v>
      </c>
      <c r="H1249" s="16" t="s">
        <v>33</v>
      </c>
    </row>
    <row r="1250" spans="1:12" x14ac:dyDescent="0.3">
      <c r="A1250" s="16" t="s">
        <v>3158</v>
      </c>
      <c r="B1250" s="16" t="s">
        <v>397</v>
      </c>
      <c r="C1250" s="16" t="s">
        <v>1779</v>
      </c>
      <c r="D1250" s="16" t="s">
        <v>388</v>
      </c>
      <c r="E1250" s="16" t="s">
        <v>539</v>
      </c>
      <c r="H1250" s="16" t="s">
        <v>33</v>
      </c>
      <c r="J1250" s="16" t="s">
        <v>32</v>
      </c>
    </row>
    <row r="1251" spans="1:12" x14ac:dyDescent="0.3">
      <c r="A1251" s="16" t="s">
        <v>3158</v>
      </c>
      <c r="B1251" s="16" t="s">
        <v>397</v>
      </c>
      <c r="C1251" s="16" t="s">
        <v>1777</v>
      </c>
      <c r="D1251" s="16" t="s">
        <v>388</v>
      </c>
      <c r="E1251" s="16" t="s">
        <v>539</v>
      </c>
      <c r="H1251" s="16" t="s">
        <v>33</v>
      </c>
      <c r="J1251" s="16" t="s">
        <v>32</v>
      </c>
    </row>
    <row r="1252" spans="1:12" x14ac:dyDescent="0.3">
      <c r="A1252" s="16" t="s">
        <v>3159</v>
      </c>
      <c r="B1252" s="16" t="s">
        <v>3160</v>
      </c>
      <c r="C1252" s="16" t="s">
        <v>1779</v>
      </c>
      <c r="D1252" s="16" t="s">
        <v>133</v>
      </c>
      <c r="E1252" s="16" t="s">
        <v>588</v>
      </c>
      <c r="H1252" s="16" t="s">
        <v>33</v>
      </c>
    </row>
    <row r="1253" spans="1:12" x14ac:dyDescent="0.3">
      <c r="A1253" s="16" t="s">
        <v>3161</v>
      </c>
      <c r="B1253" s="16" t="s">
        <v>3162</v>
      </c>
      <c r="C1253" s="16" t="s">
        <v>1779</v>
      </c>
      <c r="D1253" s="16" t="s">
        <v>133</v>
      </c>
      <c r="E1253" s="16" t="s">
        <v>588</v>
      </c>
      <c r="H1253" s="16" t="s">
        <v>33</v>
      </c>
    </row>
    <row r="1254" spans="1:12" x14ac:dyDescent="0.3">
      <c r="A1254" s="16" t="s">
        <v>158</v>
      </c>
      <c r="B1254" s="16" t="s">
        <v>159</v>
      </c>
      <c r="C1254" s="16" t="s">
        <v>1779</v>
      </c>
      <c r="D1254" s="16" t="s">
        <v>388</v>
      </c>
      <c r="E1254" s="16" t="s">
        <v>539</v>
      </c>
      <c r="H1254" s="16" t="s">
        <v>33</v>
      </c>
      <c r="J1254" s="16" t="s">
        <v>32</v>
      </c>
    </row>
    <row r="1255" spans="1:12" x14ac:dyDescent="0.3">
      <c r="A1255" s="16" t="s">
        <v>158</v>
      </c>
      <c r="B1255" s="16" t="s">
        <v>159</v>
      </c>
      <c r="C1255" s="16" t="s">
        <v>1777</v>
      </c>
      <c r="D1255" s="16" t="s">
        <v>388</v>
      </c>
      <c r="E1255" s="16" t="s">
        <v>539</v>
      </c>
      <c r="H1255" s="16" t="s">
        <v>33</v>
      </c>
      <c r="J1255" s="16" t="s">
        <v>32</v>
      </c>
      <c r="K1255" s="16" t="s">
        <v>3163</v>
      </c>
    </row>
    <row r="1256" spans="1:12" x14ac:dyDescent="0.3">
      <c r="A1256" s="16" t="s">
        <v>3164</v>
      </c>
      <c r="B1256" s="16" t="s">
        <v>3165</v>
      </c>
      <c r="C1256" s="16" t="s">
        <v>1808</v>
      </c>
      <c r="D1256" s="16" t="s">
        <v>133</v>
      </c>
      <c r="E1256" s="16" t="s">
        <v>539</v>
      </c>
      <c r="H1256" s="16" t="s">
        <v>33</v>
      </c>
    </row>
    <row r="1257" spans="1:12" x14ac:dyDescent="0.3">
      <c r="A1257" s="16" t="s">
        <v>3166</v>
      </c>
      <c r="B1257" s="16" t="s">
        <v>3167</v>
      </c>
      <c r="C1257" s="16" t="s">
        <v>1963</v>
      </c>
      <c r="D1257" s="16" t="s">
        <v>18</v>
      </c>
      <c r="E1257" s="16" t="s">
        <v>555</v>
      </c>
      <c r="G1257" s="16" t="s">
        <v>1127</v>
      </c>
      <c r="H1257" s="16" t="s">
        <v>33</v>
      </c>
    </row>
    <row r="1258" spans="1:12" x14ac:dyDescent="0.3">
      <c r="A1258" s="16" t="s">
        <v>3168</v>
      </c>
      <c r="B1258" s="16" t="s">
        <v>3169</v>
      </c>
      <c r="C1258" s="16" t="s">
        <v>1808</v>
      </c>
      <c r="D1258" s="16" t="s">
        <v>133</v>
      </c>
      <c r="E1258" s="16" t="s">
        <v>539</v>
      </c>
      <c r="H1258" s="16" t="s">
        <v>33</v>
      </c>
    </row>
    <row r="1259" spans="1:12" x14ac:dyDescent="0.3">
      <c r="A1259" s="16" t="s">
        <v>101</v>
      </c>
      <c r="B1259" s="16" t="s">
        <v>3170</v>
      </c>
      <c r="C1259" s="16" t="s">
        <v>2092</v>
      </c>
      <c r="D1259" s="16" t="s">
        <v>388</v>
      </c>
      <c r="E1259" s="16" t="s">
        <v>539</v>
      </c>
      <c r="H1259" s="16" t="s">
        <v>33</v>
      </c>
      <c r="J1259" s="16" t="s">
        <v>32</v>
      </c>
      <c r="K1259" s="16" t="s">
        <v>3171</v>
      </c>
      <c r="L1259" s="16" t="s">
        <v>33</v>
      </c>
    </row>
    <row r="1260" spans="1:12" x14ac:dyDescent="0.3">
      <c r="A1260" s="16" t="s">
        <v>101</v>
      </c>
      <c r="B1260" s="16" t="s">
        <v>103</v>
      </c>
      <c r="C1260" s="16" t="s">
        <v>1779</v>
      </c>
      <c r="D1260" s="16" t="s">
        <v>388</v>
      </c>
      <c r="E1260" s="16" t="s">
        <v>539</v>
      </c>
      <c r="H1260" s="16" t="s">
        <v>33</v>
      </c>
      <c r="J1260" s="16" t="s">
        <v>32</v>
      </c>
    </row>
    <row r="1261" spans="1:12" x14ac:dyDescent="0.3">
      <c r="A1261" s="16" t="s">
        <v>247</v>
      </c>
      <c r="B1261" s="16" t="s">
        <v>1184</v>
      </c>
      <c r="C1261" s="16" t="s">
        <v>1777</v>
      </c>
      <c r="D1261" s="16" t="s">
        <v>18</v>
      </c>
      <c r="E1261" s="16" t="s">
        <v>539</v>
      </c>
      <c r="G1261" s="16" t="s">
        <v>1127</v>
      </c>
      <c r="H1261" s="16" t="s">
        <v>33</v>
      </c>
    </row>
    <row r="1262" spans="1:12" x14ac:dyDescent="0.3">
      <c r="A1262" s="16" t="s">
        <v>247</v>
      </c>
      <c r="B1262" s="16" t="s">
        <v>248</v>
      </c>
      <c r="C1262" s="16" t="s">
        <v>1779</v>
      </c>
      <c r="D1262" s="16" t="s">
        <v>18</v>
      </c>
      <c r="E1262" s="16" t="s">
        <v>539</v>
      </c>
      <c r="G1262" s="16" t="s">
        <v>1127</v>
      </c>
      <c r="H1262" s="16" t="s">
        <v>33</v>
      </c>
    </row>
    <row r="1263" spans="1:12" x14ac:dyDescent="0.3">
      <c r="A1263" s="16" t="s">
        <v>247</v>
      </c>
      <c r="B1263" s="16" t="s">
        <v>1395</v>
      </c>
      <c r="C1263" s="16" t="s">
        <v>1778</v>
      </c>
      <c r="D1263" s="16" t="s">
        <v>18</v>
      </c>
      <c r="E1263" s="16" t="s">
        <v>539</v>
      </c>
      <c r="G1263" s="16" t="s">
        <v>1127</v>
      </c>
      <c r="H1263" s="16" t="s">
        <v>33</v>
      </c>
    </row>
    <row r="1264" spans="1:12" x14ac:dyDescent="0.3">
      <c r="A1264" s="16" t="s">
        <v>1620</v>
      </c>
      <c r="B1264" s="16" t="s">
        <v>1621</v>
      </c>
      <c r="C1264" s="16" t="s">
        <v>1779</v>
      </c>
      <c r="D1264" s="16" t="s">
        <v>18</v>
      </c>
      <c r="E1264" s="16" t="s">
        <v>1791</v>
      </c>
      <c r="G1264" s="16" t="s">
        <v>1103</v>
      </c>
      <c r="H1264" s="16" t="s">
        <v>33</v>
      </c>
    </row>
    <row r="1265" spans="1:10" x14ac:dyDescent="0.3">
      <c r="A1265" s="16" t="s">
        <v>3172</v>
      </c>
      <c r="B1265" s="16" t="s">
        <v>3173</v>
      </c>
      <c r="C1265" s="16" t="s">
        <v>1779</v>
      </c>
      <c r="D1265" s="16" t="s">
        <v>133</v>
      </c>
      <c r="E1265" s="16" t="s">
        <v>1791</v>
      </c>
      <c r="G1265" s="16" t="s">
        <v>662</v>
      </c>
      <c r="H1265" s="16" t="s">
        <v>33</v>
      </c>
    </row>
    <row r="1266" spans="1:10" x14ac:dyDescent="0.3">
      <c r="A1266" s="16" t="s">
        <v>1622</v>
      </c>
      <c r="B1266" s="16" t="s">
        <v>1623</v>
      </c>
      <c r="C1266" s="16" t="s">
        <v>1779</v>
      </c>
      <c r="D1266" s="16" t="s">
        <v>18</v>
      </c>
      <c r="E1266" s="16" t="s">
        <v>1791</v>
      </c>
      <c r="G1266" s="16" t="s">
        <v>1103</v>
      </c>
      <c r="H1266" s="16" t="s">
        <v>33</v>
      </c>
    </row>
    <row r="1267" spans="1:10" x14ac:dyDescent="0.3">
      <c r="A1267" s="16" t="s">
        <v>3174</v>
      </c>
      <c r="B1267" s="16" t="s">
        <v>3175</v>
      </c>
      <c r="C1267" s="16" t="s">
        <v>1779</v>
      </c>
      <c r="D1267" s="16" t="s">
        <v>133</v>
      </c>
      <c r="E1267" s="16" t="s">
        <v>1791</v>
      </c>
      <c r="G1267" s="16" t="s">
        <v>662</v>
      </c>
      <c r="H1267" s="16" t="s">
        <v>33</v>
      </c>
    </row>
    <row r="1268" spans="1:10" x14ac:dyDescent="0.3">
      <c r="A1268" s="16" t="s">
        <v>1624</v>
      </c>
      <c r="B1268" s="16" t="s">
        <v>1625</v>
      </c>
      <c r="C1268" s="16" t="s">
        <v>1779</v>
      </c>
      <c r="D1268" s="16" t="s">
        <v>18</v>
      </c>
      <c r="E1268" s="16" t="s">
        <v>539</v>
      </c>
      <c r="G1268" s="16" t="s">
        <v>1103</v>
      </c>
      <c r="H1268" s="16" t="s">
        <v>33</v>
      </c>
    </row>
    <row r="1269" spans="1:10" x14ac:dyDescent="0.3">
      <c r="A1269" s="16" t="s">
        <v>3176</v>
      </c>
      <c r="B1269" s="16" t="s">
        <v>3177</v>
      </c>
      <c r="C1269" s="16" t="s">
        <v>1778</v>
      </c>
      <c r="D1269" s="16" t="s">
        <v>133</v>
      </c>
      <c r="E1269" s="16" t="s">
        <v>2374</v>
      </c>
      <c r="H1269" s="16" t="s">
        <v>33</v>
      </c>
    </row>
    <row r="1270" spans="1:10" x14ac:dyDescent="0.3">
      <c r="A1270" s="16" t="s">
        <v>3178</v>
      </c>
      <c r="B1270" s="16" t="s">
        <v>3179</v>
      </c>
      <c r="C1270" s="16" t="s">
        <v>1779</v>
      </c>
      <c r="D1270" s="16" t="s">
        <v>388</v>
      </c>
      <c r="E1270" s="16" t="s">
        <v>539</v>
      </c>
      <c r="H1270" s="16" t="s">
        <v>33</v>
      </c>
      <c r="J1270" s="16" t="s">
        <v>32</v>
      </c>
    </row>
    <row r="1271" spans="1:10" x14ac:dyDescent="0.3">
      <c r="A1271" s="16" t="s">
        <v>3178</v>
      </c>
      <c r="B1271" s="16" t="s">
        <v>3179</v>
      </c>
      <c r="C1271" s="16" t="s">
        <v>1777</v>
      </c>
      <c r="D1271" s="16" t="s">
        <v>388</v>
      </c>
      <c r="E1271" s="16" t="s">
        <v>539</v>
      </c>
      <c r="H1271" s="16" t="s">
        <v>33</v>
      </c>
      <c r="J1271" s="16" t="s">
        <v>32</v>
      </c>
    </row>
    <row r="1272" spans="1:10" x14ac:dyDescent="0.3">
      <c r="A1272" s="16" t="s">
        <v>3180</v>
      </c>
      <c r="B1272" s="16" t="s">
        <v>3181</v>
      </c>
      <c r="C1272" s="16" t="s">
        <v>1779</v>
      </c>
      <c r="D1272" s="16" t="s">
        <v>133</v>
      </c>
      <c r="E1272" s="16" t="s">
        <v>1885</v>
      </c>
      <c r="H1272" s="16" t="s">
        <v>33</v>
      </c>
    </row>
    <row r="1273" spans="1:10" x14ac:dyDescent="0.3">
      <c r="A1273" s="16" t="s">
        <v>3182</v>
      </c>
      <c r="B1273" s="16" t="s">
        <v>3183</v>
      </c>
      <c r="C1273" s="16" t="s">
        <v>1778</v>
      </c>
      <c r="D1273" s="16" t="s">
        <v>18</v>
      </c>
      <c r="E1273" s="16" t="s">
        <v>539</v>
      </c>
      <c r="G1273" s="16" t="s">
        <v>1770</v>
      </c>
      <c r="H1273" s="16" t="s">
        <v>33</v>
      </c>
    </row>
    <row r="1274" spans="1:10" x14ac:dyDescent="0.3">
      <c r="A1274" s="16" t="s">
        <v>1152</v>
      </c>
      <c r="B1274" s="16" t="s">
        <v>1153</v>
      </c>
      <c r="C1274" s="16" t="s">
        <v>1915</v>
      </c>
      <c r="D1274" s="16" t="s">
        <v>18</v>
      </c>
      <c r="E1274" s="16" t="s">
        <v>539</v>
      </c>
      <c r="G1274" s="16" t="s">
        <v>1103</v>
      </c>
      <c r="H1274" s="16" t="s">
        <v>33</v>
      </c>
    </row>
    <row r="1275" spans="1:10" x14ac:dyDescent="0.3">
      <c r="A1275" s="16" t="s">
        <v>3184</v>
      </c>
      <c r="B1275" s="16" t="s">
        <v>3185</v>
      </c>
      <c r="C1275" s="16" t="s">
        <v>1777</v>
      </c>
      <c r="D1275" s="16" t="s">
        <v>388</v>
      </c>
      <c r="E1275" s="16" t="s">
        <v>539</v>
      </c>
      <c r="H1275" s="16" t="s">
        <v>33</v>
      </c>
      <c r="J1275" s="16" t="s">
        <v>32</v>
      </c>
    </row>
    <row r="1276" spans="1:10" x14ac:dyDescent="0.3">
      <c r="A1276" s="16" t="s">
        <v>151</v>
      </c>
      <c r="B1276" s="16" t="s">
        <v>153</v>
      </c>
      <c r="C1276" s="16" t="s">
        <v>1779</v>
      </c>
      <c r="D1276" s="16" t="s">
        <v>388</v>
      </c>
      <c r="E1276" s="16" t="s">
        <v>539</v>
      </c>
      <c r="H1276" s="16" t="s">
        <v>33</v>
      </c>
      <c r="J1276" s="16" t="s">
        <v>32</v>
      </c>
    </row>
    <row r="1277" spans="1:10" x14ac:dyDescent="0.3">
      <c r="A1277" s="16" t="s">
        <v>3186</v>
      </c>
      <c r="B1277" s="16" t="s">
        <v>450</v>
      </c>
      <c r="C1277" s="16" t="s">
        <v>1779</v>
      </c>
      <c r="D1277" s="16" t="s">
        <v>388</v>
      </c>
      <c r="E1277" s="16" t="s">
        <v>539</v>
      </c>
      <c r="H1277" s="16" t="s">
        <v>33</v>
      </c>
      <c r="J1277" s="16" t="s">
        <v>32</v>
      </c>
    </row>
    <row r="1278" spans="1:10" x14ac:dyDescent="0.3">
      <c r="A1278" s="16" t="s">
        <v>3186</v>
      </c>
      <c r="B1278" s="16" t="s">
        <v>450</v>
      </c>
      <c r="C1278" s="16" t="s">
        <v>1777</v>
      </c>
      <c r="D1278" s="16" t="s">
        <v>388</v>
      </c>
      <c r="E1278" s="16" t="s">
        <v>539</v>
      </c>
      <c r="H1278" s="16" t="s">
        <v>33</v>
      </c>
      <c r="J1278" s="16" t="s">
        <v>32</v>
      </c>
    </row>
    <row r="1279" spans="1:10" x14ac:dyDescent="0.3">
      <c r="A1279" s="16" t="s">
        <v>3187</v>
      </c>
      <c r="B1279" s="16" t="s">
        <v>3188</v>
      </c>
      <c r="C1279" s="16" t="s">
        <v>1777</v>
      </c>
      <c r="D1279" s="16" t="s">
        <v>18</v>
      </c>
      <c r="E1279" s="16" t="s">
        <v>588</v>
      </c>
      <c r="G1279" s="16" t="s">
        <v>1770</v>
      </c>
      <c r="H1279" s="16" t="s">
        <v>33</v>
      </c>
    </row>
    <row r="1280" spans="1:10" x14ac:dyDescent="0.3">
      <c r="A1280" s="16" t="s">
        <v>3187</v>
      </c>
      <c r="B1280" s="16" t="s">
        <v>3189</v>
      </c>
      <c r="C1280" s="16" t="s">
        <v>1778</v>
      </c>
      <c r="D1280" s="16" t="s">
        <v>18</v>
      </c>
      <c r="E1280" s="16" t="s">
        <v>588</v>
      </c>
      <c r="G1280" s="16" t="s">
        <v>1770</v>
      </c>
      <c r="H1280" s="16" t="s">
        <v>33</v>
      </c>
    </row>
    <row r="1281" spans="1:12" x14ac:dyDescent="0.3">
      <c r="A1281" s="16" t="s">
        <v>3190</v>
      </c>
      <c r="B1281" s="16" t="s">
        <v>3191</v>
      </c>
      <c r="C1281" s="16" t="s">
        <v>1779</v>
      </c>
      <c r="D1281" s="16" t="s">
        <v>133</v>
      </c>
      <c r="E1281" s="16" t="s">
        <v>539</v>
      </c>
      <c r="H1281" s="16" t="s">
        <v>33</v>
      </c>
    </row>
    <row r="1282" spans="1:12" x14ac:dyDescent="0.3">
      <c r="A1282" s="16" t="s">
        <v>1396</v>
      </c>
      <c r="B1282" s="16" t="s">
        <v>1397</v>
      </c>
      <c r="C1282" s="16" t="s">
        <v>1778</v>
      </c>
      <c r="D1282" s="16" t="s">
        <v>18</v>
      </c>
      <c r="E1282" s="16" t="s">
        <v>555</v>
      </c>
      <c r="G1282" s="16" t="s">
        <v>1127</v>
      </c>
      <c r="H1282" s="16" t="s">
        <v>33</v>
      </c>
    </row>
    <row r="1283" spans="1:12" x14ac:dyDescent="0.3">
      <c r="A1283" s="16" t="s">
        <v>3194</v>
      </c>
      <c r="B1283" s="16" t="s">
        <v>3195</v>
      </c>
      <c r="C1283" s="16" t="s">
        <v>1779</v>
      </c>
      <c r="D1283" s="16" t="s">
        <v>388</v>
      </c>
      <c r="E1283" s="16" t="s">
        <v>539</v>
      </c>
      <c r="H1283" s="16" t="s">
        <v>33</v>
      </c>
      <c r="J1283" s="16" t="s">
        <v>32</v>
      </c>
    </row>
    <row r="1284" spans="1:12" x14ac:dyDescent="0.3">
      <c r="A1284" s="16" t="s">
        <v>1398</v>
      </c>
      <c r="B1284" s="16" t="s">
        <v>1399</v>
      </c>
      <c r="C1284" s="16" t="s">
        <v>1778</v>
      </c>
      <c r="D1284" s="16" t="s">
        <v>18</v>
      </c>
      <c r="E1284" s="16" t="s">
        <v>539</v>
      </c>
      <c r="G1284" s="16" t="s">
        <v>1127</v>
      </c>
      <c r="H1284" s="16" t="s">
        <v>33</v>
      </c>
    </row>
    <row r="1285" spans="1:12" x14ac:dyDescent="0.3">
      <c r="A1285" s="16" t="s">
        <v>3196</v>
      </c>
      <c r="B1285" s="16" t="s">
        <v>3197</v>
      </c>
      <c r="C1285" s="16" t="s">
        <v>1779</v>
      </c>
      <c r="D1285" s="16" t="s">
        <v>388</v>
      </c>
      <c r="E1285" s="16" t="s">
        <v>539</v>
      </c>
      <c r="H1285" s="16" t="s">
        <v>33</v>
      </c>
      <c r="J1285" s="16" t="s">
        <v>32</v>
      </c>
    </row>
    <row r="1286" spans="1:12" x14ac:dyDescent="0.3">
      <c r="A1286" s="16" t="s">
        <v>3198</v>
      </c>
      <c r="B1286" s="16" t="s">
        <v>3199</v>
      </c>
      <c r="C1286" s="16" t="s">
        <v>1777</v>
      </c>
      <c r="D1286" s="16" t="s">
        <v>388</v>
      </c>
      <c r="E1286" s="16" t="s">
        <v>539</v>
      </c>
      <c r="H1286" s="16" t="s">
        <v>33</v>
      </c>
      <c r="J1286" s="16" t="s">
        <v>1988</v>
      </c>
      <c r="L1286" s="16" t="s">
        <v>33</v>
      </c>
    </row>
    <row r="1287" spans="1:12" x14ac:dyDescent="0.3">
      <c r="A1287" s="16" t="s">
        <v>3200</v>
      </c>
      <c r="B1287" s="16" t="s">
        <v>3201</v>
      </c>
      <c r="C1287" s="16" t="s">
        <v>1778</v>
      </c>
      <c r="D1287" s="16" t="s">
        <v>18</v>
      </c>
      <c r="E1287" s="16" t="s">
        <v>539</v>
      </c>
      <c r="G1287" s="16" t="s">
        <v>1770</v>
      </c>
      <c r="H1287" s="16" t="s">
        <v>33</v>
      </c>
    </row>
    <row r="1288" spans="1:12" x14ac:dyDescent="0.3">
      <c r="A1288" s="16" t="s">
        <v>1400</v>
      </c>
      <c r="B1288" s="16" t="s">
        <v>1401</v>
      </c>
      <c r="C1288" s="16" t="s">
        <v>1778</v>
      </c>
      <c r="D1288" s="16" t="s">
        <v>18</v>
      </c>
      <c r="E1288" s="16" t="s">
        <v>1402</v>
      </c>
      <c r="G1288" s="16" t="s">
        <v>1127</v>
      </c>
      <c r="H1288" s="16" t="s">
        <v>33</v>
      </c>
    </row>
    <row r="1289" spans="1:12" x14ac:dyDescent="0.3">
      <c r="A1289" s="16" t="s">
        <v>1400</v>
      </c>
      <c r="B1289" s="16" t="s">
        <v>1626</v>
      </c>
      <c r="C1289" s="16" t="s">
        <v>1779</v>
      </c>
      <c r="D1289" s="16" t="s">
        <v>18</v>
      </c>
      <c r="E1289" s="16" t="s">
        <v>1402</v>
      </c>
      <c r="G1289" s="16" t="s">
        <v>1127</v>
      </c>
      <c r="H1289" s="16" t="s">
        <v>33</v>
      </c>
    </row>
    <row r="1290" spans="1:12" x14ac:dyDescent="0.3">
      <c r="A1290" s="16" t="s">
        <v>3202</v>
      </c>
      <c r="B1290" s="16" t="s">
        <v>3203</v>
      </c>
      <c r="C1290" s="16" t="s">
        <v>1779</v>
      </c>
      <c r="D1290" s="16" t="s">
        <v>388</v>
      </c>
      <c r="E1290" s="16" t="s">
        <v>539</v>
      </c>
      <c r="H1290" s="16" t="s">
        <v>33</v>
      </c>
      <c r="J1290" s="16" t="s">
        <v>32</v>
      </c>
    </row>
    <row r="1291" spans="1:12" x14ac:dyDescent="0.3">
      <c r="A1291" s="16" t="s">
        <v>3204</v>
      </c>
      <c r="B1291" s="16" t="s">
        <v>3205</v>
      </c>
      <c r="C1291" s="16" t="s">
        <v>1779</v>
      </c>
      <c r="D1291" s="16" t="s">
        <v>388</v>
      </c>
      <c r="E1291" s="16" t="s">
        <v>539</v>
      </c>
      <c r="H1291" s="16" t="s">
        <v>33</v>
      </c>
      <c r="J1291" s="16" t="s">
        <v>32</v>
      </c>
      <c r="K1291" s="16" t="s">
        <v>19</v>
      </c>
    </row>
    <row r="1292" spans="1:12" x14ac:dyDescent="0.3">
      <c r="A1292" s="16" t="s">
        <v>171</v>
      </c>
      <c r="B1292" s="16" t="s">
        <v>172</v>
      </c>
      <c r="C1292" s="16" t="s">
        <v>1779</v>
      </c>
      <c r="D1292" s="16" t="s">
        <v>388</v>
      </c>
      <c r="E1292" s="16" t="s">
        <v>539</v>
      </c>
      <c r="H1292" s="16" t="s">
        <v>33</v>
      </c>
      <c r="J1292" s="16" t="s">
        <v>32</v>
      </c>
    </row>
    <row r="1293" spans="1:12" x14ac:dyDescent="0.3">
      <c r="A1293" s="16" t="s">
        <v>171</v>
      </c>
      <c r="B1293" s="16" t="s">
        <v>172</v>
      </c>
      <c r="C1293" s="16" t="s">
        <v>1777</v>
      </c>
      <c r="D1293" s="16" t="s">
        <v>388</v>
      </c>
      <c r="E1293" s="16" t="s">
        <v>539</v>
      </c>
      <c r="H1293" s="16" t="s">
        <v>33</v>
      </c>
      <c r="J1293" s="16" t="s">
        <v>32</v>
      </c>
    </row>
    <row r="1294" spans="1:12" x14ac:dyDescent="0.3">
      <c r="A1294" s="16" t="s">
        <v>228</v>
      </c>
      <c r="B1294" s="16" t="s">
        <v>1124</v>
      </c>
      <c r="C1294" s="16" t="s">
        <v>2092</v>
      </c>
      <c r="D1294" s="16" t="s">
        <v>18</v>
      </c>
      <c r="E1294" s="16" t="s">
        <v>588</v>
      </c>
      <c r="G1294" s="16" t="s">
        <v>1103</v>
      </c>
      <c r="H1294" s="16" t="s">
        <v>33</v>
      </c>
    </row>
    <row r="1295" spans="1:12" x14ac:dyDescent="0.3">
      <c r="A1295" s="16" t="s">
        <v>228</v>
      </c>
      <c r="B1295" s="16" t="s">
        <v>3206</v>
      </c>
      <c r="C1295" s="16" t="s">
        <v>1804</v>
      </c>
      <c r="D1295" s="16" t="s">
        <v>18</v>
      </c>
      <c r="E1295" s="16" t="s">
        <v>588</v>
      </c>
      <c r="G1295" s="16" t="s">
        <v>1103</v>
      </c>
      <c r="H1295" s="16" t="s">
        <v>33</v>
      </c>
    </row>
    <row r="1296" spans="1:12" x14ac:dyDescent="0.3">
      <c r="A1296" s="16" t="s">
        <v>228</v>
      </c>
      <c r="B1296" s="16" t="s">
        <v>3207</v>
      </c>
      <c r="C1296" s="16" t="s">
        <v>1782</v>
      </c>
      <c r="D1296" s="16" t="s">
        <v>133</v>
      </c>
      <c r="E1296" s="16" t="s">
        <v>588</v>
      </c>
      <c r="H1296" s="16" t="s">
        <v>33</v>
      </c>
    </row>
    <row r="1297" spans="1:10" x14ac:dyDescent="0.3">
      <c r="A1297" s="16" t="s">
        <v>3208</v>
      </c>
      <c r="B1297" s="16" t="s">
        <v>3209</v>
      </c>
      <c r="C1297" s="16" t="s">
        <v>1778</v>
      </c>
      <c r="D1297" s="16" t="s">
        <v>133</v>
      </c>
      <c r="E1297" s="16" t="s">
        <v>255</v>
      </c>
      <c r="H1297" s="16" t="s">
        <v>33</v>
      </c>
    </row>
    <row r="1298" spans="1:10" x14ac:dyDescent="0.3">
      <c r="A1298" s="16" t="s">
        <v>3210</v>
      </c>
      <c r="B1298" s="16" t="s">
        <v>3211</v>
      </c>
      <c r="C1298" s="16" t="s">
        <v>1804</v>
      </c>
      <c r="D1298" s="16" t="s">
        <v>18</v>
      </c>
      <c r="E1298" s="16" t="s">
        <v>661</v>
      </c>
      <c r="G1298" s="16" t="s">
        <v>1103</v>
      </c>
      <c r="H1298" s="16" t="s">
        <v>33</v>
      </c>
    </row>
    <row r="1299" spans="1:10" x14ac:dyDescent="0.3">
      <c r="A1299" s="16" t="s">
        <v>29</v>
      </c>
      <c r="B1299" s="16" t="s">
        <v>3212</v>
      </c>
      <c r="C1299" s="16" t="s">
        <v>1778</v>
      </c>
      <c r="D1299" s="16" t="s">
        <v>133</v>
      </c>
      <c r="E1299" s="16" t="s">
        <v>588</v>
      </c>
      <c r="H1299" s="16" t="s">
        <v>33</v>
      </c>
    </row>
    <row r="1300" spans="1:10" x14ac:dyDescent="0.3">
      <c r="A1300" s="16" t="s">
        <v>1154</v>
      </c>
      <c r="B1300" s="16" t="s">
        <v>1155</v>
      </c>
      <c r="C1300" s="16" t="s">
        <v>1915</v>
      </c>
      <c r="D1300" s="16" t="s">
        <v>18</v>
      </c>
      <c r="E1300" s="16" t="s">
        <v>588</v>
      </c>
      <c r="G1300" s="16" t="s">
        <v>1103</v>
      </c>
      <c r="H1300" s="16" t="s">
        <v>33</v>
      </c>
    </row>
    <row r="1301" spans="1:10" x14ac:dyDescent="0.3">
      <c r="A1301" s="16" t="s">
        <v>3213</v>
      </c>
      <c r="B1301" s="16" t="s">
        <v>3214</v>
      </c>
      <c r="C1301" s="16" t="s">
        <v>1778</v>
      </c>
      <c r="D1301" s="16" t="s">
        <v>133</v>
      </c>
      <c r="E1301" s="16" t="s">
        <v>255</v>
      </c>
      <c r="H1301" s="16" t="s">
        <v>33</v>
      </c>
    </row>
    <row r="1302" spans="1:10" x14ac:dyDescent="0.3">
      <c r="A1302" s="16" t="s">
        <v>26</v>
      </c>
      <c r="B1302" s="16" t="s">
        <v>3215</v>
      </c>
      <c r="C1302" s="16" t="s">
        <v>1778</v>
      </c>
      <c r="D1302" s="16" t="s">
        <v>133</v>
      </c>
      <c r="E1302" s="16" t="s">
        <v>588</v>
      </c>
      <c r="H1302" s="16" t="s">
        <v>33</v>
      </c>
    </row>
    <row r="1303" spans="1:10" x14ac:dyDescent="0.3">
      <c r="A1303" s="16" t="s">
        <v>1156</v>
      </c>
      <c r="B1303" s="16" t="s">
        <v>1157</v>
      </c>
      <c r="C1303" s="16" t="s">
        <v>1915</v>
      </c>
      <c r="D1303" s="16" t="s">
        <v>18</v>
      </c>
      <c r="E1303" s="16" t="s">
        <v>588</v>
      </c>
      <c r="G1303" s="16" t="s">
        <v>1103</v>
      </c>
      <c r="H1303" s="16" t="s">
        <v>33</v>
      </c>
    </row>
    <row r="1304" spans="1:10" x14ac:dyDescent="0.3">
      <c r="A1304" s="16" t="s">
        <v>1403</v>
      </c>
      <c r="B1304" s="16" t="s">
        <v>1404</v>
      </c>
      <c r="C1304" s="16" t="s">
        <v>1778</v>
      </c>
      <c r="D1304" s="16" t="s">
        <v>18</v>
      </c>
      <c r="E1304" s="16" t="s">
        <v>539</v>
      </c>
      <c r="G1304" s="16" t="s">
        <v>1127</v>
      </c>
      <c r="H1304" s="16" t="s">
        <v>33</v>
      </c>
    </row>
    <row r="1305" spans="1:10" x14ac:dyDescent="0.3">
      <c r="A1305" s="16" t="s">
        <v>251</v>
      </c>
      <c r="B1305" s="16" t="s">
        <v>252</v>
      </c>
      <c r="C1305" s="16" t="s">
        <v>1779</v>
      </c>
      <c r="D1305" s="16" t="s">
        <v>388</v>
      </c>
      <c r="E1305" s="16" t="s">
        <v>539</v>
      </c>
      <c r="H1305" s="16" t="s">
        <v>33</v>
      </c>
      <c r="J1305" s="16" t="s">
        <v>32</v>
      </c>
    </row>
    <row r="1306" spans="1:10" x14ac:dyDescent="0.3">
      <c r="A1306" s="16" t="s">
        <v>3216</v>
      </c>
      <c r="B1306" s="16" t="s">
        <v>3217</v>
      </c>
      <c r="C1306" s="16" t="s">
        <v>1782</v>
      </c>
      <c r="D1306" s="16" t="s">
        <v>133</v>
      </c>
      <c r="E1306" s="16" t="s">
        <v>539</v>
      </c>
      <c r="H1306" s="16" t="s">
        <v>33</v>
      </c>
    </row>
    <row r="1307" spans="1:10" x14ac:dyDescent="0.3">
      <c r="A1307" s="16" t="s">
        <v>3218</v>
      </c>
      <c r="B1307" s="16" t="s">
        <v>3219</v>
      </c>
      <c r="C1307" s="16" t="s">
        <v>1779</v>
      </c>
      <c r="D1307" s="16" t="s">
        <v>133</v>
      </c>
      <c r="E1307" s="16" t="s">
        <v>1791</v>
      </c>
      <c r="H1307" s="16" t="s">
        <v>33</v>
      </c>
    </row>
    <row r="1308" spans="1:10" x14ac:dyDescent="0.3">
      <c r="A1308" s="16" t="s">
        <v>3220</v>
      </c>
      <c r="B1308" s="16" t="s">
        <v>3220</v>
      </c>
      <c r="C1308" s="16" t="s">
        <v>1769</v>
      </c>
      <c r="D1308" s="16" t="s">
        <v>388</v>
      </c>
      <c r="E1308" s="16" t="s">
        <v>539</v>
      </c>
      <c r="H1308" s="16" t="s">
        <v>33</v>
      </c>
      <c r="J1308" s="16" t="s">
        <v>1988</v>
      </c>
    </row>
    <row r="1309" spans="1:10" x14ac:dyDescent="0.3">
      <c r="A1309" s="16" t="s">
        <v>3221</v>
      </c>
      <c r="B1309" s="16" t="s">
        <v>3222</v>
      </c>
      <c r="C1309" s="16" t="s">
        <v>1779</v>
      </c>
      <c r="D1309" s="16" t="s">
        <v>388</v>
      </c>
      <c r="E1309" s="16" t="s">
        <v>539</v>
      </c>
      <c r="H1309" s="16" t="s">
        <v>33</v>
      </c>
      <c r="J1309" s="16" t="s">
        <v>32</v>
      </c>
    </row>
    <row r="1310" spans="1:10" x14ac:dyDescent="0.3">
      <c r="A1310" s="16" t="s">
        <v>3221</v>
      </c>
      <c r="B1310" s="16" t="s">
        <v>3222</v>
      </c>
      <c r="C1310" s="16" t="s">
        <v>1777</v>
      </c>
      <c r="D1310" s="16" t="s">
        <v>388</v>
      </c>
      <c r="E1310" s="16" t="s">
        <v>539</v>
      </c>
      <c r="H1310" s="16" t="s">
        <v>33</v>
      </c>
      <c r="J1310" s="16" t="s">
        <v>32</v>
      </c>
    </row>
    <row r="1311" spans="1:10" x14ac:dyDescent="0.3">
      <c r="A1311" s="16" t="s">
        <v>1186</v>
      </c>
      <c r="B1311" s="16" t="s">
        <v>1187</v>
      </c>
      <c r="C1311" s="16" t="s">
        <v>1777</v>
      </c>
      <c r="D1311" s="16" t="s">
        <v>18</v>
      </c>
      <c r="E1311" s="16" t="s">
        <v>588</v>
      </c>
      <c r="G1311" s="16" t="s">
        <v>1127</v>
      </c>
      <c r="H1311" s="16" t="s">
        <v>33</v>
      </c>
      <c r="I1311" s="16" t="s">
        <v>33</v>
      </c>
    </row>
    <row r="1312" spans="1:10" x14ac:dyDescent="0.3">
      <c r="A1312" s="16" t="s">
        <v>1186</v>
      </c>
      <c r="B1312" s="16" t="s">
        <v>1627</v>
      </c>
      <c r="C1312" s="16" t="s">
        <v>1779</v>
      </c>
      <c r="D1312" s="16" t="s">
        <v>18</v>
      </c>
      <c r="E1312" s="16" t="s">
        <v>588</v>
      </c>
      <c r="G1312" s="16" t="s">
        <v>1127</v>
      </c>
      <c r="H1312" s="16" t="s">
        <v>33</v>
      </c>
    </row>
    <row r="1313" spans="1:12" x14ac:dyDescent="0.3">
      <c r="A1313" s="16" t="s">
        <v>1158</v>
      </c>
      <c r="B1313" s="16" t="s">
        <v>1159</v>
      </c>
      <c r="C1313" s="16" t="s">
        <v>1915</v>
      </c>
      <c r="D1313" s="16" t="s">
        <v>18</v>
      </c>
      <c r="E1313" s="16" t="s">
        <v>539</v>
      </c>
      <c r="G1313" s="16" t="s">
        <v>1103</v>
      </c>
      <c r="H1313" s="16" t="s">
        <v>33</v>
      </c>
    </row>
    <row r="1314" spans="1:12" x14ac:dyDescent="0.3">
      <c r="A1314" s="16" t="s">
        <v>3223</v>
      </c>
      <c r="B1314" s="16" t="s">
        <v>3224</v>
      </c>
      <c r="C1314" s="16" t="s">
        <v>1804</v>
      </c>
      <c r="D1314" s="16" t="s">
        <v>388</v>
      </c>
      <c r="E1314" s="16" t="s">
        <v>539</v>
      </c>
      <c r="H1314" s="16" t="s">
        <v>33</v>
      </c>
      <c r="J1314" s="16" t="s">
        <v>32</v>
      </c>
      <c r="K1314" s="16" t="s">
        <v>3225</v>
      </c>
      <c r="L1314" s="16" t="s">
        <v>33</v>
      </c>
    </row>
    <row r="1315" spans="1:12" x14ac:dyDescent="0.3">
      <c r="A1315" s="16" t="s">
        <v>3226</v>
      </c>
      <c r="B1315" s="16" t="s">
        <v>3227</v>
      </c>
      <c r="C1315" s="16" t="s">
        <v>1779</v>
      </c>
      <c r="D1315" s="16" t="s">
        <v>133</v>
      </c>
      <c r="E1315" s="16" t="s">
        <v>539</v>
      </c>
      <c r="H1315" s="16" t="s">
        <v>33</v>
      </c>
    </row>
    <row r="1316" spans="1:12" x14ac:dyDescent="0.3">
      <c r="A1316" s="16" t="s">
        <v>3228</v>
      </c>
      <c r="B1316" s="16" t="s">
        <v>3229</v>
      </c>
      <c r="C1316" s="16" t="s">
        <v>1779</v>
      </c>
      <c r="D1316" s="16" t="s">
        <v>133</v>
      </c>
      <c r="E1316" s="16" t="s">
        <v>1791</v>
      </c>
      <c r="H1316" s="16" t="s">
        <v>33</v>
      </c>
    </row>
    <row r="1317" spans="1:12" x14ac:dyDescent="0.3">
      <c r="A1317" s="16" t="s">
        <v>3230</v>
      </c>
      <c r="B1317" s="16" t="s">
        <v>3231</v>
      </c>
      <c r="C1317" s="16" t="s">
        <v>1779</v>
      </c>
      <c r="D1317" s="16" t="s">
        <v>133</v>
      </c>
      <c r="E1317" s="16" t="s">
        <v>1791</v>
      </c>
      <c r="H1317" s="16" t="s">
        <v>33</v>
      </c>
    </row>
    <row r="1318" spans="1:12" x14ac:dyDescent="0.3">
      <c r="A1318" s="16" t="s">
        <v>3232</v>
      </c>
      <c r="B1318" s="16" t="s">
        <v>3233</v>
      </c>
      <c r="C1318" s="16" t="s">
        <v>1779</v>
      </c>
      <c r="D1318" s="16" t="s">
        <v>133</v>
      </c>
      <c r="E1318" s="16" t="s">
        <v>1791</v>
      </c>
      <c r="H1318" s="16" t="s">
        <v>33</v>
      </c>
    </row>
    <row r="1319" spans="1:12" x14ac:dyDescent="0.3">
      <c r="A1319" s="16" t="s">
        <v>3234</v>
      </c>
      <c r="B1319" s="16" t="s">
        <v>3235</v>
      </c>
      <c r="C1319" s="16" t="s">
        <v>1769</v>
      </c>
      <c r="D1319" s="16" t="s">
        <v>388</v>
      </c>
      <c r="E1319" s="16" t="s">
        <v>539</v>
      </c>
      <c r="J1319" s="16" t="s">
        <v>32</v>
      </c>
    </row>
    <row r="1320" spans="1:12" x14ac:dyDescent="0.3">
      <c r="A1320" s="16" t="s">
        <v>3236</v>
      </c>
      <c r="B1320" s="16" t="s">
        <v>3237</v>
      </c>
      <c r="C1320" s="16" t="s">
        <v>1779</v>
      </c>
      <c r="D1320" s="16" t="s">
        <v>133</v>
      </c>
      <c r="E1320" s="16" t="s">
        <v>539</v>
      </c>
      <c r="H1320" s="16" t="s">
        <v>33</v>
      </c>
    </row>
    <row r="1321" spans="1:12" x14ac:dyDescent="0.3">
      <c r="A1321" s="16" t="s">
        <v>3238</v>
      </c>
      <c r="B1321" s="16" t="s">
        <v>3239</v>
      </c>
      <c r="C1321" s="16" t="s">
        <v>1779</v>
      </c>
      <c r="D1321" s="16" t="s">
        <v>388</v>
      </c>
      <c r="E1321" s="16" t="s">
        <v>539</v>
      </c>
      <c r="H1321" s="16" t="s">
        <v>33</v>
      </c>
      <c r="J1321" s="16" t="s">
        <v>32</v>
      </c>
    </row>
    <row r="1322" spans="1:12" x14ac:dyDescent="0.3">
      <c r="A1322" s="16" t="s">
        <v>3240</v>
      </c>
      <c r="B1322" s="16" t="s">
        <v>3241</v>
      </c>
      <c r="C1322" s="16" t="s">
        <v>1769</v>
      </c>
      <c r="D1322" s="16" t="s">
        <v>133</v>
      </c>
      <c r="E1322" s="16" t="s">
        <v>617</v>
      </c>
      <c r="H1322" s="16" t="s">
        <v>33</v>
      </c>
    </row>
    <row r="1323" spans="1:12" x14ac:dyDescent="0.3">
      <c r="A1323" s="16" t="s">
        <v>3242</v>
      </c>
      <c r="B1323" s="16" t="s">
        <v>3243</v>
      </c>
      <c r="C1323" s="16" t="s">
        <v>1769</v>
      </c>
      <c r="D1323" s="16" t="s">
        <v>18</v>
      </c>
      <c r="E1323" s="16" t="s">
        <v>1791</v>
      </c>
      <c r="G1323" s="16" t="s">
        <v>1770</v>
      </c>
      <c r="H1323" s="16" t="s">
        <v>33</v>
      </c>
      <c r="I1323" s="16" t="s">
        <v>33</v>
      </c>
    </row>
    <row r="1324" spans="1:12" x14ac:dyDescent="0.3">
      <c r="A1324" s="16" t="s">
        <v>3244</v>
      </c>
      <c r="B1324" s="16" t="s">
        <v>3245</v>
      </c>
      <c r="C1324" s="16" t="s">
        <v>1769</v>
      </c>
      <c r="D1324" s="16" t="s">
        <v>18</v>
      </c>
      <c r="E1324" s="16" t="s">
        <v>1791</v>
      </c>
      <c r="G1324" s="16" t="s">
        <v>1770</v>
      </c>
      <c r="H1324" s="16" t="s">
        <v>33</v>
      </c>
      <c r="I1324" s="16" t="s">
        <v>33</v>
      </c>
    </row>
    <row r="1325" spans="1:12" x14ac:dyDescent="0.3">
      <c r="A1325" s="16" t="s">
        <v>3246</v>
      </c>
      <c r="B1325" s="16" t="s">
        <v>3247</v>
      </c>
      <c r="C1325" s="16" t="s">
        <v>1779</v>
      </c>
      <c r="D1325" s="16" t="s">
        <v>18</v>
      </c>
      <c r="E1325" s="16" t="s">
        <v>539</v>
      </c>
      <c r="G1325" s="16" t="s">
        <v>1770</v>
      </c>
      <c r="H1325" s="16" t="s">
        <v>33</v>
      </c>
    </row>
    <row r="1326" spans="1:12" x14ac:dyDescent="0.3">
      <c r="A1326" s="16" t="s">
        <v>3246</v>
      </c>
      <c r="B1326" s="16" t="s">
        <v>3248</v>
      </c>
      <c r="C1326" s="16" t="s">
        <v>1804</v>
      </c>
      <c r="D1326" s="16" t="s">
        <v>18</v>
      </c>
      <c r="E1326" s="16" t="s">
        <v>539</v>
      </c>
      <c r="G1326" s="16" t="s">
        <v>1103</v>
      </c>
      <c r="H1326" s="16" t="s">
        <v>33</v>
      </c>
    </row>
    <row r="1327" spans="1:12" x14ac:dyDescent="0.3">
      <c r="A1327" s="16" t="s">
        <v>41</v>
      </c>
      <c r="B1327" s="16" t="s">
        <v>3467</v>
      </c>
      <c r="C1327" s="16" t="s">
        <v>1779</v>
      </c>
      <c r="D1327" s="16" t="s">
        <v>18</v>
      </c>
      <c r="E1327" s="16" t="s">
        <v>539</v>
      </c>
      <c r="G1327" s="16" t="s">
        <v>1770</v>
      </c>
      <c r="H1327" s="16" t="s">
        <v>33</v>
      </c>
    </row>
    <row r="1328" spans="1:12" x14ac:dyDescent="0.3">
      <c r="A1328" s="16" t="s">
        <v>41</v>
      </c>
      <c r="B1328" s="16" t="s">
        <v>3468</v>
      </c>
      <c r="C1328" s="16" t="s">
        <v>1778</v>
      </c>
      <c r="D1328" s="16" t="s">
        <v>18</v>
      </c>
      <c r="E1328" s="16" t="s">
        <v>539</v>
      </c>
      <c r="G1328" s="16" t="s">
        <v>1770</v>
      </c>
      <c r="H1328" s="16" t="s">
        <v>33</v>
      </c>
    </row>
    <row r="1329" spans="1:8" x14ac:dyDescent="0.3">
      <c r="A1329" s="16" t="s">
        <v>40</v>
      </c>
      <c r="B1329" s="16" t="s">
        <v>3469</v>
      </c>
      <c r="C1329" s="16" t="s">
        <v>1779</v>
      </c>
      <c r="D1329" s="16" t="s">
        <v>18</v>
      </c>
      <c r="E1329" s="16" t="s">
        <v>539</v>
      </c>
      <c r="G1329" s="16" t="s">
        <v>1770</v>
      </c>
      <c r="H1329" s="16" t="s">
        <v>33</v>
      </c>
    </row>
    <row r="1330" spans="1:8" x14ac:dyDescent="0.3">
      <c r="A1330" s="16" t="s">
        <v>40</v>
      </c>
      <c r="B1330" s="16" t="s">
        <v>3249</v>
      </c>
      <c r="C1330" s="16" t="s">
        <v>1778</v>
      </c>
      <c r="D1330" s="16" t="s">
        <v>18</v>
      </c>
      <c r="E1330" s="16" t="s">
        <v>539</v>
      </c>
      <c r="G1330" s="16" t="s">
        <v>1770</v>
      </c>
      <c r="H1330" s="16" t="s">
        <v>33</v>
      </c>
    </row>
    <row r="1331" spans="1:8" x14ac:dyDescent="0.3">
      <c r="A1331" s="16" t="s">
        <v>3250</v>
      </c>
      <c r="B1331" s="16" t="s">
        <v>3251</v>
      </c>
      <c r="C1331" s="16" t="s">
        <v>1808</v>
      </c>
      <c r="D1331" s="16" t="s">
        <v>133</v>
      </c>
      <c r="E1331" s="16" t="s">
        <v>1791</v>
      </c>
      <c r="H1331" s="16" t="s">
        <v>33</v>
      </c>
    </row>
    <row r="1332" spans="1:8" x14ac:dyDescent="0.3">
      <c r="A1332" s="16" t="s">
        <v>3252</v>
      </c>
      <c r="B1332" s="16" t="s">
        <v>3253</v>
      </c>
      <c r="C1332" s="16" t="s">
        <v>1808</v>
      </c>
      <c r="D1332" s="16" t="s">
        <v>133</v>
      </c>
      <c r="E1332" s="16" t="s">
        <v>255</v>
      </c>
      <c r="H1332" s="16" t="s">
        <v>33</v>
      </c>
    </row>
    <row r="1333" spans="1:8" x14ac:dyDescent="0.3">
      <c r="A1333" s="16" t="s">
        <v>3254</v>
      </c>
      <c r="B1333" s="16" t="s">
        <v>3255</v>
      </c>
      <c r="C1333" s="16" t="s">
        <v>1779</v>
      </c>
      <c r="D1333" s="16" t="s">
        <v>133</v>
      </c>
      <c r="E1333" s="16" t="s">
        <v>661</v>
      </c>
      <c r="G1333" s="16" t="s">
        <v>662</v>
      </c>
      <c r="H1333" s="16" t="s">
        <v>33</v>
      </c>
    </row>
    <row r="1334" spans="1:8" x14ac:dyDescent="0.3">
      <c r="A1334" s="16" t="s">
        <v>3256</v>
      </c>
      <c r="B1334" s="16" t="s">
        <v>3257</v>
      </c>
      <c r="C1334" s="16" t="s">
        <v>1779</v>
      </c>
      <c r="D1334" s="16" t="s">
        <v>2042</v>
      </c>
      <c r="E1334" s="16" t="s">
        <v>555</v>
      </c>
      <c r="H1334" s="16" t="s">
        <v>33</v>
      </c>
    </row>
    <row r="1335" spans="1:8" x14ac:dyDescent="0.3">
      <c r="A1335" s="16" t="s">
        <v>3256</v>
      </c>
      <c r="B1335" s="16" t="s">
        <v>3257</v>
      </c>
      <c r="C1335" s="16" t="s">
        <v>1915</v>
      </c>
      <c r="D1335" s="16" t="s">
        <v>2042</v>
      </c>
      <c r="E1335" s="16" t="s">
        <v>555</v>
      </c>
      <c r="H1335" s="16" t="s">
        <v>33</v>
      </c>
    </row>
    <row r="1336" spans="1:8" x14ac:dyDescent="0.3">
      <c r="A1336" s="16" t="s">
        <v>3256</v>
      </c>
      <c r="B1336" s="16" t="s">
        <v>3257</v>
      </c>
      <c r="C1336" s="16" t="s">
        <v>1778</v>
      </c>
      <c r="D1336" s="16" t="s">
        <v>2042</v>
      </c>
      <c r="E1336" s="16" t="s">
        <v>555</v>
      </c>
      <c r="H1336" s="16" t="s">
        <v>33</v>
      </c>
    </row>
    <row r="1337" spans="1:8" x14ac:dyDescent="0.3">
      <c r="A1337" s="16" t="s">
        <v>3256</v>
      </c>
      <c r="B1337" s="16" t="s">
        <v>3258</v>
      </c>
      <c r="C1337" s="16" t="s">
        <v>1779</v>
      </c>
      <c r="D1337" s="16" t="s">
        <v>18</v>
      </c>
      <c r="E1337" s="16" t="s">
        <v>555</v>
      </c>
      <c r="G1337" s="16" t="s">
        <v>1770</v>
      </c>
      <c r="H1337" s="16" t="s">
        <v>33</v>
      </c>
    </row>
    <row r="1338" spans="1:8" x14ac:dyDescent="0.3">
      <c r="A1338" s="16" t="s">
        <v>3256</v>
      </c>
      <c r="B1338" s="16" t="s">
        <v>3259</v>
      </c>
      <c r="C1338" s="16" t="s">
        <v>1915</v>
      </c>
      <c r="D1338" s="16" t="s">
        <v>18</v>
      </c>
      <c r="E1338" s="16" t="s">
        <v>555</v>
      </c>
      <c r="G1338" s="16" t="s">
        <v>1770</v>
      </c>
      <c r="H1338" s="16" t="s">
        <v>33</v>
      </c>
    </row>
    <row r="1339" spans="1:8" x14ac:dyDescent="0.3">
      <c r="A1339" s="16" t="s">
        <v>3256</v>
      </c>
      <c r="B1339" s="16" t="s">
        <v>3260</v>
      </c>
      <c r="C1339" s="16" t="s">
        <v>1778</v>
      </c>
      <c r="D1339" s="16" t="s">
        <v>18</v>
      </c>
      <c r="E1339" s="16" t="s">
        <v>555</v>
      </c>
      <c r="G1339" s="16" t="s">
        <v>1770</v>
      </c>
      <c r="H1339" s="16" t="s">
        <v>33</v>
      </c>
    </row>
    <row r="1340" spans="1:8" x14ac:dyDescent="0.3">
      <c r="A1340" s="16" t="s">
        <v>3261</v>
      </c>
      <c r="B1340" s="16" t="s">
        <v>3262</v>
      </c>
      <c r="C1340" s="16" t="s">
        <v>1779</v>
      </c>
      <c r="D1340" s="16" t="s">
        <v>2042</v>
      </c>
      <c r="E1340" s="16" t="s">
        <v>555</v>
      </c>
      <c r="H1340" s="16" t="s">
        <v>33</v>
      </c>
    </row>
    <row r="1341" spans="1:8" x14ac:dyDescent="0.3">
      <c r="A1341" s="16" t="s">
        <v>3261</v>
      </c>
      <c r="B1341" s="16" t="s">
        <v>3262</v>
      </c>
      <c r="C1341" s="16" t="s">
        <v>1915</v>
      </c>
      <c r="D1341" s="16" t="s">
        <v>2042</v>
      </c>
      <c r="E1341" s="16" t="s">
        <v>555</v>
      </c>
      <c r="H1341" s="16" t="s">
        <v>33</v>
      </c>
    </row>
    <row r="1342" spans="1:8" x14ac:dyDescent="0.3">
      <c r="A1342" s="16" t="s">
        <v>3261</v>
      </c>
      <c r="B1342" s="16" t="s">
        <v>3263</v>
      </c>
      <c r="C1342" s="16" t="s">
        <v>1779</v>
      </c>
      <c r="D1342" s="16" t="s">
        <v>18</v>
      </c>
      <c r="E1342" s="16" t="s">
        <v>555</v>
      </c>
      <c r="G1342" s="16" t="s">
        <v>1770</v>
      </c>
      <c r="H1342" s="16" t="s">
        <v>33</v>
      </c>
    </row>
    <row r="1343" spans="1:8" x14ac:dyDescent="0.3">
      <c r="A1343" s="16" t="s">
        <v>3261</v>
      </c>
      <c r="B1343" s="16" t="s">
        <v>3264</v>
      </c>
      <c r="C1343" s="16" t="s">
        <v>1915</v>
      </c>
      <c r="D1343" s="16" t="s">
        <v>18</v>
      </c>
      <c r="E1343" s="16" t="s">
        <v>555</v>
      </c>
      <c r="G1343" s="16" t="s">
        <v>1770</v>
      </c>
      <c r="H1343" s="16" t="s">
        <v>33</v>
      </c>
    </row>
    <row r="1344" spans="1:8" x14ac:dyDescent="0.3">
      <c r="A1344" s="16" t="s">
        <v>3265</v>
      </c>
      <c r="B1344" s="16" t="s">
        <v>3266</v>
      </c>
      <c r="C1344" s="16" t="s">
        <v>1779</v>
      </c>
      <c r="D1344" s="16" t="s">
        <v>2042</v>
      </c>
      <c r="E1344" s="16" t="s">
        <v>555</v>
      </c>
      <c r="H1344" s="16" t="s">
        <v>33</v>
      </c>
    </row>
    <row r="1345" spans="1:8" x14ac:dyDescent="0.3">
      <c r="A1345" s="16" t="s">
        <v>3265</v>
      </c>
      <c r="B1345" s="16" t="s">
        <v>3266</v>
      </c>
      <c r="C1345" s="16" t="s">
        <v>1915</v>
      </c>
      <c r="D1345" s="16" t="s">
        <v>2042</v>
      </c>
      <c r="E1345" s="16" t="s">
        <v>555</v>
      </c>
      <c r="H1345" s="16" t="s">
        <v>33</v>
      </c>
    </row>
    <row r="1346" spans="1:8" x14ac:dyDescent="0.3">
      <c r="A1346" s="16" t="s">
        <v>3265</v>
      </c>
      <c r="B1346" s="16" t="s">
        <v>3267</v>
      </c>
      <c r="C1346" s="16" t="s">
        <v>1779</v>
      </c>
      <c r="D1346" s="16" t="s">
        <v>18</v>
      </c>
      <c r="E1346" s="16" t="s">
        <v>555</v>
      </c>
      <c r="G1346" s="16" t="s">
        <v>1770</v>
      </c>
      <c r="H1346" s="16" t="s">
        <v>33</v>
      </c>
    </row>
    <row r="1347" spans="1:8" x14ac:dyDescent="0.3">
      <c r="A1347" s="16" t="s">
        <v>3265</v>
      </c>
      <c r="B1347" s="16" t="s">
        <v>3268</v>
      </c>
      <c r="C1347" s="16" t="s">
        <v>1915</v>
      </c>
      <c r="D1347" s="16" t="s">
        <v>18</v>
      </c>
      <c r="E1347" s="16" t="s">
        <v>555</v>
      </c>
      <c r="G1347" s="16" t="s">
        <v>1770</v>
      </c>
      <c r="H1347" s="16" t="s">
        <v>33</v>
      </c>
    </row>
    <row r="1348" spans="1:8" x14ac:dyDescent="0.3">
      <c r="A1348" s="16" t="s">
        <v>3269</v>
      </c>
      <c r="B1348" s="16" t="s">
        <v>3270</v>
      </c>
      <c r="C1348" s="16" t="s">
        <v>1779</v>
      </c>
      <c r="D1348" s="16" t="s">
        <v>2042</v>
      </c>
      <c r="E1348" s="16" t="s">
        <v>555</v>
      </c>
      <c r="H1348" s="16" t="s">
        <v>33</v>
      </c>
    </row>
    <row r="1349" spans="1:8" x14ac:dyDescent="0.3">
      <c r="A1349" s="16" t="s">
        <v>3269</v>
      </c>
      <c r="B1349" s="16" t="s">
        <v>3270</v>
      </c>
      <c r="C1349" s="16" t="s">
        <v>1915</v>
      </c>
      <c r="D1349" s="16" t="s">
        <v>2042</v>
      </c>
      <c r="E1349" s="16" t="s">
        <v>555</v>
      </c>
      <c r="H1349" s="16" t="s">
        <v>33</v>
      </c>
    </row>
    <row r="1350" spans="1:8" x14ac:dyDescent="0.3">
      <c r="A1350" s="16" t="s">
        <v>3269</v>
      </c>
      <c r="B1350" s="16" t="s">
        <v>3271</v>
      </c>
      <c r="C1350" s="16" t="s">
        <v>1779</v>
      </c>
      <c r="D1350" s="16" t="s">
        <v>18</v>
      </c>
      <c r="E1350" s="16" t="s">
        <v>555</v>
      </c>
      <c r="G1350" s="16" t="s">
        <v>1770</v>
      </c>
      <c r="H1350" s="16" t="s">
        <v>33</v>
      </c>
    </row>
    <row r="1351" spans="1:8" x14ac:dyDescent="0.3">
      <c r="A1351" s="16" t="s">
        <v>3269</v>
      </c>
      <c r="B1351" s="16" t="s">
        <v>3272</v>
      </c>
      <c r="C1351" s="16" t="s">
        <v>1915</v>
      </c>
      <c r="D1351" s="16" t="s">
        <v>18</v>
      </c>
      <c r="E1351" s="16" t="s">
        <v>555</v>
      </c>
      <c r="G1351" s="16" t="s">
        <v>1770</v>
      </c>
      <c r="H1351" s="16" t="s">
        <v>33</v>
      </c>
    </row>
    <row r="1352" spans="1:8" x14ac:dyDescent="0.3">
      <c r="A1352" s="16" t="s">
        <v>3273</v>
      </c>
      <c r="B1352" s="16" t="s">
        <v>3274</v>
      </c>
      <c r="C1352" s="16" t="s">
        <v>1778</v>
      </c>
      <c r="D1352" s="16" t="s">
        <v>2042</v>
      </c>
      <c r="E1352" s="16" t="s">
        <v>555</v>
      </c>
      <c r="H1352" s="16" t="s">
        <v>33</v>
      </c>
    </row>
    <row r="1353" spans="1:8" x14ac:dyDescent="0.3">
      <c r="A1353" s="16" t="s">
        <v>3273</v>
      </c>
      <c r="B1353" s="16" t="s">
        <v>3275</v>
      </c>
      <c r="C1353" s="16" t="s">
        <v>1778</v>
      </c>
      <c r="D1353" s="16" t="s">
        <v>18</v>
      </c>
      <c r="E1353" s="16" t="s">
        <v>555</v>
      </c>
      <c r="G1353" s="16" t="s">
        <v>1770</v>
      </c>
      <c r="H1353" s="16" t="s">
        <v>33</v>
      </c>
    </row>
    <row r="1354" spans="1:8" x14ac:dyDescent="0.3">
      <c r="A1354" s="16" t="s">
        <v>3276</v>
      </c>
      <c r="B1354" s="16" t="s">
        <v>3277</v>
      </c>
      <c r="C1354" s="16" t="s">
        <v>1779</v>
      </c>
      <c r="D1354" s="16" t="s">
        <v>2042</v>
      </c>
      <c r="E1354" s="16" t="s">
        <v>555</v>
      </c>
      <c r="H1354" s="16" t="s">
        <v>33</v>
      </c>
    </row>
    <row r="1355" spans="1:8" x14ac:dyDescent="0.3">
      <c r="A1355" s="16" t="s">
        <v>3276</v>
      </c>
      <c r="B1355" s="16" t="s">
        <v>3277</v>
      </c>
      <c r="C1355" s="16" t="s">
        <v>1915</v>
      </c>
      <c r="D1355" s="16" t="s">
        <v>2042</v>
      </c>
      <c r="E1355" s="16" t="s">
        <v>555</v>
      </c>
      <c r="H1355" s="16" t="s">
        <v>33</v>
      </c>
    </row>
    <row r="1356" spans="1:8" x14ac:dyDescent="0.3">
      <c r="A1356" s="16" t="s">
        <v>3276</v>
      </c>
      <c r="B1356" s="16" t="s">
        <v>3278</v>
      </c>
      <c r="C1356" s="16" t="s">
        <v>1779</v>
      </c>
      <c r="D1356" s="16" t="s">
        <v>18</v>
      </c>
      <c r="E1356" s="16" t="s">
        <v>555</v>
      </c>
      <c r="G1356" s="16" t="s">
        <v>1770</v>
      </c>
      <c r="H1356" s="16" t="s">
        <v>33</v>
      </c>
    </row>
    <row r="1357" spans="1:8" x14ac:dyDescent="0.3">
      <c r="A1357" s="16" t="s">
        <v>3276</v>
      </c>
      <c r="B1357" s="16" t="s">
        <v>3279</v>
      </c>
      <c r="C1357" s="16" t="s">
        <v>1915</v>
      </c>
      <c r="D1357" s="16" t="s">
        <v>18</v>
      </c>
      <c r="E1357" s="16" t="s">
        <v>555</v>
      </c>
      <c r="G1357" s="16" t="s">
        <v>1770</v>
      </c>
      <c r="H1357" s="16" t="s">
        <v>33</v>
      </c>
    </row>
    <row r="1358" spans="1:8" x14ac:dyDescent="0.3">
      <c r="A1358" s="16" t="s">
        <v>3280</v>
      </c>
      <c r="B1358" s="16" t="s">
        <v>3281</v>
      </c>
      <c r="C1358" s="16" t="s">
        <v>1779</v>
      </c>
      <c r="D1358" s="16" t="s">
        <v>2042</v>
      </c>
      <c r="E1358" s="16" t="s">
        <v>555</v>
      </c>
      <c r="H1358" s="16" t="s">
        <v>33</v>
      </c>
    </row>
    <row r="1359" spans="1:8" x14ac:dyDescent="0.3">
      <c r="A1359" s="16" t="s">
        <v>3280</v>
      </c>
      <c r="B1359" s="16" t="s">
        <v>3281</v>
      </c>
      <c r="C1359" s="16" t="s">
        <v>1915</v>
      </c>
      <c r="D1359" s="16" t="s">
        <v>2042</v>
      </c>
      <c r="E1359" s="16" t="s">
        <v>555</v>
      </c>
      <c r="H1359" s="16" t="s">
        <v>33</v>
      </c>
    </row>
    <row r="1360" spans="1:8" x14ac:dyDescent="0.3">
      <c r="A1360" s="16" t="s">
        <v>3280</v>
      </c>
      <c r="B1360" s="16" t="s">
        <v>3282</v>
      </c>
      <c r="C1360" s="16" t="s">
        <v>1779</v>
      </c>
      <c r="D1360" s="16" t="s">
        <v>18</v>
      </c>
      <c r="E1360" s="16" t="s">
        <v>555</v>
      </c>
      <c r="G1360" s="16" t="s">
        <v>1770</v>
      </c>
      <c r="H1360" s="16" t="s">
        <v>33</v>
      </c>
    </row>
    <row r="1361" spans="1:8" x14ac:dyDescent="0.3">
      <c r="A1361" s="16" t="s">
        <v>3280</v>
      </c>
      <c r="B1361" s="16" t="s">
        <v>3283</v>
      </c>
      <c r="C1361" s="16" t="s">
        <v>1915</v>
      </c>
      <c r="D1361" s="16" t="s">
        <v>18</v>
      </c>
      <c r="E1361" s="16" t="s">
        <v>555</v>
      </c>
      <c r="G1361" s="16" t="s">
        <v>1770</v>
      </c>
      <c r="H1361" s="16" t="s">
        <v>33</v>
      </c>
    </row>
    <row r="1362" spans="1:8" x14ac:dyDescent="0.3">
      <c r="A1362" s="16" t="s">
        <v>3284</v>
      </c>
      <c r="B1362" s="16" t="s">
        <v>3285</v>
      </c>
      <c r="C1362" s="16" t="s">
        <v>1779</v>
      </c>
      <c r="D1362" s="16" t="s">
        <v>133</v>
      </c>
      <c r="E1362" s="16" t="s">
        <v>255</v>
      </c>
      <c r="H1362" s="16" t="s">
        <v>33</v>
      </c>
    </row>
    <row r="1363" spans="1:8" x14ac:dyDescent="0.3">
      <c r="A1363" s="16" t="s">
        <v>3286</v>
      </c>
      <c r="B1363" s="16" t="s">
        <v>3287</v>
      </c>
      <c r="C1363" s="16" t="s">
        <v>1779</v>
      </c>
      <c r="D1363" s="16" t="s">
        <v>2042</v>
      </c>
      <c r="E1363" s="16" t="s">
        <v>555</v>
      </c>
      <c r="H1363" s="16" t="s">
        <v>33</v>
      </c>
    </row>
    <row r="1364" spans="1:8" x14ac:dyDescent="0.3">
      <c r="A1364" s="16" t="s">
        <v>3286</v>
      </c>
      <c r="B1364" s="16" t="s">
        <v>3287</v>
      </c>
      <c r="C1364" s="16" t="s">
        <v>1778</v>
      </c>
      <c r="D1364" s="16" t="s">
        <v>2042</v>
      </c>
      <c r="E1364" s="16" t="s">
        <v>555</v>
      </c>
      <c r="H1364" s="16" t="s">
        <v>33</v>
      </c>
    </row>
    <row r="1365" spans="1:8" x14ac:dyDescent="0.3">
      <c r="A1365" s="16" t="s">
        <v>3286</v>
      </c>
      <c r="B1365" s="16" t="s">
        <v>3287</v>
      </c>
      <c r="C1365" s="16" t="s">
        <v>2320</v>
      </c>
      <c r="D1365" s="16" t="s">
        <v>2042</v>
      </c>
      <c r="E1365" s="16" t="s">
        <v>555</v>
      </c>
      <c r="H1365" s="16" t="s">
        <v>33</v>
      </c>
    </row>
    <row r="1366" spans="1:8" x14ac:dyDescent="0.3">
      <c r="A1366" s="16" t="s">
        <v>3286</v>
      </c>
      <c r="B1366" s="16" t="s">
        <v>3288</v>
      </c>
      <c r="C1366" s="16" t="s">
        <v>1779</v>
      </c>
      <c r="D1366" s="16" t="s">
        <v>18</v>
      </c>
      <c r="E1366" s="16" t="s">
        <v>555</v>
      </c>
      <c r="G1366" s="16" t="s">
        <v>1770</v>
      </c>
      <c r="H1366" s="16" t="s">
        <v>33</v>
      </c>
    </row>
    <row r="1367" spans="1:8" x14ac:dyDescent="0.3">
      <c r="A1367" s="16" t="s">
        <v>3286</v>
      </c>
      <c r="B1367" s="16" t="s">
        <v>3289</v>
      </c>
      <c r="C1367" s="16" t="s">
        <v>1778</v>
      </c>
      <c r="D1367" s="16" t="s">
        <v>18</v>
      </c>
      <c r="E1367" s="16" t="s">
        <v>555</v>
      </c>
      <c r="G1367" s="16" t="s">
        <v>1770</v>
      </c>
      <c r="H1367" s="16" t="s">
        <v>33</v>
      </c>
    </row>
    <row r="1368" spans="1:8" x14ac:dyDescent="0.3">
      <c r="A1368" s="16" t="s">
        <v>1628</v>
      </c>
      <c r="B1368" s="16" t="s">
        <v>3290</v>
      </c>
      <c r="C1368" s="16" t="s">
        <v>1779</v>
      </c>
      <c r="D1368" s="16" t="s">
        <v>2042</v>
      </c>
      <c r="E1368" s="16" t="s">
        <v>555</v>
      </c>
      <c r="H1368" s="16" t="s">
        <v>33</v>
      </c>
    </row>
    <row r="1369" spans="1:8" x14ac:dyDescent="0.3">
      <c r="A1369" s="16" t="s">
        <v>1628</v>
      </c>
      <c r="B1369" s="16" t="s">
        <v>3290</v>
      </c>
      <c r="C1369" s="16" t="s">
        <v>1778</v>
      </c>
      <c r="D1369" s="16" t="s">
        <v>2042</v>
      </c>
      <c r="E1369" s="16" t="s">
        <v>555</v>
      </c>
      <c r="H1369" s="16" t="s">
        <v>33</v>
      </c>
    </row>
    <row r="1370" spans="1:8" x14ac:dyDescent="0.3">
      <c r="A1370" s="16" t="s">
        <v>1628</v>
      </c>
      <c r="B1370" s="16" t="s">
        <v>3290</v>
      </c>
      <c r="C1370" s="16" t="s">
        <v>2320</v>
      </c>
      <c r="D1370" s="16" t="s">
        <v>2042</v>
      </c>
      <c r="E1370" s="16" t="s">
        <v>555</v>
      </c>
      <c r="H1370" s="16" t="s">
        <v>33</v>
      </c>
    </row>
    <row r="1371" spans="1:8" x14ac:dyDescent="0.3">
      <c r="A1371" s="16" t="s">
        <v>1628</v>
      </c>
      <c r="B1371" s="16" t="s">
        <v>1629</v>
      </c>
      <c r="C1371" s="16" t="s">
        <v>1779</v>
      </c>
      <c r="D1371" s="16" t="s">
        <v>18</v>
      </c>
      <c r="E1371" s="16" t="s">
        <v>555</v>
      </c>
      <c r="G1371" s="16" t="s">
        <v>1770</v>
      </c>
      <c r="H1371" s="16" t="s">
        <v>33</v>
      </c>
    </row>
    <row r="1372" spans="1:8" x14ac:dyDescent="0.3">
      <c r="A1372" s="16" t="s">
        <v>1628</v>
      </c>
      <c r="B1372" s="16" t="s">
        <v>3291</v>
      </c>
      <c r="C1372" s="16" t="s">
        <v>1778</v>
      </c>
      <c r="D1372" s="16" t="s">
        <v>18</v>
      </c>
      <c r="E1372" s="16" t="s">
        <v>555</v>
      </c>
      <c r="G1372" s="16" t="s">
        <v>1770</v>
      </c>
      <c r="H1372" s="16" t="s">
        <v>33</v>
      </c>
    </row>
    <row r="1373" spans="1:8" x14ac:dyDescent="0.3">
      <c r="A1373" s="16" t="s">
        <v>3292</v>
      </c>
      <c r="B1373" s="16" t="s">
        <v>3293</v>
      </c>
      <c r="C1373" s="16" t="s">
        <v>1779</v>
      </c>
      <c r="D1373" s="16" t="s">
        <v>2042</v>
      </c>
      <c r="E1373" s="16" t="s">
        <v>555</v>
      </c>
      <c r="H1373" s="16" t="s">
        <v>33</v>
      </c>
    </row>
    <row r="1374" spans="1:8" x14ac:dyDescent="0.3">
      <c r="A1374" s="16" t="s">
        <v>3292</v>
      </c>
      <c r="B1374" s="16" t="s">
        <v>3293</v>
      </c>
      <c r="C1374" s="16" t="s">
        <v>1778</v>
      </c>
      <c r="D1374" s="16" t="s">
        <v>2042</v>
      </c>
      <c r="E1374" s="16" t="s">
        <v>555</v>
      </c>
      <c r="H1374" s="16" t="s">
        <v>33</v>
      </c>
    </row>
    <row r="1375" spans="1:8" x14ac:dyDescent="0.3">
      <c r="A1375" s="16" t="s">
        <v>3292</v>
      </c>
      <c r="B1375" s="16" t="s">
        <v>3293</v>
      </c>
      <c r="C1375" s="16" t="s">
        <v>2320</v>
      </c>
      <c r="D1375" s="16" t="s">
        <v>2042</v>
      </c>
      <c r="E1375" s="16" t="s">
        <v>555</v>
      </c>
      <c r="H1375" s="16" t="s">
        <v>33</v>
      </c>
    </row>
    <row r="1376" spans="1:8" x14ac:dyDescent="0.3">
      <c r="A1376" s="16" t="s">
        <v>3292</v>
      </c>
      <c r="B1376" s="16" t="s">
        <v>3294</v>
      </c>
      <c r="C1376" s="16" t="s">
        <v>1779</v>
      </c>
      <c r="D1376" s="16" t="s">
        <v>18</v>
      </c>
      <c r="E1376" s="16" t="s">
        <v>555</v>
      </c>
      <c r="G1376" s="16" t="s">
        <v>1770</v>
      </c>
      <c r="H1376" s="16" t="s">
        <v>33</v>
      </c>
    </row>
    <row r="1377" spans="1:10" x14ac:dyDescent="0.3">
      <c r="A1377" s="16" t="s">
        <v>3292</v>
      </c>
      <c r="B1377" s="16" t="s">
        <v>3295</v>
      </c>
      <c r="C1377" s="16" t="s">
        <v>1778</v>
      </c>
      <c r="D1377" s="16" t="s">
        <v>18</v>
      </c>
      <c r="E1377" s="16" t="s">
        <v>555</v>
      </c>
      <c r="G1377" s="16" t="s">
        <v>1770</v>
      </c>
      <c r="H1377" s="16" t="s">
        <v>33</v>
      </c>
    </row>
    <row r="1378" spans="1:10" x14ac:dyDescent="0.3">
      <c r="A1378" s="16" t="s">
        <v>3296</v>
      </c>
      <c r="B1378" s="16" t="s">
        <v>3297</v>
      </c>
      <c r="C1378" s="16" t="s">
        <v>1779</v>
      </c>
      <c r="D1378" s="16" t="s">
        <v>2042</v>
      </c>
      <c r="E1378" s="16" t="s">
        <v>661</v>
      </c>
      <c r="H1378" s="16" t="s">
        <v>33</v>
      </c>
    </row>
    <row r="1379" spans="1:10" x14ac:dyDescent="0.3">
      <c r="A1379" s="16" t="s">
        <v>3296</v>
      </c>
      <c r="B1379" s="16" t="s">
        <v>3297</v>
      </c>
      <c r="C1379" s="16" t="s">
        <v>1778</v>
      </c>
      <c r="D1379" s="16" t="s">
        <v>2042</v>
      </c>
      <c r="E1379" s="16" t="s">
        <v>661</v>
      </c>
      <c r="H1379" s="16" t="s">
        <v>33</v>
      </c>
    </row>
    <row r="1380" spans="1:10" x14ac:dyDescent="0.3">
      <c r="A1380" s="16" t="s">
        <v>3296</v>
      </c>
      <c r="B1380" s="16" t="s">
        <v>3297</v>
      </c>
      <c r="C1380" s="16" t="s">
        <v>2320</v>
      </c>
      <c r="D1380" s="16" t="s">
        <v>2042</v>
      </c>
      <c r="E1380" s="16" t="s">
        <v>661</v>
      </c>
      <c r="H1380" s="16" t="s">
        <v>33</v>
      </c>
    </row>
    <row r="1381" spans="1:10" x14ac:dyDescent="0.3">
      <c r="A1381" s="16" t="s">
        <v>3296</v>
      </c>
      <c r="B1381" s="16" t="s">
        <v>3298</v>
      </c>
      <c r="C1381" s="16" t="s">
        <v>1779</v>
      </c>
      <c r="D1381" s="16" t="s">
        <v>18</v>
      </c>
      <c r="E1381" s="16" t="s">
        <v>661</v>
      </c>
      <c r="G1381" s="16" t="s">
        <v>1770</v>
      </c>
      <c r="H1381" s="16" t="s">
        <v>33</v>
      </c>
    </row>
    <row r="1382" spans="1:10" x14ac:dyDescent="0.3">
      <c r="A1382" s="16" t="s">
        <v>3296</v>
      </c>
      <c r="B1382" s="16" t="s">
        <v>3299</v>
      </c>
      <c r="C1382" s="16" t="s">
        <v>1778</v>
      </c>
      <c r="D1382" s="16" t="s">
        <v>18</v>
      </c>
      <c r="E1382" s="16" t="s">
        <v>661</v>
      </c>
      <c r="G1382" s="16" t="s">
        <v>1770</v>
      </c>
      <c r="H1382" s="16" t="s">
        <v>33</v>
      </c>
    </row>
    <row r="1383" spans="1:10" x14ac:dyDescent="0.3">
      <c r="A1383" s="16" t="s">
        <v>3470</v>
      </c>
      <c r="B1383" s="16" t="s">
        <v>3471</v>
      </c>
      <c r="C1383" s="16" t="s">
        <v>1779</v>
      </c>
      <c r="D1383" s="16" t="s">
        <v>133</v>
      </c>
      <c r="E1383" s="16" t="s">
        <v>539</v>
      </c>
      <c r="H1383" s="16" t="s">
        <v>33</v>
      </c>
    </row>
    <row r="1384" spans="1:10" x14ac:dyDescent="0.3">
      <c r="A1384" s="16" t="s">
        <v>3470</v>
      </c>
      <c r="B1384" s="16" t="s">
        <v>3471</v>
      </c>
      <c r="C1384" s="16" t="s">
        <v>1778</v>
      </c>
      <c r="D1384" s="16" t="s">
        <v>133</v>
      </c>
      <c r="E1384" s="16" t="s">
        <v>539</v>
      </c>
      <c r="H1384" s="16" t="s">
        <v>33</v>
      </c>
    </row>
    <row r="1385" spans="1:10" x14ac:dyDescent="0.3">
      <c r="A1385" s="16" t="s">
        <v>786</v>
      </c>
      <c r="B1385" s="16" t="s">
        <v>3472</v>
      </c>
      <c r="C1385" s="16" t="s">
        <v>1779</v>
      </c>
      <c r="D1385" s="16" t="s">
        <v>18</v>
      </c>
      <c r="E1385" s="16" t="s">
        <v>539</v>
      </c>
      <c r="G1385" s="16" t="s">
        <v>1770</v>
      </c>
      <c r="H1385" s="16" t="s">
        <v>33</v>
      </c>
    </row>
    <row r="1386" spans="1:10" x14ac:dyDescent="0.3">
      <c r="A1386" s="16" t="s">
        <v>786</v>
      </c>
      <c r="B1386" s="16" t="s">
        <v>3300</v>
      </c>
      <c r="C1386" s="16" t="s">
        <v>1777</v>
      </c>
      <c r="D1386" s="16" t="s">
        <v>133</v>
      </c>
      <c r="E1386" s="16" t="s">
        <v>539</v>
      </c>
      <c r="H1386" s="16" t="s">
        <v>33</v>
      </c>
    </row>
    <row r="1387" spans="1:10" x14ac:dyDescent="0.3">
      <c r="A1387" s="16" t="s">
        <v>464</v>
      </c>
      <c r="B1387" s="16" t="s">
        <v>465</v>
      </c>
      <c r="C1387" s="16" t="s">
        <v>1777</v>
      </c>
      <c r="D1387" s="16" t="s">
        <v>18</v>
      </c>
      <c r="E1387" s="16" t="s">
        <v>539</v>
      </c>
      <c r="G1387" s="16" t="s">
        <v>1127</v>
      </c>
      <c r="H1387" s="16" t="s">
        <v>33</v>
      </c>
    </row>
    <row r="1388" spans="1:10" x14ac:dyDescent="0.3">
      <c r="A1388" s="16" t="s">
        <v>464</v>
      </c>
      <c r="B1388" s="16" t="s">
        <v>1405</v>
      </c>
      <c r="C1388" s="16" t="s">
        <v>1778</v>
      </c>
      <c r="D1388" s="16" t="s">
        <v>18</v>
      </c>
      <c r="E1388" s="16" t="s">
        <v>539</v>
      </c>
      <c r="G1388" s="16" t="s">
        <v>1127</v>
      </c>
      <c r="H1388" s="16" t="s">
        <v>33</v>
      </c>
    </row>
    <row r="1389" spans="1:10" x14ac:dyDescent="0.3">
      <c r="A1389" s="16" t="s">
        <v>464</v>
      </c>
      <c r="B1389" s="16" t="s">
        <v>466</v>
      </c>
      <c r="C1389" s="16" t="s">
        <v>1779</v>
      </c>
      <c r="D1389" s="16" t="s">
        <v>18</v>
      </c>
      <c r="E1389" s="16" t="s">
        <v>539</v>
      </c>
      <c r="G1389" s="16" t="s">
        <v>1127</v>
      </c>
      <c r="H1389" s="16" t="s">
        <v>33</v>
      </c>
    </row>
    <row r="1390" spans="1:10" x14ac:dyDescent="0.3">
      <c r="A1390" s="16" t="s">
        <v>3473</v>
      </c>
      <c r="B1390" s="16" t="s">
        <v>463</v>
      </c>
      <c r="C1390" s="16" t="s">
        <v>1779</v>
      </c>
      <c r="D1390" s="16" t="s">
        <v>388</v>
      </c>
      <c r="E1390" s="16" t="s">
        <v>539</v>
      </c>
      <c r="H1390" s="16" t="s">
        <v>33</v>
      </c>
      <c r="J1390" s="16" t="s">
        <v>32</v>
      </c>
    </row>
    <row r="1391" spans="1:10" x14ac:dyDescent="0.3">
      <c r="A1391" s="16" t="s">
        <v>3301</v>
      </c>
      <c r="B1391" s="16" t="s">
        <v>3302</v>
      </c>
      <c r="C1391" s="16" t="s">
        <v>1777</v>
      </c>
      <c r="D1391" s="16" t="s">
        <v>388</v>
      </c>
      <c r="E1391" s="16" t="s">
        <v>539</v>
      </c>
      <c r="H1391" s="16" t="s">
        <v>33</v>
      </c>
      <c r="J1391" s="16" t="s">
        <v>32</v>
      </c>
    </row>
    <row r="1392" spans="1:10" x14ac:dyDescent="0.3">
      <c r="A1392" s="16" t="s">
        <v>3303</v>
      </c>
      <c r="B1392" s="16" t="s">
        <v>3304</v>
      </c>
      <c r="C1392" s="16" t="s">
        <v>1804</v>
      </c>
      <c r="D1392" s="16" t="s">
        <v>18</v>
      </c>
      <c r="E1392" s="16" t="s">
        <v>539</v>
      </c>
      <c r="G1392" s="16" t="s">
        <v>1770</v>
      </c>
      <c r="H1392" s="16" t="s">
        <v>33</v>
      </c>
    </row>
    <row r="1393" spans="1:10" x14ac:dyDescent="0.3">
      <c r="A1393" s="16" t="s">
        <v>3305</v>
      </c>
      <c r="B1393" s="16" t="s">
        <v>3306</v>
      </c>
      <c r="C1393" s="16" t="s">
        <v>1804</v>
      </c>
      <c r="D1393" s="16" t="s">
        <v>18</v>
      </c>
      <c r="E1393" s="16" t="s">
        <v>588</v>
      </c>
      <c r="G1393" s="16" t="s">
        <v>1770</v>
      </c>
      <c r="H1393" s="16" t="s">
        <v>33</v>
      </c>
    </row>
    <row r="1394" spans="1:10" x14ac:dyDescent="0.3">
      <c r="A1394" s="16" t="s">
        <v>3307</v>
      </c>
      <c r="B1394" s="16" t="s">
        <v>3308</v>
      </c>
      <c r="C1394" s="16" t="s">
        <v>1779</v>
      </c>
      <c r="D1394" s="16" t="s">
        <v>388</v>
      </c>
      <c r="E1394" s="16" t="s">
        <v>539</v>
      </c>
      <c r="H1394" s="16" t="s">
        <v>33</v>
      </c>
      <c r="J1394" s="16" t="s">
        <v>32</v>
      </c>
    </row>
    <row r="1395" spans="1:10" x14ac:dyDescent="0.3">
      <c r="A1395" s="16" t="s">
        <v>3309</v>
      </c>
      <c r="B1395" s="16" t="s">
        <v>3310</v>
      </c>
      <c r="C1395" s="16" t="s">
        <v>1769</v>
      </c>
      <c r="D1395" s="16" t="s">
        <v>133</v>
      </c>
      <c r="E1395" s="16" t="s">
        <v>539</v>
      </c>
      <c r="H1395" s="16" t="s">
        <v>33</v>
      </c>
    </row>
    <row r="1396" spans="1:10" x14ac:dyDescent="0.3">
      <c r="A1396" s="16" t="s">
        <v>3311</v>
      </c>
      <c r="B1396" s="16" t="s">
        <v>3312</v>
      </c>
      <c r="C1396" s="16" t="s">
        <v>1779</v>
      </c>
      <c r="D1396" s="16" t="s">
        <v>133</v>
      </c>
      <c r="E1396" s="16" t="s">
        <v>539</v>
      </c>
      <c r="G1396" s="16" t="s">
        <v>662</v>
      </c>
      <c r="H1396" s="16" t="s">
        <v>33</v>
      </c>
    </row>
    <row r="1397" spans="1:10" x14ac:dyDescent="0.3">
      <c r="A1397" s="16" t="s">
        <v>3311</v>
      </c>
      <c r="B1397" s="16" t="s">
        <v>3313</v>
      </c>
      <c r="C1397" s="16" t="s">
        <v>1769</v>
      </c>
      <c r="D1397" s="16" t="s">
        <v>133</v>
      </c>
      <c r="E1397" s="16" t="s">
        <v>539</v>
      </c>
      <c r="H1397" s="16" t="s">
        <v>33</v>
      </c>
    </row>
    <row r="1398" spans="1:10" x14ac:dyDescent="0.3">
      <c r="A1398" s="16" t="s">
        <v>1630</v>
      </c>
      <c r="B1398" s="16" t="s">
        <v>1631</v>
      </c>
      <c r="C1398" s="16" t="s">
        <v>1779</v>
      </c>
      <c r="D1398" s="16" t="s">
        <v>18</v>
      </c>
      <c r="E1398" s="16" t="s">
        <v>539</v>
      </c>
      <c r="G1398" s="16" t="s">
        <v>1103</v>
      </c>
      <c r="H1398" s="16" t="s">
        <v>33</v>
      </c>
    </row>
    <row r="1399" spans="1:10" x14ac:dyDescent="0.3">
      <c r="A1399" s="16" t="s">
        <v>3314</v>
      </c>
      <c r="B1399" s="16" t="s">
        <v>3315</v>
      </c>
      <c r="C1399" s="16" t="s">
        <v>1808</v>
      </c>
      <c r="D1399" s="16" t="s">
        <v>133</v>
      </c>
      <c r="E1399" s="16" t="s">
        <v>1791</v>
      </c>
      <c r="H1399" s="16" t="s">
        <v>33</v>
      </c>
    </row>
    <row r="1400" spans="1:10" x14ac:dyDescent="0.3">
      <c r="A1400" s="16" t="s">
        <v>3316</v>
      </c>
      <c r="B1400" s="16" t="s">
        <v>3317</v>
      </c>
      <c r="C1400" s="16" t="s">
        <v>1769</v>
      </c>
      <c r="D1400" s="16" t="s">
        <v>133</v>
      </c>
      <c r="E1400" s="16" t="s">
        <v>1791</v>
      </c>
      <c r="G1400" s="16" t="s">
        <v>662</v>
      </c>
      <c r="H1400" s="16" t="s">
        <v>33</v>
      </c>
      <c r="I1400" s="16" t="s">
        <v>33</v>
      </c>
    </row>
    <row r="1401" spans="1:10" x14ac:dyDescent="0.3">
      <c r="A1401" s="16" t="s">
        <v>3318</v>
      </c>
      <c r="B1401" s="16" t="s">
        <v>3319</v>
      </c>
      <c r="C1401" s="16" t="s">
        <v>1769</v>
      </c>
      <c r="D1401" s="16" t="s">
        <v>133</v>
      </c>
      <c r="E1401" s="16" t="s">
        <v>1791</v>
      </c>
      <c r="G1401" s="16" t="s">
        <v>662</v>
      </c>
      <c r="H1401" s="16" t="s">
        <v>33</v>
      </c>
      <c r="I1401" s="16" t="s">
        <v>33</v>
      </c>
    </row>
    <row r="1402" spans="1:10" x14ac:dyDescent="0.3">
      <c r="A1402" s="16" t="s">
        <v>146</v>
      </c>
      <c r="B1402" s="16" t="s">
        <v>3474</v>
      </c>
      <c r="C1402" s="16" t="s">
        <v>1779</v>
      </c>
      <c r="D1402" s="16" t="s">
        <v>18</v>
      </c>
      <c r="E1402" s="16" t="s">
        <v>539</v>
      </c>
      <c r="G1402" s="16" t="s">
        <v>1770</v>
      </c>
      <c r="H1402" s="16" t="s">
        <v>33</v>
      </c>
    </row>
    <row r="1403" spans="1:10" x14ac:dyDescent="0.3">
      <c r="A1403" s="16" t="s">
        <v>1406</v>
      </c>
      <c r="B1403" s="16" t="s">
        <v>1407</v>
      </c>
      <c r="C1403" s="16" t="s">
        <v>1778</v>
      </c>
      <c r="D1403" s="16" t="s">
        <v>18</v>
      </c>
      <c r="E1403" s="16" t="s">
        <v>539</v>
      </c>
      <c r="G1403" s="16" t="s">
        <v>1127</v>
      </c>
      <c r="H1403" s="16" t="s">
        <v>33</v>
      </c>
    </row>
    <row r="1404" spans="1:10" x14ac:dyDescent="0.3">
      <c r="A1404" s="16" t="s">
        <v>3320</v>
      </c>
      <c r="B1404" s="16" t="s">
        <v>3321</v>
      </c>
      <c r="C1404" s="16" t="s">
        <v>1779</v>
      </c>
      <c r="D1404" s="16" t="s">
        <v>133</v>
      </c>
      <c r="E1404" s="16" t="s">
        <v>661</v>
      </c>
      <c r="G1404" s="16" t="s">
        <v>662</v>
      </c>
      <c r="H1404" s="16" t="s">
        <v>33</v>
      </c>
    </row>
    <row r="1405" spans="1:10" x14ac:dyDescent="0.3">
      <c r="A1405" s="16" t="s">
        <v>396</v>
      </c>
      <c r="B1405" s="16" t="s">
        <v>398</v>
      </c>
      <c r="C1405" s="16" t="s">
        <v>1779</v>
      </c>
      <c r="D1405" s="16" t="s">
        <v>388</v>
      </c>
      <c r="E1405" s="16" t="s">
        <v>539</v>
      </c>
      <c r="H1405" s="16" t="s">
        <v>33</v>
      </c>
      <c r="J1405" s="16" t="s">
        <v>32</v>
      </c>
    </row>
    <row r="1406" spans="1:10" x14ac:dyDescent="0.3">
      <c r="A1406" s="16" t="s">
        <v>1160</v>
      </c>
      <c r="B1406" s="16" t="s">
        <v>1161</v>
      </c>
      <c r="C1406" s="16" t="s">
        <v>1915</v>
      </c>
      <c r="D1406" s="16" t="s">
        <v>18</v>
      </c>
      <c r="E1406" s="16" t="s">
        <v>539</v>
      </c>
      <c r="G1406" s="16" t="s">
        <v>1103</v>
      </c>
      <c r="H1406" s="16" t="s">
        <v>33</v>
      </c>
    </row>
    <row r="1407" spans="1:10" x14ac:dyDescent="0.3">
      <c r="A1407" s="16" t="s">
        <v>431</v>
      </c>
      <c r="B1407" s="16" t="s">
        <v>432</v>
      </c>
      <c r="C1407" s="16" t="s">
        <v>1779</v>
      </c>
      <c r="D1407" s="16" t="s">
        <v>18</v>
      </c>
      <c r="E1407" s="16" t="s">
        <v>539</v>
      </c>
      <c r="G1407" s="16" t="s">
        <v>1127</v>
      </c>
      <c r="H1407" s="16" t="s">
        <v>33</v>
      </c>
    </row>
    <row r="1408" spans="1:10" x14ac:dyDescent="0.3">
      <c r="A1408" s="16" t="s">
        <v>447</v>
      </c>
      <c r="B1408" s="16" t="s">
        <v>448</v>
      </c>
      <c r="C1408" s="16" t="s">
        <v>1779</v>
      </c>
      <c r="D1408" s="16" t="s">
        <v>388</v>
      </c>
      <c r="E1408" s="16" t="s">
        <v>539</v>
      </c>
      <c r="H1408" s="16" t="s">
        <v>33</v>
      </c>
      <c r="J1408" s="16" t="s">
        <v>32</v>
      </c>
    </row>
    <row r="1409" spans="1:10" x14ac:dyDescent="0.3">
      <c r="A1409" s="16" t="s">
        <v>1408</v>
      </c>
      <c r="B1409" s="16" t="s">
        <v>1409</v>
      </c>
      <c r="C1409" s="16" t="s">
        <v>1778</v>
      </c>
      <c r="D1409" s="16" t="s">
        <v>18</v>
      </c>
      <c r="E1409" s="16" t="s">
        <v>539</v>
      </c>
      <c r="G1409" s="16" t="s">
        <v>1127</v>
      </c>
      <c r="H1409" s="16" t="s">
        <v>33</v>
      </c>
    </row>
    <row r="1410" spans="1:10" x14ac:dyDescent="0.3">
      <c r="A1410" s="16" t="s">
        <v>3322</v>
      </c>
      <c r="B1410" s="16" t="s">
        <v>405</v>
      </c>
      <c r="C1410" s="16" t="s">
        <v>1777</v>
      </c>
      <c r="D1410" s="16" t="s">
        <v>388</v>
      </c>
      <c r="E1410" s="16" t="s">
        <v>539</v>
      </c>
      <c r="H1410" s="16" t="s">
        <v>33</v>
      </c>
      <c r="J1410" s="16" t="s">
        <v>32</v>
      </c>
    </row>
    <row r="1411" spans="1:10" x14ac:dyDescent="0.3">
      <c r="A1411" s="16" t="s">
        <v>435</v>
      </c>
      <c r="B1411" s="16" t="s">
        <v>436</v>
      </c>
      <c r="C1411" s="16" t="s">
        <v>1779</v>
      </c>
      <c r="D1411" s="16" t="s">
        <v>18</v>
      </c>
      <c r="E1411" s="16" t="s">
        <v>539</v>
      </c>
      <c r="G1411" s="16" t="s">
        <v>1127</v>
      </c>
      <c r="H1411" s="16" t="s">
        <v>33</v>
      </c>
    </row>
    <row r="1412" spans="1:10" x14ac:dyDescent="0.3">
      <c r="A1412" s="16" t="s">
        <v>407</v>
      </c>
      <c r="B1412" s="16" t="s">
        <v>1188</v>
      </c>
      <c r="C1412" s="16" t="s">
        <v>1777</v>
      </c>
      <c r="D1412" s="16" t="s">
        <v>18</v>
      </c>
      <c r="E1412" s="16" t="s">
        <v>539</v>
      </c>
      <c r="G1412" s="16" t="s">
        <v>1127</v>
      </c>
      <c r="H1412" s="16" t="s">
        <v>33</v>
      </c>
      <c r="I1412" s="16" t="s">
        <v>33</v>
      </c>
    </row>
    <row r="1413" spans="1:10" x14ac:dyDescent="0.3">
      <c r="A1413" s="16" t="s">
        <v>407</v>
      </c>
      <c r="B1413" s="16" t="s">
        <v>409</v>
      </c>
      <c r="C1413" s="16" t="s">
        <v>1779</v>
      </c>
      <c r="D1413" s="16" t="s">
        <v>18</v>
      </c>
      <c r="E1413" s="16" t="s">
        <v>539</v>
      </c>
      <c r="G1413" s="16" t="s">
        <v>1127</v>
      </c>
      <c r="H1413" s="16" t="s">
        <v>33</v>
      </c>
    </row>
    <row r="1414" spans="1:10" x14ac:dyDescent="0.3">
      <c r="A1414" s="16" t="s">
        <v>407</v>
      </c>
      <c r="B1414" s="16" t="s">
        <v>1410</v>
      </c>
      <c r="C1414" s="16" t="s">
        <v>1778</v>
      </c>
      <c r="D1414" s="16" t="s">
        <v>18</v>
      </c>
      <c r="E1414" s="16" t="s">
        <v>539</v>
      </c>
      <c r="G1414" s="16" t="s">
        <v>1127</v>
      </c>
      <c r="H1414" s="16" t="s">
        <v>33</v>
      </c>
    </row>
    <row r="1415" spans="1:10" x14ac:dyDescent="0.3">
      <c r="A1415" s="16" t="s">
        <v>422</v>
      </c>
      <c r="B1415" s="16" t="s">
        <v>424</v>
      </c>
      <c r="C1415" s="16" t="s">
        <v>1779</v>
      </c>
      <c r="D1415" s="16" t="s">
        <v>388</v>
      </c>
      <c r="E1415" s="16" t="s">
        <v>539</v>
      </c>
      <c r="H1415" s="16" t="s">
        <v>33</v>
      </c>
      <c r="J1415" s="16" t="s">
        <v>32</v>
      </c>
    </row>
    <row r="1416" spans="1:10" x14ac:dyDescent="0.3">
      <c r="A1416" s="16" t="s">
        <v>422</v>
      </c>
      <c r="B1416" s="16" t="s">
        <v>423</v>
      </c>
      <c r="C1416" s="16" t="s">
        <v>1777</v>
      </c>
      <c r="D1416" s="16" t="s">
        <v>388</v>
      </c>
      <c r="E1416" s="16" t="s">
        <v>539</v>
      </c>
      <c r="H1416" s="16" t="s">
        <v>33</v>
      </c>
      <c r="J1416" s="16" t="s">
        <v>32</v>
      </c>
    </row>
    <row r="1417" spans="1:10" x14ac:dyDescent="0.3">
      <c r="A1417" s="16" t="s">
        <v>3323</v>
      </c>
      <c r="B1417" s="16" t="s">
        <v>402</v>
      </c>
      <c r="C1417" s="16" t="s">
        <v>1777</v>
      </c>
      <c r="D1417" s="16" t="s">
        <v>388</v>
      </c>
      <c r="E1417" s="16" t="s">
        <v>539</v>
      </c>
      <c r="H1417" s="16" t="s">
        <v>33</v>
      </c>
      <c r="J1417" s="16" t="s">
        <v>32</v>
      </c>
    </row>
    <row r="1418" spans="1:10" x14ac:dyDescent="0.3">
      <c r="A1418" s="16" t="s">
        <v>410</v>
      </c>
      <c r="B1418" s="16" t="s">
        <v>411</v>
      </c>
      <c r="C1418" s="16" t="s">
        <v>1777</v>
      </c>
      <c r="D1418" s="16" t="s">
        <v>18</v>
      </c>
      <c r="E1418" s="16" t="s">
        <v>539</v>
      </c>
      <c r="G1418" s="16" t="s">
        <v>1127</v>
      </c>
      <c r="H1418" s="16" t="s">
        <v>33</v>
      </c>
    </row>
    <row r="1419" spans="1:10" x14ac:dyDescent="0.3">
      <c r="A1419" s="16" t="s">
        <v>410</v>
      </c>
      <c r="B1419" s="16" t="s">
        <v>1411</v>
      </c>
      <c r="C1419" s="16" t="s">
        <v>1778</v>
      </c>
      <c r="D1419" s="16" t="s">
        <v>18</v>
      </c>
      <c r="E1419" s="16" t="s">
        <v>539</v>
      </c>
      <c r="G1419" s="16" t="s">
        <v>1127</v>
      </c>
      <c r="H1419" s="16" t="s">
        <v>33</v>
      </c>
    </row>
    <row r="1420" spans="1:10" x14ac:dyDescent="0.3">
      <c r="A1420" s="16" t="s">
        <v>410</v>
      </c>
      <c r="B1420" s="16" t="s">
        <v>412</v>
      </c>
      <c r="C1420" s="16" t="s">
        <v>1779</v>
      </c>
      <c r="D1420" s="16" t="s">
        <v>18</v>
      </c>
      <c r="E1420" s="16" t="s">
        <v>539</v>
      </c>
      <c r="G1420" s="16" t="s">
        <v>1127</v>
      </c>
      <c r="H1420" s="16" t="s">
        <v>33</v>
      </c>
    </row>
    <row r="1421" spans="1:10" x14ac:dyDescent="0.3">
      <c r="A1421" s="16" t="s">
        <v>3324</v>
      </c>
      <c r="B1421" s="16" t="s">
        <v>3325</v>
      </c>
      <c r="C1421" s="16" t="s">
        <v>1779</v>
      </c>
      <c r="D1421" s="16" t="s">
        <v>133</v>
      </c>
      <c r="E1421" s="16" t="s">
        <v>539</v>
      </c>
      <c r="G1421" s="16" t="s">
        <v>662</v>
      </c>
      <c r="H1421" s="16" t="s">
        <v>33</v>
      </c>
    </row>
    <row r="1422" spans="1:10" x14ac:dyDescent="0.3">
      <c r="A1422" s="16" t="s">
        <v>433</v>
      </c>
      <c r="B1422" s="16" t="s">
        <v>434</v>
      </c>
      <c r="C1422" s="16" t="s">
        <v>1779</v>
      </c>
      <c r="D1422" s="16" t="s">
        <v>18</v>
      </c>
      <c r="E1422" s="16" t="s">
        <v>539</v>
      </c>
      <c r="G1422" s="16" t="s">
        <v>1127</v>
      </c>
      <c r="H1422" s="16" t="s">
        <v>33</v>
      </c>
    </row>
    <row r="1423" spans="1:10" x14ac:dyDescent="0.3">
      <c r="A1423" s="16" t="s">
        <v>3326</v>
      </c>
      <c r="B1423" s="16" t="s">
        <v>128</v>
      </c>
      <c r="C1423" s="16" t="s">
        <v>1778</v>
      </c>
      <c r="D1423" s="16" t="s">
        <v>133</v>
      </c>
      <c r="E1423" s="16" t="s">
        <v>588</v>
      </c>
      <c r="H1423" s="16" t="s">
        <v>33</v>
      </c>
    </row>
    <row r="1424" spans="1:10" x14ac:dyDescent="0.3">
      <c r="A1424" s="16" t="s">
        <v>3327</v>
      </c>
      <c r="B1424" s="16" t="s">
        <v>3328</v>
      </c>
      <c r="C1424" s="16" t="s">
        <v>1778</v>
      </c>
      <c r="D1424" s="16" t="s">
        <v>133</v>
      </c>
      <c r="E1424" s="16" t="s">
        <v>588</v>
      </c>
      <c r="H1424" s="16" t="s">
        <v>33</v>
      </c>
    </row>
    <row r="1425" spans="1:11" x14ac:dyDescent="0.3">
      <c r="A1425" s="16" t="s">
        <v>3329</v>
      </c>
      <c r="B1425" s="16" t="s">
        <v>3330</v>
      </c>
      <c r="C1425" s="16" t="s">
        <v>1778</v>
      </c>
      <c r="D1425" s="16" t="s">
        <v>133</v>
      </c>
      <c r="E1425" s="16" t="s">
        <v>255</v>
      </c>
      <c r="H1425" s="16" t="s">
        <v>33</v>
      </c>
    </row>
    <row r="1426" spans="1:11" x14ac:dyDescent="0.3">
      <c r="A1426" s="16" t="s">
        <v>3331</v>
      </c>
      <c r="B1426" s="16" t="s">
        <v>130</v>
      </c>
      <c r="C1426" s="16" t="s">
        <v>1778</v>
      </c>
      <c r="D1426" s="16" t="s">
        <v>133</v>
      </c>
      <c r="E1426" s="16" t="s">
        <v>588</v>
      </c>
      <c r="H1426" s="16" t="s">
        <v>33</v>
      </c>
    </row>
    <row r="1427" spans="1:11" x14ac:dyDescent="0.3">
      <c r="A1427" s="16" t="s">
        <v>3332</v>
      </c>
      <c r="B1427" s="16" t="s">
        <v>3333</v>
      </c>
      <c r="C1427" s="16" t="s">
        <v>1778</v>
      </c>
      <c r="D1427" s="16" t="s">
        <v>133</v>
      </c>
      <c r="E1427" s="16" t="s">
        <v>588</v>
      </c>
      <c r="H1427" s="16" t="s">
        <v>33</v>
      </c>
    </row>
    <row r="1428" spans="1:11" x14ac:dyDescent="0.3">
      <c r="A1428" s="16" t="s">
        <v>3334</v>
      </c>
      <c r="B1428" s="16" t="s">
        <v>3335</v>
      </c>
      <c r="C1428" s="16" t="s">
        <v>1779</v>
      </c>
      <c r="D1428" s="16" t="s">
        <v>388</v>
      </c>
      <c r="E1428" s="16" t="s">
        <v>539</v>
      </c>
      <c r="J1428" s="16" t="s">
        <v>1988</v>
      </c>
    </row>
    <row r="1429" spans="1:11" x14ac:dyDescent="0.3">
      <c r="A1429" s="16" t="s">
        <v>3336</v>
      </c>
      <c r="B1429" s="16" t="s">
        <v>3337</v>
      </c>
      <c r="C1429" s="16" t="s">
        <v>1915</v>
      </c>
      <c r="D1429" s="16" t="s">
        <v>133</v>
      </c>
      <c r="E1429" s="16" t="s">
        <v>588</v>
      </c>
      <c r="H1429" s="16" t="s">
        <v>33</v>
      </c>
    </row>
    <row r="1430" spans="1:11" x14ac:dyDescent="0.3">
      <c r="A1430" s="16" t="s">
        <v>3338</v>
      </c>
      <c r="B1430" s="16" t="s">
        <v>3339</v>
      </c>
      <c r="C1430" s="16" t="s">
        <v>1778</v>
      </c>
      <c r="D1430" s="16" t="s">
        <v>133</v>
      </c>
      <c r="E1430" s="16" t="s">
        <v>255</v>
      </c>
      <c r="H1430" s="16" t="s">
        <v>33</v>
      </c>
    </row>
    <row r="1431" spans="1:11" x14ac:dyDescent="0.3">
      <c r="A1431" s="16" t="s">
        <v>1632</v>
      </c>
      <c r="B1431" s="16" t="s">
        <v>387</v>
      </c>
      <c r="C1431" s="16" t="s">
        <v>1779</v>
      </c>
      <c r="D1431" s="16" t="s">
        <v>18</v>
      </c>
      <c r="E1431" s="16" t="s">
        <v>539</v>
      </c>
      <c r="G1431" s="16" t="s">
        <v>1103</v>
      </c>
      <c r="H1431" s="16" t="s">
        <v>33</v>
      </c>
    </row>
    <row r="1432" spans="1:11" x14ac:dyDescent="0.3">
      <c r="A1432" s="16" t="s">
        <v>136</v>
      </c>
      <c r="B1432" s="16" t="s">
        <v>3340</v>
      </c>
      <c r="C1432" s="16" t="s">
        <v>1808</v>
      </c>
      <c r="D1432" s="16" t="s">
        <v>133</v>
      </c>
      <c r="E1432" s="16" t="s">
        <v>539</v>
      </c>
      <c r="H1432" s="16" t="s">
        <v>33</v>
      </c>
    </row>
    <row r="1433" spans="1:11" x14ac:dyDescent="0.3">
      <c r="A1433" s="16" t="s">
        <v>136</v>
      </c>
      <c r="B1433" s="16" t="s">
        <v>124</v>
      </c>
      <c r="C1433" s="16" t="s">
        <v>1779</v>
      </c>
      <c r="D1433" s="16" t="s">
        <v>133</v>
      </c>
      <c r="E1433" s="16" t="s">
        <v>539</v>
      </c>
      <c r="H1433" s="16" t="s">
        <v>33</v>
      </c>
    </row>
    <row r="1434" spans="1:11" x14ac:dyDescent="0.3">
      <c r="A1434" s="16" t="s">
        <v>136</v>
      </c>
      <c r="B1434" s="16" t="s">
        <v>1633</v>
      </c>
      <c r="C1434" s="16" t="s">
        <v>1779</v>
      </c>
      <c r="D1434" s="16" t="s">
        <v>18</v>
      </c>
      <c r="E1434" s="16" t="s">
        <v>539</v>
      </c>
      <c r="G1434" s="16" t="s">
        <v>1103</v>
      </c>
      <c r="H1434" s="16" t="s">
        <v>33</v>
      </c>
    </row>
    <row r="1435" spans="1:11" x14ac:dyDescent="0.3">
      <c r="A1435" s="16" t="s">
        <v>136</v>
      </c>
      <c r="B1435" s="16" t="s">
        <v>3341</v>
      </c>
      <c r="C1435" s="16" t="s">
        <v>1782</v>
      </c>
      <c r="D1435" s="16" t="s">
        <v>133</v>
      </c>
      <c r="E1435" s="16" t="s">
        <v>539</v>
      </c>
      <c r="H1435" s="16" t="s">
        <v>33</v>
      </c>
    </row>
    <row r="1436" spans="1:11" x14ac:dyDescent="0.3">
      <c r="A1436" s="16" t="s">
        <v>131</v>
      </c>
      <c r="B1436" s="16" t="s">
        <v>132</v>
      </c>
      <c r="C1436" s="16" t="s">
        <v>1779</v>
      </c>
      <c r="D1436" s="16" t="s">
        <v>133</v>
      </c>
      <c r="E1436" s="16" t="s">
        <v>539</v>
      </c>
      <c r="H1436" s="16" t="s">
        <v>33</v>
      </c>
    </row>
    <row r="1437" spans="1:11" x14ac:dyDescent="0.3">
      <c r="A1437" s="16" t="s">
        <v>3342</v>
      </c>
      <c r="B1437" s="16" t="s">
        <v>3343</v>
      </c>
      <c r="C1437" s="16" t="s">
        <v>1778</v>
      </c>
      <c r="D1437" s="16" t="s">
        <v>133</v>
      </c>
      <c r="E1437" s="16" t="s">
        <v>588</v>
      </c>
      <c r="H1437" s="16" t="s">
        <v>33</v>
      </c>
    </row>
    <row r="1438" spans="1:11" x14ac:dyDescent="0.3">
      <c r="A1438" s="16" t="s">
        <v>3344</v>
      </c>
      <c r="B1438" s="16" t="s">
        <v>3345</v>
      </c>
      <c r="C1438" s="16" t="s">
        <v>1778</v>
      </c>
      <c r="D1438" s="16" t="s">
        <v>133</v>
      </c>
      <c r="E1438" s="16" t="s">
        <v>588</v>
      </c>
      <c r="H1438" s="16" t="s">
        <v>33</v>
      </c>
    </row>
    <row r="1439" spans="1:11" x14ac:dyDescent="0.3">
      <c r="A1439" s="16" t="s">
        <v>3346</v>
      </c>
      <c r="B1439" s="16" t="s">
        <v>3347</v>
      </c>
      <c r="C1439" s="16" t="s">
        <v>1915</v>
      </c>
      <c r="D1439" s="16" t="s">
        <v>133</v>
      </c>
      <c r="E1439" s="16" t="s">
        <v>588</v>
      </c>
      <c r="H1439" s="16" t="s">
        <v>33</v>
      </c>
    </row>
    <row r="1440" spans="1:11" x14ac:dyDescent="0.3">
      <c r="A1440" s="16" t="s">
        <v>156</v>
      </c>
      <c r="B1440" s="16" t="s">
        <v>157</v>
      </c>
      <c r="C1440" s="16" t="s">
        <v>1779</v>
      </c>
      <c r="D1440" s="16" t="s">
        <v>388</v>
      </c>
      <c r="E1440" s="16" t="s">
        <v>539</v>
      </c>
      <c r="H1440" s="16" t="s">
        <v>33</v>
      </c>
      <c r="J1440" s="16" t="s">
        <v>32</v>
      </c>
      <c r="K1440" s="16" t="s">
        <v>3015</v>
      </c>
    </row>
    <row r="1441" spans="1:11" x14ac:dyDescent="0.3">
      <c r="A1441" s="16" t="s">
        <v>134</v>
      </c>
      <c r="B1441" s="16" t="s">
        <v>135</v>
      </c>
      <c r="C1441" s="16" t="s">
        <v>1779</v>
      </c>
      <c r="D1441" s="16" t="s">
        <v>388</v>
      </c>
      <c r="E1441" s="16" t="s">
        <v>539</v>
      </c>
      <c r="H1441" s="16" t="s">
        <v>33</v>
      </c>
      <c r="J1441" s="16" t="s">
        <v>32</v>
      </c>
    </row>
    <row r="1442" spans="1:11" x14ac:dyDescent="0.3">
      <c r="A1442" s="16" t="s">
        <v>134</v>
      </c>
      <c r="B1442" s="16" t="s">
        <v>135</v>
      </c>
      <c r="C1442" s="16" t="s">
        <v>1777</v>
      </c>
      <c r="D1442" s="16" t="s">
        <v>388</v>
      </c>
      <c r="E1442" s="16" t="s">
        <v>539</v>
      </c>
      <c r="H1442" s="16" t="s">
        <v>33</v>
      </c>
      <c r="J1442" s="16" t="s">
        <v>32</v>
      </c>
    </row>
    <row r="1443" spans="1:11" x14ac:dyDescent="0.3">
      <c r="A1443" s="16" t="s">
        <v>3348</v>
      </c>
      <c r="B1443" s="16" t="s">
        <v>3349</v>
      </c>
      <c r="C1443" s="16" t="s">
        <v>1779</v>
      </c>
      <c r="D1443" s="16" t="s">
        <v>133</v>
      </c>
      <c r="E1443" s="16" t="s">
        <v>539</v>
      </c>
      <c r="H1443" s="16" t="s">
        <v>33</v>
      </c>
    </row>
    <row r="1444" spans="1:11" x14ac:dyDescent="0.3">
      <c r="A1444" s="16" t="s">
        <v>1634</v>
      </c>
      <c r="B1444" s="16" t="s">
        <v>1635</v>
      </c>
      <c r="C1444" s="16" t="s">
        <v>1779</v>
      </c>
      <c r="D1444" s="16" t="s">
        <v>18</v>
      </c>
      <c r="E1444" s="16" t="s">
        <v>539</v>
      </c>
      <c r="G1444" s="16" t="s">
        <v>1103</v>
      </c>
      <c r="H1444" s="16" t="s">
        <v>33</v>
      </c>
    </row>
    <row r="1445" spans="1:11" x14ac:dyDescent="0.3">
      <c r="A1445" s="16" t="s">
        <v>3352</v>
      </c>
      <c r="B1445" s="16" t="s">
        <v>3353</v>
      </c>
      <c r="C1445" s="16" t="s">
        <v>1779</v>
      </c>
      <c r="D1445" s="16" t="s">
        <v>388</v>
      </c>
      <c r="E1445" s="16" t="s">
        <v>539</v>
      </c>
      <c r="J1445" s="16" t="s">
        <v>1988</v>
      </c>
    </row>
    <row r="1446" spans="1:11" x14ac:dyDescent="0.3">
      <c r="A1446" s="16" t="s">
        <v>3352</v>
      </c>
      <c r="B1446" s="16" t="s">
        <v>3353</v>
      </c>
      <c r="C1446" s="16" t="s">
        <v>1915</v>
      </c>
      <c r="D1446" s="16" t="s">
        <v>388</v>
      </c>
      <c r="E1446" s="16" t="s">
        <v>539</v>
      </c>
      <c r="H1446" s="16" t="s">
        <v>33</v>
      </c>
      <c r="J1446" s="16" t="s">
        <v>1988</v>
      </c>
    </row>
    <row r="1447" spans="1:11" x14ac:dyDescent="0.3">
      <c r="A1447" s="16" t="s">
        <v>1636</v>
      </c>
      <c r="B1447" s="16" t="s">
        <v>1637</v>
      </c>
      <c r="C1447" s="16" t="s">
        <v>1779</v>
      </c>
      <c r="D1447" s="16" t="s">
        <v>18</v>
      </c>
      <c r="E1447" s="16" t="s">
        <v>539</v>
      </c>
      <c r="G1447" s="16" t="s">
        <v>1103</v>
      </c>
      <c r="H1447" s="16" t="s">
        <v>33</v>
      </c>
    </row>
    <row r="1448" spans="1:11" x14ac:dyDescent="0.3">
      <c r="A1448" s="16" t="s">
        <v>3354</v>
      </c>
      <c r="B1448" s="16" t="s">
        <v>3355</v>
      </c>
      <c r="C1448" s="16" t="s">
        <v>1777</v>
      </c>
      <c r="D1448" s="16" t="s">
        <v>388</v>
      </c>
      <c r="E1448" s="16" t="s">
        <v>539</v>
      </c>
      <c r="J1448" s="16" t="s">
        <v>1988</v>
      </c>
    </row>
    <row r="1449" spans="1:11" x14ac:dyDescent="0.3">
      <c r="A1449" s="16" t="s">
        <v>3358</v>
      </c>
      <c r="B1449" s="16" t="s">
        <v>3359</v>
      </c>
      <c r="C1449" s="16" t="s">
        <v>1779</v>
      </c>
      <c r="D1449" s="16" t="s">
        <v>388</v>
      </c>
      <c r="E1449" s="16" t="s">
        <v>539</v>
      </c>
      <c r="J1449" s="16" t="s">
        <v>32</v>
      </c>
    </row>
    <row r="1450" spans="1:11" x14ac:dyDescent="0.3">
      <c r="A1450" s="16" t="s">
        <v>3360</v>
      </c>
      <c r="B1450" s="16" t="s">
        <v>3361</v>
      </c>
      <c r="C1450" s="16" t="s">
        <v>2092</v>
      </c>
      <c r="D1450" s="16" t="s">
        <v>388</v>
      </c>
      <c r="E1450" s="16" t="s">
        <v>539</v>
      </c>
      <c r="J1450" s="16" t="s">
        <v>32</v>
      </c>
      <c r="K1450" s="16" t="s">
        <v>1783</v>
      </c>
    </row>
    <row r="1451" spans="1:11" x14ac:dyDescent="0.3">
      <c r="A1451" s="16" t="s">
        <v>3362</v>
      </c>
      <c r="B1451" s="16" t="s">
        <v>3363</v>
      </c>
      <c r="C1451" s="16" t="s">
        <v>2092</v>
      </c>
      <c r="D1451" s="16" t="s">
        <v>388</v>
      </c>
      <c r="E1451" s="16" t="s">
        <v>539</v>
      </c>
      <c r="J1451" s="16" t="s">
        <v>32</v>
      </c>
    </row>
    <row r="1452" spans="1:11" x14ac:dyDescent="0.3">
      <c r="A1452" s="16" t="s">
        <v>3364</v>
      </c>
      <c r="B1452" s="16" t="s">
        <v>3365</v>
      </c>
      <c r="C1452" s="16" t="s">
        <v>1779</v>
      </c>
      <c r="D1452" s="16" t="s">
        <v>388</v>
      </c>
      <c r="E1452" s="16" t="s">
        <v>539</v>
      </c>
      <c r="J1452" s="16" t="s">
        <v>32</v>
      </c>
    </row>
    <row r="1453" spans="1:11" x14ac:dyDescent="0.3">
      <c r="A1453" s="16" t="s">
        <v>3364</v>
      </c>
      <c r="B1453" s="16" t="s">
        <v>3365</v>
      </c>
      <c r="C1453" s="16" t="s">
        <v>1777</v>
      </c>
      <c r="D1453" s="16" t="s">
        <v>388</v>
      </c>
      <c r="E1453" s="16" t="s">
        <v>539</v>
      </c>
      <c r="J1453" s="16" t="s">
        <v>32</v>
      </c>
    </row>
    <row r="1454" spans="1:11" x14ac:dyDescent="0.3">
      <c r="A1454" s="16" t="s">
        <v>1638</v>
      </c>
      <c r="B1454" s="16" t="s">
        <v>1639</v>
      </c>
      <c r="C1454" s="16" t="s">
        <v>1779</v>
      </c>
      <c r="D1454" s="16" t="s">
        <v>18</v>
      </c>
      <c r="E1454" s="16" t="s">
        <v>539</v>
      </c>
      <c r="G1454" s="16" t="s">
        <v>1103</v>
      </c>
      <c r="H1454" s="16" t="s">
        <v>33</v>
      </c>
    </row>
    <row r="1455" spans="1:11" x14ac:dyDescent="0.3">
      <c r="A1455" s="16" t="s">
        <v>3373</v>
      </c>
      <c r="B1455" s="16" t="s">
        <v>3374</v>
      </c>
      <c r="C1455" s="16" t="s">
        <v>1779</v>
      </c>
      <c r="D1455" s="16" t="s">
        <v>388</v>
      </c>
      <c r="E1455" s="16" t="s">
        <v>539</v>
      </c>
      <c r="J1455" s="16" t="s">
        <v>32</v>
      </c>
      <c r="K1455" s="16" t="s">
        <v>3375</v>
      </c>
    </row>
    <row r="1456" spans="1:11" x14ac:dyDescent="0.3">
      <c r="A1456" s="16" t="s">
        <v>1189</v>
      </c>
      <c r="B1456" s="16" t="s">
        <v>1190</v>
      </c>
      <c r="C1456" s="16" t="s">
        <v>1777</v>
      </c>
      <c r="D1456" s="16" t="s">
        <v>18</v>
      </c>
      <c r="E1456" s="16" t="s">
        <v>539</v>
      </c>
      <c r="G1456" s="16" t="s">
        <v>1127</v>
      </c>
    </row>
    <row r="1457" spans="1:10" x14ac:dyDescent="0.3">
      <c r="A1457" s="16" t="s">
        <v>1640</v>
      </c>
      <c r="B1457" s="16" t="s">
        <v>1641</v>
      </c>
      <c r="C1457" s="16" t="s">
        <v>1779</v>
      </c>
      <c r="D1457" s="16" t="s">
        <v>18</v>
      </c>
      <c r="E1457" s="16" t="s">
        <v>661</v>
      </c>
      <c r="G1457" s="16" t="s">
        <v>1103</v>
      </c>
      <c r="H1457" s="16" t="s">
        <v>33</v>
      </c>
    </row>
    <row r="1458" spans="1:10" x14ac:dyDescent="0.3">
      <c r="A1458" s="16" t="s">
        <v>1412</v>
      </c>
      <c r="B1458" s="16" t="s">
        <v>1413</v>
      </c>
      <c r="C1458" s="16" t="s">
        <v>1778</v>
      </c>
      <c r="D1458" s="16" t="s">
        <v>18</v>
      </c>
      <c r="E1458" s="16" t="s">
        <v>539</v>
      </c>
      <c r="G1458" s="16" t="s">
        <v>1127</v>
      </c>
    </row>
    <row r="1459" spans="1:10" x14ac:dyDescent="0.3">
      <c r="A1459" s="16" t="s">
        <v>3378</v>
      </c>
      <c r="B1459" s="16" t="s">
        <v>3379</v>
      </c>
      <c r="C1459" s="16" t="s">
        <v>1778</v>
      </c>
      <c r="D1459" s="16" t="s">
        <v>18</v>
      </c>
      <c r="E1459" s="16" t="s">
        <v>539</v>
      </c>
      <c r="G1459" s="16" t="s">
        <v>1770</v>
      </c>
      <c r="H1459" s="16" t="s">
        <v>33</v>
      </c>
    </row>
    <row r="1460" spans="1:10" x14ac:dyDescent="0.3">
      <c r="A1460" s="16" t="s">
        <v>1642</v>
      </c>
      <c r="B1460" s="16" t="s">
        <v>1643</v>
      </c>
      <c r="C1460" s="16" t="s">
        <v>1779</v>
      </c>
      <c r="D1460" s="16" t="s">
        <v>18</v>
      </c>
      <c r="E1460" s="16" t="s">
        <v>1791</v>
      </c>
      <c r="G1460" s="16" t="s">
        <v>1127</v>
      </c>
    </row>
    <row r="1461" spans="1:10" x14ac:dyDescent="0.3">
      <c r="A1461" s="16" t="s">
        <v>1644</v>
      </c>
      <c r="B1461" s="16" t="s">
        <v>1645</v>
      </c>
      <c r="C1461" s="16" t="s">
        <v>1779</v>
      </c>
      <c r="D1461" s="16" t="s">
        <v>18</v>
      </c>
      <c r="E1461" s="16" t="s">
        <v>1791</v>
      </c>
      <c r="G1461" s="16" t="s">
        <v>1127</v>
      </c>
    </row>
    <row r="1462" spans="1:10" x14ac:dyDescent="0.3">
      <c r="A1462" s="16" t="s">
        <v>3380</v>
      </c>
      <c r="B1462" s="16" t="s">
        <v>3381</v>
      </c>
      <c r="C1462" s="16" t="s">
        <v>1779</v>
      </c>
      <c r="D1462" s="16" t="s">
        <v>388</v>
      </c>
      <c r="E1462" s="16" t="s">
        <v>539</v>
      </c>
      <c r="J1462" s="16" t="s">
        <v>32</v>
      </c>
    </row>
    <row r="1463" spans="1:10" x14ac:dyDescent="0.3">
      <c r="A1463" s="16" t="s">
        <v>1646</v>
      </c>
      <c r="B1463" s="16" t="s">
        <v>1647</v>
      </c>
      <c r="C1463" s="16" t="s">
        <v>1779</v>
      </c>
      <c r="D1463" s="16" t="s">
        <v>18</v>
      </c>
      <c r="E1463" s="16" t="s">
        <v>539</v>
      </c>
      <c r="G1463" s="16" t="s">
        <v>1103</v>
      </c>
      <c r="H1463" s="16" t="s">
        <v>33</v>
      </c>
    </row>
    <row r="1464" spans="1:10" x14ac:dyDescent="0.3">
      <c r="A1464" s="16" t="s">
        <v>1199</v>
      </c>
      <c r="B1464" s="16" t="s">
        <v>1200</v>
      </c>
      <c r="C1464" s="16" t="s">
        <v>3072</v>
      </c>
      <c r="D1464" s="16" t="s">
        <v>18</v>
      </c>
      <c r="E1464" s="16" t="s">
        <v>1791</v>
      </c>
      <c r="G1464" s="16" t="s">
        <v>1103</v>
      </c>
    </row>
    <row r="1465" spans="1:10" x14ac:dyDescent="0.3">
      <c r="A1465" s="16" t="s">
        <v>1125</v>
      </c>
      <c r="B1465" s="16" t="s">
        <v>1126</v>
      </c>
      <c r="C1465" s="16" t="s">
        <v>2092</v>
      </c>
      <c r="D1465" s="16" t="s">
        <v>18</v>
      </c>
      <c r="E1465" s="16" t="s">
        <v>539</v>
      </c>
      <c r="G1465" s="16" t="s">
        <v>1127</v>
      </c>
    </row>
    <row r="1466" spans="1:10" x14ac:dyDescent="0.3">
      <c r="A1466" s="16" t="s">
        <v>1128</v>
      </c>
      <c r="B1466" s="16" t="s">
        <v>1129</v>
      </c>
      <c r="C1466" s="16" t="s">
        <v>2092</v>
      </c>
      <c r="D1466" s="16" t="s">
        <v>18</v>
      </c>
      <c r="E1466" s="16" t="s">
        <v>588</v>
      </c>
      <c r="G1466" s="16" t="s">
        <v>1127</v>
      </c>
    </row>
    <row r="1467" spans="1:10" x14ac:dyDescent="0.3">
      <c r="A1467" s="16" t="s">
        <v>3388</v>
      </c>
      <c r="B1467" s="16" t="s">
        <v>3389</v>
      </c>
      <c r="C1467" s="16" t="s">
        <v>1779</v>
      </c>
      <c r="D1467" s="16" t="s">
        <v>388</v>
      </c>
      <c r="E1467" s="16" t="s">
        <v>539</v>
      </c>
      <c r="J1467" s="16" t="s">
        <v>32</v>
      </c>
    </row>
    <row r="1468" spans="1:10" x14ac:dyDescent="0.3">
      <c r="A1468" s="16" t="s">
        <v>1648</v>
      </c>
      <c r="B1468" s="16" t="s">
        <v>1649</v>
      </c>
      <c r="C1468" s="16" t="s">
        <v>1779</v>
      </c>
      <c r="D1468" s="16" t="s">
        <v>18</v>
      </c>
      <c r="E1468" s="16" t="s">
        <v>539</v>
      </c>
      <c r="G1468" s="16" t="s">
        <v>1127</v>
      </c>
    </row>
    <row r="1469" spans="1:10" x14ac:dyDescent="0.3">
      <c r="A1469" s="16" t="s">
        <v>1648</v>
      </c>
      <c r="B1469" s="16" t="s">
        <v>3390</v>
      </c>
      <c r="C1469" s="16" t="s">
        <v>1779</v>
      </c>
      <c r="D1469" s="16" t="s">
        <v>388</v>
      </c>
      <c r="E1469" s="16" t="s">
        <v>539</v>
      </c>
      <c r="J1469" s="16" t="s">
        <v>32</v>
      </c>
    </row>
    <row r="1470" spans="1:10" x14ac:dyDescent="0.3">
      <c r="A1470" s="16" t="s">
        <v>1648</v>
      </c>
      <c r="B1470" s="16" t="s">
        <v>3390</v>
      </c>
      <c r="C1470" s="16" t="s">
        <v>1915</v>
      </c>
      <c r="D1470" s="16" t="s">
        <v>388</v>
      </c>
      <c r="E1470" s="16" t="s">
        <v>539</v>
      </c>
      <c r="H1470" s="16" t="s">
        <v>33</v>
      </c>
      <c r="J1470" s="16" t="s">
        <v>32</v>
      </c>
    </row>
    <row r="1471" spans="1:10" x14ac:dyDescent="0.3">
      <c r="A1471" s="16" t="s">
        <v>1650</v>
      </c>
      <c r="B1471" s="16" t="s">
        <v>1651</v>
      </c>
      <c r="C1471" s="16" t="s">
        <v>1779</v>
      </c>
      <c r="D1471" s="16" t="s">
        <v>18</v>
      </c>
      <c r="E1471" s="16" t="s">
        <v>588</v>
      </c>
      <c r="G1471" s="16" t="s">
        <v>1103</v>
      </c>
      <c r="H1471" s="16" t="s">
        <v>33</v>
      </c>
    </row>
    <row r="1472" spans="1:10" x14ac:dyDescent="0.3">
      <c r="A1472" s="16" t="s">
        <v>1652</v>
      </c>
      <c r="B1472" s="16" t="s">
        <v>1653</v>
      </c>
      <c r="C1472" s="16" t="s">
        <v>1779</v>
      </c>
      <c r="D1472" s="16" t="s">
        <v>18</v>
      </c>
      <c r="E1472" s="16" t="s">
        <v>588</v>
      </c>
      <c r="G1472" s="16" t="s">
        <v>1103</v>
      </c>
      <c r="H1472" s="16" t="s">
        <v>33</v>
      </c>
    </row>
    <row r="1473" spans="1:10" x14ac:dyDescent="0.3">
      <c r="A1473" s="16" t="s">
        <v>3391</v>
      </c>
      <c r="B1473" s="16" t="s">
        <v>3392</v>
      </c>
      <c r="C1473" s="16" t="s">
        <v>1779</v>
      </c>
      <c r="D1473" s="16" t="s">
        <v>388</v>
      </c>
      <c r="E1473" s="16" t="s">
        <v>539</v>
      </c>
      <c r="H1473" s="16" t="s">
        <v>33</v>
      </c>
      <c r="J1473" s="16" t="s">
        <v>32</v>
      </c>
    </row>
    <row r="1474" spans="1:10" x14ac:dyDescent="0.3">
      <c r="A1474" s="16" t="s">
        <v>3391</v>
      </c>
      <c r="B1474" s="16" t="s">
        <v>3392</v>
      </c>
      <c r="C1474" s="16" t="s">
        <v>1804</v>
      </c>
      <c r="D1474" s="16" t="s">
        <v>388</v>
      </c>
      <c r="E1474" s="16" t="s">
        <v>539</v>
      </c>
      <c r="H1474" s="16" t="s">
        <v>33</v>
      </c>
      <c r="J1474" s="16" t="s">
        <v>32</v>
      </c>
    </row>
    <row r="1475" spans="1:10" x14ac:dyDescent="0.3">
      <c r="A1475" s="16" t="s">
        <v>3391</v>
      </c>
      <c r="B1475" s="16" t="s">
        <v>3392</v>
      </c>
      <c r="C1475" s="16" t="s">
        <v>1777</v>
      </c>
      <c r="D1475" s="16" t="s">
        <v>388</v>
      </c>
      <c r="E1475" s="16" t="s">
        <v>539</v>
      </c>
      <c r="H1475" s="16" t="s">
        <v>33</v>
      </c>
      <c r="J1475" s="16" t="s">
        <v>32</v>
      </c>
    </row>
    <row r="1476" spans="1:10" x14ac:dyDescent="0.3">
      <c r="A1476" s="16" t="s">
        <v>1130</v>
      </c>
      <c r="B1476" s="16" t="s">
        <v>1131</v>
      </c>
      <c r="C1476" s="16" t="s">
        <v>2092</v>
      </c>
      <c r="D1476" s="16" t="s">
        <v>18</v>
      </c>
      <c r="E1476" s="16" t="s">
        <v>539</v>
      </c>
      <c r="G1476" s="16" t="s">
        <v>1103</v>
      </c>
    </row>
    <row r="1477" spans="1:10" x14ac:dyDescent="0.3">
      <c r="A1477" s="16" t="s">
        <v>1201</v>
      </c>
      <c r="B1477" s="16" t="s">
        <v>1202</v>
      </c>
      <c r="C1477" s="16" t="s">
        <v>3072</v>
      </c>
      <c r="D1477" s="16" t="s">
        <v>18</v>
      </c>
      <c r="E1477" s="16" t="s">
        <v>539</v>
      </c>
      <c r="G1477" s="16" t="s">
        <v>1103</v>
      </c>
    </row>
    <row r="1478" spans="1:10" x14ac:dyDescent="0.3">
      <c r="A1478" s="16" t="s">
        <v>1132</v>
      </c>
      <c r="B1478" s="16" t="s">
        <v>1133</v>
      </c>
      <c r="C1478" s="16" t="s">
        <v>2092</v>
      </c>
      <c r="D1478" s="16" t="s">
        <v>18</v>
      </c>
      <c r="E1478" s="16" t="s">
        <v>588</v>
      </c>
      <c r="G1478" s="16" t="s">
        <v>1103</v>
      </c>
    </row>
    <row r="1479" spans="1:10" x14ac:dyDescent="0.3">
      <c r="A1479" s="16" t="s">
        <v>1203</v>
      </c>
      <c r="B1479" s="16" t="s">
        <v>1204</v>
      </c>
      <c r="C1479" s="16" t="s">
        <v>3072</v>
      </c>
      <c r="D1479" s="16" t="s">
        <v>18</v>
      </c>
      <c r="E1479" s="16" t="s">
        <v>539</v>
      </c>
      <c r="G1479" s="16" t="s">
        <v>1103</v>
      </c>
    </row>
    <row r="1480" spans="1:10" x14ac:dyDescent="0.3">
      <c r="A1480" s="16" t="s">
        <v>1205</v>
      </c>
      <c r="B1480" s="16" t="s">
        <v>1206</v>
      </c>
      <c r="C1480" s="16" t="s">
        <v>3072</v>
      </c>
      <c r="D1480" s="16" t="s">
        <v>18</v>
      </c>
      <c r="E1480" s="16" t="s">
        <v>539</v>
      </c>
      <c r="G1480" s="16" t="s">
        <v>1103</v>
      </c>
    </row>
    <row r="1481" spans="1:10" x14ac:dyDescent="0.3">
      <c r="A1481" s="16" t="s">
        <v>1207</v>
      </c>
      <c r="B1481" s="16" t="s">
        <v>1208</v>
      </c>
      <c r="C1481" s="16" t="s">
        <v>3072</v>
      </c>
      <c r="D1481" s="16" t="s">
        <v>18</v>
      </c>
      <c r="E1481" s="16" t="s">
        <v>555</v>
      </c>
      <c r="G1481" s="16" t="s">
        <v>1103</v>
      </c>
    </row>
    <row r="1482" spans="1:10" x14ac:dyDescent="0.3">
      <c r="A1482" s="16" t="s">
        <v>3393</v>
      </c>
      <c r="B1482" s="16" t="s">
        <v>3394</v>
      </c>
      <c r="C1482" s="16" t="s">
        <v>1779</v>
      </c>
      <c r="D1482" s="16" t="s">
        <v>388</v>
      </c>
      <c r="E1482" s="16" t="s">
        <v>539</v>
      </c>
      <c r="H1482" s="16" t="s">
        <v>33</v>
      </c>
      <c r="J1482" s="16" t="s">
        <v>32</v>
      </c>
    </row>
    <row r="1483" spans="1:10" x14ac:dyDescent="0.3">
      <c r="A1483" s="16" t="s">
        <v>1654</v>
      </c>
      <c r="B1483" s="16" t="s">
        <v>1655</v>
      </c>
      <c r="C1483" s="16" t="s">
        <v>1779</v>
      </c>
      <c r="D1483" s="16" t="s">
        <v>18</v>
      </c>
      <c r="E1483" s="16" t="s">
        <v>588</v>
      </c>
      <c r="G1483" s="16" t="s">
        <v>1127</v>
      </c>
    </row>
    <row r="1484" spans="1:10" x14ac:dyDescent="0.3">
      <c r="A1484" s="16" t="s">
        <v>3397</v>
      </c>
      <c r="B1484" s="16" t="s">
        <v>3398</v>
      </c>
      <c r="C1484" s="16" t="s">
        <v>1779</v>
      </c>
      <c r="D1484" s="16" t="s">
        <v>388</v>
      </c>
      <c r="E1484" s="16" t="s">
        <v>539</v>
      </c>
      <c r="H1484" s="16" t="s">
        <v>33</v>
      </c>
      <c r="J1484" s="16" t="s">
        <v>32</v>
      </c>
    </row>
    <row r="1485" spans="1:10" x14ac:dyDescent="0.3">
      <c r="A1485" s="16" t="s">
        <v>3399</v>
      </c>
      <c r="B1485" s="16" t="s">
        <v>3400</v>
      </c>
      <c r="C1485" s="16" t="s">
        <v>1779</v>
      </c>
      <c r="D1485" s="16" t="s">
        <v>388</v>
      </c>
      <c r="E1485" s="16" t="s">
        <v>539</v>
      </c>
      <c r="H1485" s="16" t="s">
        <v>33</v>
      </c>
      <c r="J1485" s="16" t="s">
        <v>32</v>
      </c>
    </row>
    <row r="1486" spans="1:10" x14ac:dyDescent="0.3">
      <c r="A1486" s="16" t="s">
        <v>3401</v>
      </c>
      <c r="B1486" s="16" t="s">
        <v>3402</v>
      </c>
      <c r="C1486" s="16" t="s">
        <v>1777</v>
      </c>
      <c r="D1486" s="16" t="s">
        <v>388</v>
      </c>
      <c r="E1486" s="16" t="s">
        <v>539</v>
      </c>
      <c r="J1486" s="16" t="s">
        <v>1988</v>
      </c>
    </row>
    <row r="1487" spans="1:10" x14ac:dyDescent="0.3">
      <c r="A1487" s="16" t="s">
        <v>3403</v>
      </c>
      <c r="B1487" s="16" t="s">
        <v>3404</v>
      </c>
      <c r="C1487" s="16" t="s">
        <v>1779</v>
      </c>
      <c r="D1487" s="16" t="s">
        <v>388</v>
      </c>
      <c r="E1487" s="16" t="s">
        <v>539</v>
      </c>
      <c r="J1487" s="16" t="s">
        <v>32</v>
      </c>
    </row>
    <row r="1488" spans="1:10" x14ac:dyDescent="0.3">
      <c r="A1488" s="16" t="s">
        <v>3405</v>
      </c>
      <c r="B1488" s="16" t="s">
        <v>3406</v>
      </c>
      <c r="C1488" s="16" t="s">
        <v>1777</v>
      </c>
      <c r="D1488" s="16" t="s">
        <v>388</v>
      </c>
      <c r="E1488" s="16" t="s">
        <v>539</v>
      </c>
      <c r="J1488" s="16" t="s">
        <v>1988</v>
      </c>
    </row>
    <row r="1489" spans="1:10" x14ac:dyDescent="0.3">
      <c r="A1489" s="16" t="s">
        <v>3409</v>
      </c>
      <c r="B1489" s="16" t="s">
        <v>3410</v>
      </c>
      <c r="C1489" s="16" t="s">
        <v>1779</v>
      </c>
      <c r="D1489" s="16" t="s">
        <v>388</v>
      </c>
      <c r="E1489" s="16" t="s">
        <v>539</v>
      </c>
      <c r="J1489" s="16" t="s">
        <v>32</v>
      </c>
    </row>
    <row r="1490" spans="1:10" x14ac:dyDescent="0.3">
      <c r="A1490" s="16" t="s">
        <v>1656</v>
      </c>
      <c r="B1490" s="16" t="s">
        <v>1657</v>
      </c>
      <c r="C1490" s="16" t="s">
        <v>1779</v>
      </c>
      <c r="D1490" s="16" t="s">
        <v>18</v>
      </c>
      <c r="E1490" s="16" t="s">
        <v>539</v>
      </c>
      <c r="G1490" s="16" t="s">
        <v>1127</v>
      </c>
    </row>
    <row r="1491" spans="1:10" x14ac:dyDescent="0.3">
      <c r="A1491" s="16" t="s">
        <v>3414</v>
      </c>
      <c r="B1491" s="16" t="s">
        <v>3415</v>
      </c>
      <c r="C1491" s="16" t="s">
        <v>1779</v>
      </c>
      <c r="D1491" s="16" t="s">
        <v>388</v>
      </c>
      <c r="E1491" s="16" t="s">
        <v>539</v>
      </c>
      <c r="J1491" s="16" t="s">
        <v>32</v>
      </c>
    </row>
    <row r="1492" spans="1:10" x14ac:dyDescent="0.3">
      <c r="A1492" s="16" t="s">
        <v>1414</v>
      </c>
      <c r="B1492" s="16" t="s">
        <v>1415</v>
      </c>
      <c r="C1492" s="16" t="s">
        <v>1778</v>
      </c>
      <c r="D1492" s="16" t="s">
        <v>18</v>
      </c>
      <c r="E1492" s="16" t="s">
        <v>1791</v>
      </c>
      <c r="G1492" s="16" t="s">
        <v>1127</v>
      </c>
    </row>
    <row r="1493" spans="1:10" x14ac:dyDescent="0.3">
      <c r="A1493" s="16" t="s">
        <v>1658</v>
      </c>
      <c r="B1493" s="16" t="s">
        <v>1659</v>
      </c>
      <c r="C1493" s="16" t="s">
        <v>1779</v>
      </c>
      <c r="D1493" s="16" t="s">
        <v>18</v>
      </c>
      <c r="E1493" s="16" t="s">
        <v>1791</v>
      </c>
      <c r="G1493" s="16" t="s">
        <v>1127</v>
      </c>
    </row>
    <row r="1494" spans="1:10" x14ac:dyDescent="0.3">
      <c r="A1494" s="16" t="s">
        <v>1416</v>
      </c>
      <c r="B1494" s="16" t="s">
        <v>1417</v>
      </c>
      <c r="C1494" s="16" t="s">
        <v>1778</v>
      </c>
      <c r="D1494" s="16" t="s">
        <v>18</v>
      </c>
      <c r="E1494" s="16" t="s">
        <v>1791</v>
      </c>
      <c r="G1494" s="16" t="s">
        <v>1127</v>
      </c>
    </row>
    <row r="1495" spans="1:10" x14ac:dyDescent="0.3">
      <c r="A1495" s="16" t="s">
        <v>1660</v>
      </c>
      <c r="B1495" s="16" t="s">
        <v>1661</v>
      </c>
      <c r="C1495" s="16" t="s">
        <v>1779</v>
      </c>
      <c r="D1495" s="16" t="s">
        <v>18</v>
      </c>
      <c r="E1495" s="16" t="s">
        <v>1791</v>
      </c>
      <c r="G1495" s="16" t="s">
        <v>1127</v>
      </c>
    </row>
    <row r="1496" spans="1:10" x14ac:dyDescent="0.3">
      <c r="A1496" s="16" t="s">
        <v>1662</v>
      </c>
      <c r="B1496" s="16" t="s">
        <v>1663</v>
      </c>
      <c r="C1496" s="16" t="s">
        <v>1779</v>
      </c>
      <c r="D1496" s="16" t="s">
        <v>18</v>
      </c>
      <c r="E1496" s="16" t="s">
        <v>1791</v>
      </c>
      <c r="G1496" s="16" t="s">
        <v>1127</v>
      </c>
    </row>
    <row r="1497" spans="1:10" x14ac:dyDescent="0.3">
      <c r="A1497" s="16" t="s">
        <v>1418</v>
      </c>
      <c r="B1497" s="16" t="s">
        <v>1419</v>
      </c>
      <c r="C1497" s="16" t="s">
        <v>1778</v>
      </c>
      <c r="D1497" s="16" t="s">
        <v>18</v>
      </c>
      <c r="E1497" s="16" t="s">
        <v>1791</v>
      </c>
      <c r="G1497" s="16" t="s">
        <v>1127</v>
      </c>
    </row>
    <row r="1498" spans="1:10" x14ac:dyDescent="0.3">
      <c r="A1498" s="16" t="s">
        <v>3416</v>
      </c>
      <c r="B1498" s="16" t="s">
        <v>3417</v>
      </c>
      <c r="C1498" s="16" t="s">
        <v>1777</v>
      </c>
      <c r="D1498" s="16" t="s">
        <v>388</v>
      </c>
      <c r="E1498" s="16" t="s">
        <v>539</v>
      </c>
      <c r="H1498" s="16" t="s">
        <v>33</v>
      </c>
      <c r="J1498" s="16" t="s">
        <v>1988</v>
      </c>
    </row>
    <row r="1499" spans="1:10" x14ac:dyDescent="0.3">
      <c r="A1499" s="16" t="s">
        <v>3418</v>
      </c>
      <c r="B1499" s="16" t="s">
        <v>3419</v>
      </c>
      <c r="C1499" s="16" t="s">
        <v>1779</v>
      </c>
      <c r="D1499" s="16" t="s">
        <v>388</v>
      </c>
      <c r="E1499" s="16" t="s">
        <v>539</v>
      </c>
      <c r="J1499" s="16" t="s">
        <v>32</v>
      </c>
    </row>
    <row r="1500" spans="1:10" x14ac:dyDescent="0.3">
      <c r="A1500" s="16" t="s">
        <v>3418</v>
      </c>
      <c r="B1500" s="16" t="s">
        <v>3419</v>
      </c>
      <c r="C1500" s="16" t="s">
        <v>1777</v>
      </c>
      <c r="D1500" s="16" t="s">
        <v>388</v>
      </c>
      <c r="E1500" s="16" t="s">
        <v>539</v>
      </c>
      <c r="J1500" s="16" t="s">
        <v>32</v>
      </c>
    </row>
    <row r="1501" spans="1:10" x14ac:dyDescent="0.3">
      <c r="A1501" s="16" t="s">
        <v>3475</v>
      </c>
      <c r="B1501" s="16" t="s">
        <v>2403</v>
      </c>
      <c r="C1501" s="16" t="s">
        <v>1779</v>
      </c>
      <c r="D1501" s="16" t="s">
        <v>388</v>
      </c>
      <c r="E1501" s="16" t="s">
        <v>539</v>
      </c>
      <c r="H1501" s="16" t="s">
        <v>33</v>
      </c>
      <c r="J1501" s="16" t="s">
        <v>32</v>
      </c>
    </row>
    <row r="1502" spans="1:10" x14ac:dyDescent="0.3">
      <c r="A1502" s="16" t="s">
        <v>3476</v>
      </c>
      <c r="B1502" s="16" t="s">
        <v>1985</v>
      </c>
      <c r="C1502" s="16" t="s">
        <v>1778</v>
      </c>
      <c r="D1502" s="16" t="s">
        <v>18</v>
      </c>
      <c r="E1502" s="16" t="s">
        <v>539</v>
      </c>
      <c r="G1502" s="16" t="s">
        <v>1770</v>
      </c>
      <c r="H1502" s="16" t="s">
        <v>33</v>
      </c>
    </row>
    <row r="1503" spans="1:10" x14ac:dyDescent="0.3">
      <c r="A1503" s="16" t="s">
        <v>3477</v>
      </c>
      <c r="B1503" s="16" t="s">
        <v>1998</v>
      </c>
      <c r="C1503" s="16" t="s">
        <v>1778</v>
      </c>
      <c r="D1503" s="16" t="s">
        <v>18</v>
      </c>
      <c r="E1503" s="16" t="s">
        <v>539</v>
      </c>
      <c r="G1503" s="16" t="s">
        <v>1770</v>
      </c>
      <c r="H1503" s="16" t="s">
        <v>33</v>
      </c>
    </row>
    <row r="1504" spans="1:10" x14ac:dyDescent="0.3">
      <c r="A1504" s="16" t="s">
        <v>3478</v>
      </c>
      <c r="B1504" s="16" t="s">
        <v>2098</v>
      </c>
      <c r="C1504" s="16" t="s">
        <v>1779</v>
      </c>
      <c r="D1504" s="16" t="s">
        <v>18</v>
      </c>
      <c r="E1504" s="16" t="s">
        <v>539</v>
      </c>
      <c r="G1504" s="16" t="s">
        <v>1770</v>
      </c>
      <c r="H1504" s="16" t="s">
        <v>33</v>
      </c>
    </row>
    <row r="1505" spans="1:8" x14ac:dyDescent="0.3">
      <c r="A1505" s="16" t="s">
        <v>3478</v>
      </c>
      <c r="B1505" s="16" t="s">
        <v>2099</v>
      </c>
      <c r="C1505" s="16" t="s">
        <v>1778</v>
      </c>
      <c r="D1505" s="16" t="s">
        <v>18</v>
      </c>
      <c r="E1505" s="16" t="s">
        <v>539</v>
      </c>
      <c r="G1505" s="16" t="s">
        <v>1770</v>
      </c>
      <c r="H1505" s="16" t="s">
        <v>33</v>
      </c>
    </row>
    <row r="1506" spans="1:8" x14ac:dyDescent="0.3">
      <c r="A1506" s="16" t="s">
        <v>3479</v>
      </c>
      <c r="B1506" s="16" t="s">
        <v>2133</v>
      </c>
      <c r="C1506" s="16" t="s">
        <v>1778</v>
      </c>
      <c r="D1506" s="16" t="s">
        <v>18</v>
      </c>
      <c r="E1506" s="16" t="s">
        <v>539</v>
      </c>
      <c r="G1506" s="16" t="s">
        <v>1770</v>
      </c>
      <c r="H1506" s="16" t="s">
        <v>33</v>
      </c>
    </row>
    <row r="1507" spans="1:8" x14ac:dyDescent="0.3">
      <c r="A1507" s="16" t="s">
        <v>3480</v>
      </c>
      <c r="B1507" s="16" t="s">
        <v>2137</v>
      </c>
      <c r="C1507" s="16" t="s">
        <v>1779</v>
      </c>
      <c r="D1507" s="16" t="s">
        <v>18</v>
      </c>
      <c r="E1507" s="16" t="s">
        <v>539</v>
      </c>
      <c r="G1507" s="16" t="s">
        <v>1770</v>
      </c>
      <c r="H1507" s="16" t="s">
        <v>33</v>
      </c>
    </row>
    <row r="1508" spans="1:8" x14ac:dyDescent="0.3">
      <c r="A1508" s="16" t="s">
        <v>3481</v>
      </c>
      <c r="B1508" s="16" t="s">
        <v>2139</v>
      </c>
      <c r="C1508" s="16" t="s">
        <v>1778</v>
      </c>
      <c r="D1508" s="16" t="s">
        <v>18</v>
      </c>
      <c r="E1508" s="16" t="s">
        <v>539</v>
      </c>
      <c r="G1508" s="16" t="s">
        <v>1770</v>
      </c>
      <c r="H1508" s="16" t="s">
        <v>33</v>
      </c>
    </row>
    <row r="1509" spans="1:8" x14ac:dyDescent="0.3">
      <c r="A1509" s="16" t="s">
        <v>3482</v>
      </c>
      <c r="B1509" s="16" t="s">
        <v>2219</v>
      </c>
      <c r="C1509" s="16" t="s">
        <v>1778</v>
      </c>
      <c r="D1509" s="16" t="s">
        <v>18</v>
      </c>
      <c r="E1509" s="16" t="s">
        <v>539</v>
      </c>
      <c r="G1509" s="16" t="s">
        <v>1770</v>
      </c>
      <c r="H1509" s="16" t="s">
        <v>33</v>
      </c>
    </row>
    <row r="1510" spans="1:8" x14ac:dyDescent="0.3">
      <c r="A1510" s="16" t="s">
        <v>3483</v>
      </c>
      <c r="B1510" s="16" t="s">
        <v>2231</v>
      </c>
      <c r="C1510" s="16" t="s">
        <v>1779</v>
      </c>
      <c r="D1510" s="16" t="s">
        <v>18</v>
      </c>
      <c r="E1510" s="16" t="s">
        <v>539</v>
      </c>
      <c r="G1510" s="16" t="s">
        <v>1770</v>
      </c>
      <c r="H1510" s="16" t="s">
        <v>33</v>
      </c>
    </row>
    <row r="1511" spans="1:8" x14ac:dyDescent="0.3">
      <c r="A1511" s="16" t="s">
        <v>3483</v>
      </c>
      <c r="B1511" s="16" t="s">
        <v>2232</v>
      </c>
      <c r="C1511" s="16" t="s">
        <v>1778</v>
      </c>
      <c r="D1511" s="16" t="s">
        <v>18</v>
      </c>
      <c r="E1511" s="16" t="s">
        <v>539</v>
      </c>
      <c r="G1511" s="16" t="s">
        <v>1770</v>
      </c>
      <c r="H1511" s="16" t="s">
        <v>33</v>
      </c>
    </row>
    <row r="1512" spans="1:8" x14ac:dyDescent="0.3">
      <c r="A1512" s="16" t="s">
        <v>3484</v>
      </c>
      <c r="B1512" s="16" t="s">
        <v>2314</v>
      </c>
      <c r="C1512" s="16" t="s">
        <v>1778</v>
      </c>
      <c r="D1512" s="16" t="s">
        <v>18</v>
      </c>
      <c r="E1512" s="16" t="s">
        <v>539</v>
      </c>
      <c r="G1512" s="16" t="s">
        <v>1770</v>
      </c>
      <c r="H1512" s="16" t="s">
        <v>33</v>
      </c>
    </row>
    <row r="1513" spans="1:8" x14ac:dyDescent="0.3">
      <c r="A1513" s="16" t="s">
        <v>3485</v>
      </c>
      <c r="B1513" s="16" t="s">
        <v>2407</v>
      </c>
      <c r="C1513" s="16" t="s">
        <v>1779</v>
      </c>
      <c r="D1513" s="16" t="s">
        <v>18</v>
      </c>
      <c r="E1513" s="16" t="s">
        <v>539</v>
      </c>
      <c r="G1513" s="16" t="s">
        <v>1770</v>
      </c>
      <c r="H1513" s="16" t="s">
        <v>33</v>
      </c>
    </row>
    <row r="1514" spans="1:8" x14ac:dyDescent="0.3">
      <c r="A1514" s="16" t="s">
        <v>3485</v>
      </c>
      <c r="B1514" s="16" t="s">
        <v>2408</v>
      </c>
      <c r="C1514" s="16" t="s">
        <v>1778</v>
      </c>
      <c r="D1514" s="16" t="s">
        <v>18</v>
      </c>
      <c r="E1514" s="16" t="s">
        <v>539</v>
      </c>
      <c r="G1514" s="16" t="s">
        <v>1770</v>
      </c>
      <c r="H1514" s="16" t="s">
        <v>33</v>
      </c>
    </row>
    <row r="1515" spans="1:8" x14ac:dyDescent="0.3">
      <c r="A1515" s="16" t="s">
        <v>3486</v>
      </c>
      <c r="B1515" s="16" t="s">
        <v>2793</v>
      </c>
      <c r="C1515" s="16" t="s">
        <v>1779</v>
      </c>
      <c r="D1515" s="16" t="s">
        <v>18</v>
      </c>
      <c r="E1515" s="16" t="s">
        <v>539</v>
      </c>
      <c r="G1515" s="16" t="s">
        <v>1770</v>
      </c>
      <c r="H1515" s="16" t="s">
        <v>33</v>
      </c>
    </row>
    <row r="1516" spans="1:8" x14ac:dyDescent="0.3">
      <c r="A1516" s="16" t="s">
        <v>3487</v>
      </c>
      <c r="B1516" s="16" t="s">
        <v>2795</v>
      </c>
      <c r="C1516" s="16" t="s">
        <v>1779</v>
      </c>
      <c r="D1516" s="16" t="s">
        <v>18</v>
      </c>
      <c r="E1516" s="16" t="s">
        <v>539</v>
      </c>
      <c r="G1516" s="16" t="s">
        <v>1770</v>
      </c>
      <c r="H1516" s="16" t="s">
        <v>33</v>
      </c>
    </row>
    <row r="1517" spans="1:8" x14ac:dyDescent="0.3">
      <c r="A1517" s="16" t="s">
        <v>3488</v>
      </c>
      <c r="B1517" s="16" t="s">
        <v>2807</v>
      </c>
      <c r="C1517" s="16" t="s">
        <v>1778</v>
      </c>
      <c r="D1517" s="16" t="s">
        <v>18</v>
      </c>
      <c r="E1517" s="16" t="s">
        <v>539</v>
      </c>
      <c r="G1517" s="16" t="s">
        <v>1770</v>
      </c>
      <c r="H1517" s="16" t="s">
        <v>33</v>
      </c>
    </row>
    <row r="1518" spans="1:8" x14ac:dyDescent="0.3">
      <c r="A1518" s="16" t="s">
        <v>3489</v>
      </c>
      <c r="B1518" s="16" t="s">
        <v>2875</v>
      </c>
      <c r="C1518" s="16" t="s">
        <v>1778</v>
      </c>
      <c r="D1518" s="16" t="s">
        <v>18</v>
      </c>
      <c r="E1518" s="16" t="s">
        <v>539</v>
      </c>
      <c r="G1518" s="16" t="s">
        <v>1770</v>
      </c>
      <c r="H1518" s="16" t="s">
        <v>33</v>
      </c>
    </row>
    <row r="1519" spans="1:8" x14ac:dyDescent="0.3">
      <c r="A1519" s="16" t="s">
        <v>3490</v>
      </c>
      <c r="B1519" s="16" t="s">
        <v>3193</v>
      </c>
      <c r="C1519" s="16" t="s">
        <v>1778</v>
      </c>
      <c r="D1519" s="16" t="s">
        <v>18</v>
      </c>
      <c r="E1519" s="16" t="s">
        <v>539</v>
      </c>
      <c r="G1519" s="16" t="s">
        <v>1770</v>
      </c>
      <c r="H1519" s="16" t="s">
        <v>33</v>
      </c>
    </row>
  </sheetData>
  <pageMargins left="0.75" right="0.75" top="0.75" bottom="0.5" header="0.5" footer="0.7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15C0CA2473D4E4BAB1AEA7AC33BC6B3" ma:contentTypeVersion="17" ma:contentTypeDescription="Create a new document." ma:contentTypeScope="" ma:versionID="4ec11bc9073c8f7a1d35c96a4aa1b87c">
  <xsd:schema xmlns:xsd="http://www.w3.org/2001/XMLSchema" xmlns:xs="http://www.w3.org/2001/XMLSchema" xmlns:p="http://schemas.microsoft.com/office/2006/metadata/properties" xmlns:ns2="34254093-1fe5-461e-ba4f-fd156205a68f" xmlns:ns3="e31f3fc5-5361-4d5b-a862-1e2cfd7ad3ec" targetNamespace="http://schemas.microsoft.com/office/2006/metadata/properties" ma:root="true" ma:fieldsID="10b67c79b5d17e4365a053bb0b4baff9" ns2:_="" ns3:_="">
    <xsd:import namespace="34254093-1fe5-461e-ba4f-fd156205a68f"/>
    <xsd:import namespace="e31f3fc5-5361-4d5b-a862-1e2cfd7ad3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Usage"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BillingMetadata" minOccurs="0"/>
                <xsd:element ref="ns2:Meetingdate" minOccurs="0"/>
                <xsd:element ref="ns2:MediaLengthInSeconds" minOccurs="0"/>
                <xsd:element ref="ns2:Link" minOccurs="0"/>
                <xsd:element ref="ns2:Quick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254093-1fe5-461e-ba4f-fd156205a6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Usage" ma:index="11" nillable="true" ma:displayName="Usage" ma:format="Dropdown" ma:internalName="Usag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2ce4d85-92b3-4db5-bc8f-b60fb9116dca" ma:termSetId="09814cd3-568e-fe90-9814-8d621ff8fb84" ma:anchorId="fba54fb3-c3e1-fe81-a776-ca4b69148c4d" ma:open="true" ma:isKeyword="false">
      <xsd:complexType>
        <xsd:sequence>
          <xsd:element ref="pc:Terms" minOccurs="0" maxOccurs="1"/>
        </xsd:sequence>
      </xsd:complex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etingdate" ma:index="21" nillable="true" ma:displayName="Meeting date" ma:format="DateOnly" ma:internalName="Meetingdate">
      <xsd:simpleType>
        <xsd:restriction base="dms:DateTime"/>
      </xsd:simpleType>
    </xsd:element>
    <xsd:element name="MediaLengthInSeconds" ma:index="22" nillable="true" ma:displayName="MediaLengthInSeconds" ma:hidden="true" ma:internalName="MediaLengthInSeconds" ma:readOnly="true">
      <xsd:simpleType>
        <xsd:restriction base="dms:Unknown"/>
      </xsd:simpleType>
    </xsd:element>
    <xsd:element name="Link" ma:index="23"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QuickDescription" ma:index="24" nillable="true" ma:displayName="Quick Description" ma:format="Dropdown" ma:internalName="Quick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1f3fc5-5361-4d5b-a862-1e2cfd7ad3e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1a51006-2700-4923-af51-406119de3064}" ma:internalName="TaxCatchAll" ma:showField="CatchAllData" ma:web="e31f3fc5-5361-4d5b-a862-1e2cfd7ad3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 xmlns="34254093-1fe5-461e-ba4f-fd156205a68f">
      <Url xsi:nil="true"/>
      <Description xsi:nil="true"/>
    </Link>
    <TaxCatchAll xmlns="e31f3fc5-5361-4d5b-a862-1e2cfd7ad3ec" xsi:nil="true"/>
    <Usage xmlns="34254093-1fe5-461e-ba4f-fd156205a68f" xsi:nil="true"/>
    <QuickDescription xmlns="34254093-1fe5-461e-ba4f-fd156205a68f" xsi:nil="true"/>
    <lcf76f155ced4ddcb4097134ff3c332f xmlns="34254093-1fe5-461e-ba4f-fd156205a68f">
      <Terms xmlns="http://schemas.microsoft.com/office/infopath/2007/PartnerControls"/>
    </lcf76f155ced4ddcb4097134ff3c332f>
    <Meetingdate xmlns="34254093-1fe5-461e-ba4f-fd156205a68f" xsi:nil="true"/>
  </documentManagement>
</p:properties>
</file>

<file path=customXml/itemProps1.xml><?xml version="1.0" encoding="utf-8"?>
<ds:datastoreItem xmlns:ds="http://schemas.openxmlformats.org/officeDocument/2006/customXml" ds:itemID="{46384EDF-2C65-4DD9-91FD-432E03B787A6}">
  <ds:schemaRefs>
    <ds:schemaRef ds:uri="http://schemas.microsoft.com/sharepoint/v3/contenttype/forms"/>
  </ds:schemaRefs>
</ds:datastoreItem>
</file>

<file path=customXml/itemProps2.xml><?xml version="1.0" encoding="utf-8"?>
<ds:datastoreItem xmlns:ds="http://schemas.openxmlformats.org/officeDocument/2006/customXml" ds:itemID="{EDAF4D68-505D-483E-85F5-81713961F5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254093-1fe5-461e-ba4f-fd156205a68f"/>
    <ds:schemaRef ds:uri="e31f3fc5-5361-4d5b-a862-1e2cfd7ad3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E6B7563-D437-414F-A8B5-631736314D6E}">
  <ds:schemaRefs>
    <ds:schemaRef ds:uri="http://purl.org/dc/terms/"/>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e31f3fc5-5361-4d5b-a862-1e2cfd7ad3ec"/>
    <ds:schemaRef ds:uri="http://schemas.microsoft.com/office/2006/documentManagement/types"/>
    <ds:schemaRef ds:uri="34254093-1fe5-461e-ba4f-fd156205a68f"/>
    <ds:schemaRef ds:uri="http://www.w3.org/XML/1998/namespace"/>
    <ds:schemaRef ds:uri="http://purl.org/dc/dcmitype/"/>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ReadME</vt:lpstr>
      <vt:lpstr>Config_Strategic_Program</vt:lpstr>
      <vt:lpstr>View - Attributes by Screen</vt:lpstr>
      <vt:lpstr>Config_Tech_Enabled</vt:lpstr>
      <vt:lpstr>VALUES_DropDowns_Mappings_2026</vt:lpstr>
      <vt:lpstr>VALUES_DropDowns_Mappings_2024</vt:lpstr>
      <vt:lpstr>Reference_Strategic_Program</vt:lpstr>
      <vt:lpstr>Reference_Tech_Enabled</vt:lpstr>
      <vt:lpstr>Ref_nonabrid_Tech_Enabled</vt:lpstr>
      <vt:lpstr>Entity_Mapping</vt:lpstr>
      <vt:lpstr>Business_Rules</vt:lpstr>
      <vt:lpstr>Lifecycle_Step_Index</vt:lpstr>
      <vt:lpstr>Prod Fields</vt:lpstr>
      <vt:lpstr>new instance fields</vt:lpstr>
      <vt:lpstr>'new instance fields'!HeaderRange</vt:lpstr>
      <vt:lpstr>'Prod Fields'!HeaderRange</vt:lpstr>
      <vt:lpstr>VAL_DeferedRisk</vt:lpstr>
      <vt:lpstr>VAL_DefferedRisk</vt:lpstr>
      <vt:lpstr>VAL_ValueFramework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Rajinder Gill</cp:lastModifiedBy>
  <dcterms:created xsi:type="dcterms:W3CDTF">2026-04-30T01:52:45Z</dcterms:created>
  <dcterms:modified xsi:type="dcterms:W3CDTF">2026-05-05T04:33:23Z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0x010100015C0CA2473D4E4BAB1AEA7AC33BC6B3</vt:lpwstr>
  </property>
  <property fmtid="{D5CDD505-2E9C-101B-9397-08002B2CF9AE}" pid="3" name="MediaServiceImageTags">
    <vt:lpwstr/>
  </property>
</Properties>
</file>